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rial Balance" sheetId="2" state="visible" r:id="rId4"/>
    <sheet name="Adjustments" sheetId="3" state="visible" r:id="rId5"/>
    <sheet name="SPL" sheetId="4" state="visible" r:id="rId6"/>
    <sheet name="SFP" sheetId="5" state="visible" r:id="rId7"/>
    <sheet name="Practice" sheetId="6" state="visible" r:id="rId8"/>
    <sheet name="Answer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<sst xmlns="http://schemas.openxmlformats.org/spreadsheetml/2006/main" count="205" uniqueCount="134">
  <si>
    <t xml:space="preserve">Statement of Profit or Loss and Statement of Financial Position</t>
  </si>
  <si>
    <t xml:space="preserve">Senior 1 Accounting. Free to use and share.</t>
  </si>
  <si>
    <t xml:space="preserve">How to use this workbook</t>
  </si>
  <si>
    <t xml:space="preserve">1. Start with the worked example sheets. Change any blue number and watch every answer update.</t>
  </si>
  <si>
    <t xml:space="preserve">2. Then try the Practice sheet. Type your answers in the yellow cells.</t>
  </si>
  <si>
    <t xml:space="preserve">3. The Check column tells you 'Correct' or 'Try again' as soon as you type.</t>
  </si>
  <si>
    <t xml:space="preserve">4. The Answers sheet is hidden. When you finish, right-click any sheet tab and choose Unhide to see full answers.</t>
  </si>
  <si>
    <t xml:space="preserve">Colour key</t>
  </si>
  <si>
    <t xml:space="preserve">Blue text = an input you can change.</t>
  </si>
  <si>
    <t xml:space="preserve">Black text = a formula. Do not type over it.</t>
  </si>
  <si>
    <t xml:space="preserve">Yellow cell = your answer goes here.</t>
  </si>
  <si>
    <t xml:space="preserve">Worked example: Amina Stores (notes section 6). Practice: Ben's Bikes (Model Question FS.6).</t>
  </si>
  <si>
    <t xml:space="preserve">Amina Stores: Trial balance at 31 December 2025</t>
  </si>
  <si>
    <t xml:space="preserve">Account</t>
  </si>
  <si>
    <t xml:space="preserve">Dr $</t>
  </si>
  <si>
    <t xml:space="preserve">Cr $</t>
  </si>
  <si>
    <t xml:space="preserve">Revenue</t>
  </si>
  <si>
    <t xml:space="preserve">Purchases</t>
  </si>
  <si>
    <t xml:space="preserve">Sales returns</t>
  </si>
  <si>
    <t xml:space="preserve">Purchases returns</t>
  </si>
  <si>
    <t xml:space="preserve">Carriage inwards</t>
  </si>
  <si>
    <t xml:space="preserve">Carriage outwards</t>
  </si>
  <si>
    <t xml:space="preserve">Inventory at 1 January 2025</t>
  </si>
  <si>
    <t xml:space="preserve">Wages</t>
  </si>
  <si>
    <t xml:space="preserve">Rent</t>
  </si>
  <si>
    <t xml:space="preserve">Insurance</t>
  </si>
  <si>
    <t xml:space="preserve">General expenses</t>
  </si>
  <si>
    <t xml:space="preserve">Discount allowed</t>
  </si>
  <si>
    <t xml:space="preserve">Discount received</t>
  </si>
  <si>
    <t xml:space="preserve">Irrecoverable debts</t>
  </si>
  <si>
    <t xml:space="preserve">Premises at cost</t>
  </si>
  <si>
    <t xml:space="preserve">Equipment at cost</t>
  </si>
  <si>
    <t xml:space="preserve">Provision for depreciation: equipment</t>
  </si>
  <si>
    <t xml:space="preserve">Trade receivables</t>
  </si>
  <si>
    <t xml:space="preserve">Allowance for irrecoverable debts</t>
  </si>
  <si>
    <t xml:space="preserve">Trade payables</t>
  </si>
  <si>
    <t xml:space="preserve">Bank</t>
  </si>
  <si>
    <t xml:space="preserve">Cash</t>
  </si>
  <si>
    <t xml:space="preserve">Loan (repayable 2030)</t>
  </si>
  <si>
    <t xml:space="preserve">Capital</t>
  </si>
  <si>
    <t xml:space="preserve">Drawings</t>
  </si>
  <si>
    <t xml:space="preserve">Totals</t>
  </si>
  <si>
    <t xml:space="preserve">Amina Stores: Additional information at 31 December 2025</t>
  </si>
  <si>
    <t xml:space="preserve">1. Closing inventory</t>
  </si>
  <si>
    <t xml:space="preserve">2. Rent owing (accrued)</t>
  </si>
  <si>
    <t xml:space="preserve">3. Insurance prepaid</t>
  </si>
  <si>
    <t xml:space="preserve">4. Allowance for irrecoverable debts (% of trade receivables)</t>
  </si>
  <si>
    <t xml:space="preserve">5. Equipment depreciation (% of cost, straight line)</t>
  </si>
  <si>
    <t xml:space="preserve">6. Loan interest rate per year (none paid)</t>
  </si>
  <si>
    <t xml:space="preserve">Amina Stores: Statement of Profit or Loss for the year ended 31 December 2025</t>
  </si>
  <si>
    <t xml:space="preserve">$</t>
  </si>
  <si>
    <t xml:space="preserve">Less: Sales returns</t>
  </si>
  <si>
    <t xml:space="preserve">Net revenue</t>
  </si>
  <si>
    <t xml:space="preserve">Less: Cost of sales</t>
  </si>
  <si>
    <t xml:space="preserve">Opening inventory</t>
  </si>
  <si>
    <t xml:space="preserve">Add: Purchases</t>
  </si>
  <si>
    <t xml:space="preserve">Less: Purchases returns</t>
  </si>
  <si>
    <t xml:space="preserve">Add: Carriage inwards</t>
  </si>
  <si>
    <t xml:space="preserve">Cost of goods available for sale</t>
  </si>
  <si>
    <t xml:space="preserve">Less: Closing inventory</t>
  </si>
  <si>
    <t xml:space="preserve">Cost of sales</t>
  </si>
  <si>
    <t xml:space="preserve">Gross profit</t>
  </si>
  <si>
    <t xml:space="preserve">Add: Other income</t>
  </si>
  <si>
    <t xml:space="preserve">Decrease in allowance for irrecoverable debts</t>
  </si>
  <si>
    <t xml:space="preserve">Total other income</t>
  </si>
  <si>
    <t xml:space="preserve">Less: Expenses</t>
  </si>
  <si>
    <t xml:space="preserve">Rent (paid + owing)</t>
  </si>
  <si>
    <t xml:space="preserve">Insurance (paid - prepaid)</t>
  </si>
  <si>
    <t xml:space="preserve">Increase in allowance for irrecoverable debts</t>
  </si>
  <si>
    <t xml:space="preserve">Depreciation: equipment</t>
  </si>
  <si>
    <t xml:space="preserve">Loan interest</t>
  </si>
  <si>
    <t xml:space="preserve">Total expenses</t>
  </si>
  <si>
    <t xml:space="preserve">Profit for the year</t>
  </si>
  <si>
    <t xml:space="preserve">Amina Stores: Statement of Financial Position at 31 December 2025</t>
  </si>
  <si>
    <t xml:space="preserve">Cost $</t>
  </si>
  <si>
    <t xml:space="preserve">Acc. dep. $</t>
  </si>
  <si>
    <t xml:space="preserve">NBV $</t>
  </si>
  <si>
    <t xml:space="preserve">Non-current assets</t>
  </si>
  <si>
    <t xml:space="preserve">Premises</t>
  </si>
  <si>
    <t xml:space="preserve">Equipment</t>
  </si>
  <si>
    <t xml:space="preserve">Total non-current assets</t>
  </si>
  <si>
    <t xml:space="preserve">Current assets</t>
  </si>
  <si>
    <t xml:space="preserve">Inventory</t>
  </si>
  <si>
    <t xml:space="preserve">Less: Allowance for irrecoverable debts</t>
  </si>
  <si>
    <t xml:space="preserve">Other receivables (insurance prepaid)</t>
  </si>
  <si>
    <t xml:space="preserve">Total current assets</t>
  </si>
  <si>
    <t xml:space="preserve">Current liabilities</t>
  </si>
  <si>
    <t xml:space="preserve">Other payables (rent owing + loan interest owing)</t>
  </si>
  <si>
    <t xml:space="preserve">Total current liabilities</t>
  </si>
  <si>
    <t xml:space="preserve">Net current assets (working capital)</t>
  </si>
  <si>
    <t xml:space="preserve">Non-current liabilities</t>
  </si>
  <si>
    <t xml:space="preserve">Loan</t>
  </si>
  <si>
    <t xml:space="preserve">Net assets</t>
  </si>
  <si>
    <t xml:space="preserve">Opening capital</t>
  </si>
  <si>
    <t xml:space="preserve">Add: Profit for the year</t>
  </si>
  <si>
    <t xml:space="preserve">Less: Drawings</t>
  </si>
  <si>
    <t xml:space="preserve">Closing capital</t>
  </si>
  <si>
    <t xml:space="preserve">Check</t>
  </si>
  <si>
    <t xml:space="preserve">Practice: Ben's Bikes (Model Question FS.6)</t>
  </si>
  <si>
    <t xml:space="preserve">Type your answers in the yellow cells. The Check column marks them.</t>
  </si>
  <si>
    <t xml:space="preserve">Prepare both statements on paper, then enter the key figures below.</t>
  </si>
  <si>
    <t xml:space="preserve">Trial balance at 30 June 2026</t>
  </si>
  <si>
    <t xml:space="preserve">Inventory at 1 July 2025</t>
  </si>
  <si>
    <t xml:space="preserve">Electricity</t>
  </si>
  <si>
    <t xml:space="preserve">Advertising</t>
  </si>
  <si>
    <t xml:space="preserve">Rent received</t>
  </si>
  <si>
    <t xml:space="preserve">Motor vehicles at cost</t>
  </si>
  <si>
    <t xml:space="preserve">Provision for depreciation: motor vehicles</t>
  </si>
  <si>
    <t xml:space="preserve">Fixtures at cost</t>
  </si>
  <si>
    <t xml:space="preserve">Provision for depreciation: fixtures</t>
  </si>
  <si>
    <t xml:space="preserve">Additional information at 30 June 2026</t>
  </si>
  <si>
    <t xml:space="preserve">2. Electricity owing</t>
  </si>
  <si>
    <t xml:space="preserve">4. Rent received in advance</t>
  </si>
  <si>
    <t xml:space="preserve">5. Allowance (% of trade receivables)</t>
  </si>
  <si>
    <t xml:space="preserve">6. Motor vehicles depreciation (reducing balance)</t>
  </si>
  <si>
    <t xml:space="preserve">7. Fixtures depreciation (straight line on cost)</t>
  </si>
  <si>
    <t xml:space="preserve">Question</t>
  </si>
  <si>
    <t xml:space="preserve">Your answer</t>
  </si>
  <si>
    <t xml:space="preserve">a) Statement of Profit or Loss</t>
  </si>
  <si>
    <t xml:space="preserve">Cost of goods available for sale (before closing inventory)</t>
  </si>
  <si>
    <t xml:space="preserve">Rent received (income for the year)</t>
  </si>
  <si>
    <t xml:space="preserve">Electricity expense</t>
  </si>
  <si>
    <t xml:space="preserve">Insurance expense</t>
  </si>
  <si>
    <t xml:space="preserve">Depreciation: motor vehicles</t>
  </si>
  <si>
    <t xml:space="preserve">Depreciation: fixtures</t>
  </si>
  <si>
    <t xml:space="preserve">b) Statement of Financial Position</t>
  </si>
  <si>
    <t xml:space="preserve">Motor vehicles: NBV</t>
  </si>
  <si>
    <t xml:space="preserve">Fixtures: NBV</t>
  </si>
  <si>
    <t xml:space="preserve">Net trade receivables (after allowance)</t>
  </si>
  <si>
    <t xml:space="preserve">Other payables</t>
  </si>
  <si>
    <t xml:space="preserve">Your score (number correct)</t>
  </si>
  <si>
    <t xml:space="preserve">Practice: Ben's Bikes (Model Question FS.6): Answers</t>
  </si>
  <si>
    <t xml:space="preserve">Every answer is a formula linked to the Practice sheet data.</t>
  </si>
  <si>
    <t xml:space="preserve">Answer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</si>
</sst>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6" t="s">
        <v>10</v>
      </c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12</v>
      </c>
    </row>
    <row r="3" customFormat="false" ht="15" hidden="false" customHeight="false" outlineLevel="0" collapsed="false">
      <c r="A3" s="7" t="s">
        <v>13</v>
      </c>
      <c r="B3" s="7" t="s">
        <v>14</v>
      </c>
      <c r="C3" s="7" t="s">
        <v>15</v>
      </c>
    </row>
    <row r="4" customFormat="false" ht="15" hidden="false" customHeight="false" outlineLevel="0" collapsed="false">
      <c r="A4" s="4" t="s">
        <v>16</v>
      </c>
      <c r="C4" s="8" t="n">
        <v>110000</v>
      </c>
    </row>
    <row r="5" customFormat="false" ht="15" hidden="false" customHeight="false" outlineLevel="0" collapsed="false">
      <c r="A5" s="4" t="s">
        <v>17</v>
      </c>
      <c r="B5" s="8" t="n">
        <v>62000</v>
      </c>
    </row>
    <row r="6" customFormat="false" ht="15" hidden="false" customHeight="false" outlineLevel="0" collapsed="false">
      <c r="A6" s="4" t="s">
        <v>18</v>
      </c>
      <c r="B6" s="8" t="n">
        <v>1500</v>
      </c>
    </row>
    <row r="7" customFormat="false" ht="15" hidden="false" customHeight="false" outlineLevel="0" collapsed="false">
      <c r="A7" s="4" t="s">
        <v>19</v>
      </c>
      <c r="C7" s="8" t="n">
        <v>1200</v>
      </c>
    </row>
    <row r="8" customFormat="false" ht="15" hidden="false" customHeight="false" outlineLevel="0" collapsed="false">
      <c r="A8" s="4" t="s">
        <v>20</v>
      </c>
      <c r="B8" s="8" t="n">
        <v>800</v>
      </c>
    </row>
    <row r="9" customFormat="false" ht="15" hidden="false" customHeight="false" outlineLevel="0" collapsed="false">
      <c r="A9" s="4" t="s">
        <v>21</v>
      </c>
      <c r="B9" s="8" t="n">
        <v>600</v>
      </c>
    </row>
    <row r="10" customFormat="false" ht="15" hidden="false" customHeight="false" outlineLevel="0" collapsed="false">
      <c r="A10" s="4" t="s">
        <v>22</v>
      </c>
      <c r="B10" s="8" t="n">
        <v>8000</v>
      </c>
    </row>
    <row r="11" customFormat="false" ht="15" hidden="false" customHeight="false" outlineLevel="0" collapsed="false">
      <c r="A11" s="4" t="s">
        <v>23</v>
      </c>
      <c r="B11" s="8" t="n">
        <v>14000</v>
      </c>
    </row>
    <row r="12" customFormat="false" ht="15" hidden="false" customHeight="false" outlineLevel="0" collapsed="false">
      <c r="A12" s="4" t="s">
        <v>24</v>
      </c>
      <c r="B12" s="8" t="n">
        <v>5500</v>
      </c>
    </row>
    <row r="13" customFormat="false" ht="15" hidden="false" customHeight="false" outlineLevel="0" collapsed="false">
      <c r="A13" s="4" t="s">
        <v>25</v>
      </c>
      <c r="B13" s="8" t="n">
        <v>1800</v>
      </c>
    </row>
    <row r="14" customFormat="false" ht="15" hidden="false" customHeight="false" outlineLevel="0" collapsed="false">
      <c r="A14" s="4" t="s">
        <v>26</v>
      </c>
      <c r="B14" s="8" t="n">
        <v>2100</v>
      </c>
    </row>
    <row r="15" customFormat="false" ht="15" hidden="false" customHeight="false" outlineLevel="0" collapsed="false">
      <c r="A15" s="4" t="s">
        <v>27</v>
      </c>
      <c r="B15" s="8" t="n">
        <v>400</v>
      </c>
    </row>
    <row r="16" customFormat="false" ht="15" hidden="false" customHeight="false" outlineLevel="0" collapsed="false">
      <c r="A16" s="4" t="s">
        <v>28</v>
      </c>
      <c r="C16" s="8" t="n">
        <v>500</v>
      </c>
    </row>
    <row r="17" customFormat="false" ht="15" hidden="false" customHeight="false" outlineLevel="0" collapsed="false">
      <c r="A17" s="4" t="s">
        <v>29</v>
      </c>
      <c r="B17" s="8" t="n">
        <v>700</v>
      </c>
    </row>
    <row r="18" customFormat="false" ht="15" hidden="false" customHeight="false" outlineLevel="0" collapsed="false">
      <c r="A18" s="4" t="s">
        <v>30</v>
      </c>
      <c r="B18" s="8" t="n">
        <v>60000</v>
      </c>
    </row>
    <row r="19" customFormat="false" ht="15" hidden="false" customHeight="false" outlineLevel="0" collapsed="false">
      <c r="A19" s="4" t="s">
        <v>31</v>
      </c>
      <c r="B19" s="8" t="n">
        <v>20000</v>
      </c>
    </row>
    <row r="20" customFormat="false" ht="15" hidden="false" customHeight="false" outlineLevel="0" collapsed="false">
      <c r="A20" s="4" t="s">
        <v>32</v>
      </c>
      <c r="C20" s="8" t="n">
        <v>6000</v>
      </c>
    </row>
    <row r="21" customFormat="false" ht="15" hidden="false" customHeight="false" outlineLevel="0" collapsed="false">
      <c r="A21" s="4" t="s">
        <v>33</v>
      </c>
      <c r="B21" s="8" t="n">
        <v>12000</v>
      </c>
    </row>
    <row r="22" customFormat="false" ht="15" hidden="false" customHeight="false" outlineLevel="0" collapsed="false">
      <c r="A22" s="4" t="s">
        <v>34</v>
      </c>
      <c r="C22" s="8" t="n">
        <v>400</v>
      </c>
    </row>
    <row r="23" customFormat="false" ht="15" hidden="false" customHeight="false" outlineLevel="0" collapsed="false">
      <c r="A23" s="4" t="s">
        <v>35</v>
      </c>
      <c r="C23" s="8" t="n">
        <v>7500</v>
      </c>
    </row>
    <row r="24" customFormat="false" ht="15" hidden="false" customHeight="false" outlineLevel="0" collapsed="false">
      <c r="A24" s="4" t="s">
        <v>36</v>
      </c>
      <c r="B24" s="8" t="n">
        <v>4300</v>
      </c>
    </row>
    <row r="25" customFormat="false" ht="15" hidden="false" customHeight="false" outlineLevel="0" collapsed="false">
      <c r="A25" s="4" t="s">
        <v>37</v>
      </c>
      <c r="B25" s="8" t="n">
        <v>200</v>
      </c>
    </row>
    <row r="26" customFormat="false" ht="15" hidden="false" customHeight="false" outlineLevel="0" collapsed="false">
      <c r="A26" s="4" t="s">
        <v>38</v>
      </c>
      <c r="C26" s="8" t="n">
        <v>10000</v>
      </c>
    </row>
    <row r="27" customFormat="false" ht="15" hidden="false" customHeight="false" outlineLevel="0" collapsed="false">
      <c r="A27" s="4" t="s">
        <v>39</v>
      </c>
      <c r="C27" s="8" t="n">
        <v>67300</v>
      </c>
    </row>
    <row r="28" customFormat="false" ht="15" hidden="false" customHeight="false" outlineLevel="0" collapsed="false">
      <c r="A28" s="4" t="s">
        <v>40</v>
      </c>
      <c r="B28" s="8" t="n">
        <v>9000</v>
      </c>
    </row>
    <row r="29" customFormat="false" ht="15" hidden="false" customHeight="false" outlineLevel="0" collapsed="false">
      <c r="A29" s="3" t="s">
        <v>41</v>
      </c>
      <c r="B29" s="9" t="n">
        <f aca="false">SUM(B4:B28)</f>
        <v>202900</v>
      </c>
      <c r="C29" s="9" t="n">
        <f aca="false">SUM(C4:C28)</f>
        <v>202900</v>
      </c>
      <c r="D29" s="4" t="str">
        <f aca="false">IF(B29=C29,"Trial balance agrees","Does not agree")</f>
        <v>Trial balance agrees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42</v>
      </c>
    </row>
    <row r="3" customFormat="false" ht="15" hidden="false" customHeight="false" outlineLevel="0" collapsed="false">
      <c r="A3" s="4" t="s">
        <v>43</v>
      </c>
      <c r="B3" s="8" t="n">
        <v>9500</v>
      </c>
    </row>
    <row r="4" customFormat="false" ht="15" hidden="false" customHeight="false" outlineLevel="0" collapsed="false">
      <c r="A4" s="4" t="s">
        <v>44</v>
      </c>
      <c r="B4" s="8" t="n">
        <v>500</v>
      </c>
    </row>
    <row r="5" customFormat="false" ht="15" hidden="false" customHeight="false" outlineLevel="0" collapsed="false">
      <c r="A5" s="4" t="s">
        <v>45</v>
      </c>
      <c r="B5" s="8" t="n">
        <v>300</v>
      </c>
    </row>
    <row r="6" customFormat="false" ht="15" hidden="false" customHeight="false" outlineLevel="0" collapsed="false">
      <c r="A6" s="4" t="s">
        <v>46</v>
      </c>
      <c r="B6" s="10" t="n">
        <v>0.05</v>
      </c>
    </row>
    <row r="7" customFormat="false" ht="15" hidden="false" customHeight="false" outlineLevel="0" collapsed="false">
      <c r="A7" s="4" t="s">
        <v>47</v>
      </c>
      <c r="B7" s="10" t="n">
        <v>0.1</v>
      </c>
    </row>
    <row r="8" customFormat="false" ht="15" hidden="false" customHeight="false" outlineLevel="0" collapsed="false">
      <c r="A8" s="4" t="s">
        <v>48</v>
      </c>
      <c r="B8" s="1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49</v>
      </c>
    </row>
    <row r="3" customFormat="false" ht="15" hidden="false" customHeight="false" outlineLevel="0" collapsed="false">
      <c r="A3" s="7"/>
      <c r="B3" s="7" t="s">
        <v>50</v>
      </c>
      <c r="C3" s="7" t="s">
        <v>50</v>
      </c>
    </row>
    <row r="4" customFormat="false" ht="15" hidden="false" customHeight="false" outlineLevel="0" collapsed="false">
      <c r="A4" s="4" t="s">
        <v>16</v>
      </c>
      <c r="C4" s="11" t="n">
        <f aca="false">'Trial Balance'!$C$4</f>
        <v>110000</v>
      </c>
    </row>
    <row r="5" customFormat="false" ht="15" hidden="false" customHeight="false" outlineLevel="0" collapsed="false">
      <c r="A5" s="4" t="s">
        <v>51</v>
      </c>
      <c r="C5" s="11" t="n">
        <f aca="false">'Trial Balance'!$B$6</f>
        <v>1500</v>
      </c>
    </row>
    <row r="6" customFormat="false" ht="15" hidden="false" customHeight="false" outlineLevel="0" collapsed="false">
      <c r="A6" s="3" t="s">
        <v>52</v>
      </c>
      <c r="C6" s="12" t="n">
        <f aca="false">C4-C5</f>
        <v>108500</v>
      </c>
    </row>
    <row r="7" customFormat="false" ht="15" hidden="false" customHeight="false" outlineLevel="0" collapsed="false">
      <c r="A7" s="3" t="s">
        <v>53</v>
      </c>
    </row>
    <row r="8" customFormat="false" ht="15" hidden="false" customHeight="false" outlineLevel="0" collapsed="false">
      <c r="A8" s="4" t="s">
        <v>54</v>
      </c>
      <c r="B8" s="11" t="n">
        <f aca="false">'Trial Balance'!$B$10</f>
        <v>8000</v>
      </c>
    </row>
    <row r="9" customFormat="false" ht="15" hidden="false" customHeight="false" outlineLevel="0" collapsed="false">
      <c r="A9" s="4" t="s">
        <v>55</v>
      </c>
      <c r="B9" s="11" t="n">
        <f aca="false">'Trial Balance'!$B$5</f>
        <v>62000</v>
      </c>
    </row>
    <row r="10" customFormat="false" ht="15" hidden="false" customHeight="false" outlineLevel="0" collapsed="false">
      <c r="A10" s="4" t="s">
        <v>56</v>
      </c>
      <c r="B10" s="11" t="n">
        <f aca="false">-'Trial Balance'!$C$7</f>
        <v>-1200</v>
      </c>
    </row>
    <row r="11" customFormat="false" ht="15" hidden="false" customHeight="false" outlineLevel="0" collapsed="false">
      <c r="A11" s="4" t="s">
        <v>57</v>
      </c>
      <c r="B11" s="11" t="n">
        <f aca="false">'Trial Balance'!$B$8</f>
        <v>800</v>
      </c>
    </row>
    <row r="12" customFormat="false" ht="15" hidden="false" customHeight="false" outlineLevel="0" collapsed="false">
      <c r="A12" s="4" t="s">
        <v>58</v>
      </c>
      <c r="B12" s="13" t="n">
        <f aca="false">SUM(B8:B11)</f>
        <v>69600</v>
      </c>
    </row>
    <row r="13" customFormat="false" ht="15" hidden="false" customHeight="false" outlineLevel="0" collapsed="false">
      <c r="A13" s="4" t="s">
        <v>59</v>
      </c>
      <c r="B13" s="11" t="n">
        <f aca="false">-Adjustments!$B$3</f>
        <v>-9500</v>
      </c>
    </row>
    <row r="14" customFormat="false" ht="15" hidden="false" customHeight="false" outlineLevel="0" collapsed="false">
      <c r="A14" s="3" t="s">
        <v>60</v>
      </c>
      <c r="C14" s="14" t="n">
        <f aca="false">B12+B13</f>
        <v>60100</v>
      </c>
    </row>
    <row r="15" customFormat="false" ht="15" hidden="false" customHeight="false" outlineLevel="0" collapsed="false">
      <c r="A15" s="3" t="s">
        <v>61</v>
      </c>
      <c r="C15" s="12" t="n">
        <f aca="false">C6-C14</f>
        <v>48400</v>
      </c>
    </row>
    <row r="16" customFormat="false" ht="15" hidden="false" customHeight="false" outlineLevel="0" collapsed="false">
      <c r="A16" s="3" t="s">
        <v>62</v>
      </c>
    </row>
    <row r="17" customFormat="false" ht="15" hidden="false" customHeight="false" outlineLevel="0" collapsed="false">
      <c r="A17" s="4" t="s">
        <v>28</v>
      </c>
      <c r="B17" s="11" t="n">
        <f aca="false">'Trial Balance'!$C$16</f>
        <v>500</v>
      </c>
    </row>
    <row r="18" customFormat="false" ht="15" hidden="false" customHeight="false" outlineLevel="0" collapsed="false">
      <c r="A18" s="4" t="s">
        <v>63</v>
      </c>
      <c r="B18" s="11" t="n">
        <f aca="false">MAX(-(ROUND('Trial Balance'!$B$21*Adjustments!$B$6,2)-'Trial Balance'!$C$22),0)</f>
        <v>0</v>
      </c>
    </row>
    <row r="19" customFormat="false" ht="15" hidden="false" customHeight="false" outlineLevel="0" collapsed="false">
      <c r="A19" s="4" t="s">
        <v>64</v>
      </c>
      <c r="C19" s="11" t="n">
        <f aca="false">B17+B18</f>
        <v>500</v>
      </c>
    </row>
    <row r="20" customFormat="false" ht="15" hidden="false" customHeight="false" outlineLevel="0" collapsed="false">
      <c r="A20" s="4"/>
      <c r="C20" s="13" t="n">
        <f aca="false">C15+C19</f>
        <v>48900</v>
      </c>
    </row>
    <row r="21" customFormat="false" ht="15" hidden="false" customHeight="false" outlineLevel="0" collapsed="false">
      <c r="A21" s="3" t="s">
        <v>65</v>
      </c>
    </row>
    <row r="22" customFormat="false" ht="15" hidden="false" customHeight="false" outlineLevel="0" collapsed="false">
      <c r="A22" s="4" t="s">
        <v>23</v>
      </c>
      <c r="B22" s="11" t="n">
        <f aca="false">'Trial Balance'!$B$11</f>
        <v>14000</v>
      </c>
    </row>
    <row r="23" customFormat="false" ht="15" hidden="false" customHeight="false" outlineLevel="0" collapsed="false">
      <c r="A23" s="4" t="s">
        <v>66</v>
      </c>
      <c r="B23" s="11" t="n">
        <f aca="false">'Trial Balance'!$B$12+Adjustments!$B$4</f>
        <v>6000</v>
      </c>
    </row>
    <row r="24" customFormat="false" ht="15" hidden="false" customHeight="false" outlineLevel="0" collapsed="false">
      <c r="A24" s="4" t="s">
        <v>67</v>
      </c>
      <c r="B24" s="11" t="n">
        <f aca="false">'Trial Balance'!$B$13-Adjustments!$B$5</f>
        <v>1500</v>
      </c>
    </row>
    <row r="25" customFormat="false" ht="15" hidden="false" customHeight="false" outlineLevel="0" collapsed="false">
      <c r="A25" s="4" t="s">
        <v>26</v>
      </c>
      <c r="B25" s="11" t="n">
        <f aca="false">'Trial Balance'!$B$14</f>
        <v>2100</v>
      </c>
    </row>
    <row r="26" customFormat="false" ht="15" hidden="false" customHeight="false" outlineLevel="0" collapsed="false">
      <c r="A26" s="4" t="s">
        <v>21</v>
      </c>
      <c r="B26" s="11" t="n">
        <f aca="false">'Trial Balance'!$B$9</f>
        <v>600</v>
      </c>
    </row>
    <row r="27" customFormat="false" ht="15" hidden="false" customHeight="false" outlineLevel="0" collapsed="false">
      <c r="A27" s="4" t="s">
        <v>27</v>
      </c>
      <c r="B27" s="11" t="n">
        <f aca="false">'Trial Balance'!$B$15</f>
        <v>400</v>
      </c>
    </row>
    <row r="28" customFormat="false" ht="15" hidden="false" customHeight="false" outlineLevel="0" collapsed="false">
      <c r="A28" s="4" t="s">
        <v>29</v>
      </c>
      <c r="B28" s="11" t="n">
        <f aca="false">'Trial Balance'!$B$17</f>
        <v>700</v>
      </c>
    </row>
    <row r="29" customFormat="false" ht="15" hidden="false" customHeight="false" outlineLevel="0" collapsed="false">
      <c r="A29" s="4" t="s">
        <v>68</v>
      </c>
      <c r="B29" s="11" t="n">
        <f aca="false">MAX(ROUND('Trial Balance'!$B$21*Adjustments!$B$6,2)-'Trial Balance'!$C$22,0)</f>
        <v>200</v>
      </c>
    </row>
    <row r="30" customFormat="false" ht="15" hidden="false" customHeight="false" outlineLevel="0" collapsed="false">
      <c r="A30" s="4" t="s">
        <v>69</v>
      </c>
      <c r="B30" s="11" t="n">
        <f aca="false">'Trial Balance'!$B$19*Adjustments!$B$7</f>
        <v>2000</v>
      </c>
    </row>
    <row r="31" customFormat="false" ht="15" hidden="false" customHeight="false" outlineLevel="0" collapsed="false">
      <c r="A31" s="4" t="s">
        <v>70</v>
      </c>
      <c r="B31" s="11" t="n">
        <f aca="false">'Trial Balance'!$C$26*Adjustments!$B$8</f>
        <v>500</v>
      </c>
    </row>
    <row r="32" customFormat="false" ht="15" hidden="false" customHeight="false" outlineLevel="0" collapsed="false">
      <c r="A32" s="4" t="s">
        <v>71</v>
      </c>
      <c r="C32" s="13" t="n">
        <f aca="false">SUM(B22:B31)</f>
        <v>28000</v>
      </c>
    </row>
    <row r="33" customFormat="false" ht="15" hidden="false" customHeight="false" outlineLevel="0" collapsed="false">
      <c r="A33" s="3" t="s">
        <v>72</v>
      </c>
      <c r="C33" s="9" t="n">
        <f aca="false">C20-C32</f>
        <v>20900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73</v>
      </c>
    </row>
    <row r="3" customFormat="false" ht="15" hidden="false" customHeight="false" outlineLevel="0" collapsed="false">
      <c r="A3" s="7"/>
      <c r="B3" s="7" t="s">
        <v>74</v>
      </c>
      <c r="C3" s="7" t="s">
        <v>75</v>
      </c>
      <c r="D3" s="7" t="s">
        <v>76</v>
      </c>
    </row>
    <row r="4" customFormat="false" ht="15" hidden="false" customHeight="false" outlineLevel="0" collapsed="false">
      <c r="A4" s="3" t="s">
        <v>77</v>
      </c>
    </row>
    <row r="5" customFormat="false" ht="15" hidden="false" customHeight="false" outlineLevel="0" collapsed="false">
      <c r="A5" s="4" t="s">
        <v>78</v>
      </c>
      <c r="B5" s="11" t="n">
        <f aca="false">'Trial Balance'!$B$18</f>
        <v>60000</v>
      </c>
      <c r="C5" s="11" t="n">
        <f aca="false">0</f>
        <v>0</v>
      </c>
      <c r="D5" s="11" t="n">
        <f aca="false">B5-C5</f>
        <v>60000</v>
      </c>
    </row>
    <row r="6" customFormat="false" ht="15" hidden="false" customHeight="false" outlineLevel="0" collapsed="false">
      <c r="A6" s="4" t="s">
        <v>79</v>
      </c>
      <c r="B6" s="11" t="n">
        <f aca="false">'Trial Balance'!$B$19</f>
        <v>20000</v>
      </c>
      <c r="C6" s="11" t="n">
        <f aca="false">'Trial Balance'!$C$20+SPL!B30</f>
        <v>8000</v>
      </c>
      <c r="D6" s="11" t="n">
        <f aca="false">B6-C6</f>
        <v>12000</v>
      </c>
    </row>
    <row r="7" customFormat="false" ht="15" hidden="false" customHeight="false" outlineLevel="0" collapsed="false">
      <c r="A7" s="3" t="s">
        <v>80</v>
      </c>
      <c r="B7" s="12" t="n">
        <f aca="false">B5+B6</f>
        <v>80000</v>
      </c>
      <c r="C7" s="12" t="n">
        <f aca="false">C5+C6</f>
        <v>8000</v>
      </c>
      <c r="D7" s="12" t="n">
        <f aca="false">D5+D6</f>
        <v>72000</v>
      </c>
    </row>
    <row r="8" customFormat="false" ht="15" hidden="false" customHeight="false" outlineLevel="0" collapsed="false">
      <c r="A8" s="3" t="s">
        <v>81</v>
      </c>
    </row>
    <row r="9" customFormat="false" ht="15" hidden="false" customHeight="false" outlineLevel="0" collapsed="false">
      <c r="A9" s="4" t="s">
        <v>82</v>
      </c>
      <c r="C9" s="11" t="n">
        <f aca="false">Adjustments!$B$3</f>
        <v>9500</v>
      </c>
    </row>
    <row r="10" customFormat="false" ht="15" hidden="false" customHeight="false" outlineLevel="0" collapsed="false">
      <c r="A10" s="4" t="s">
        <v>33</v>
      </c>
      <c r="B10" s="11" t="n">
        <f aca="false">'Trial Balance'!$B$21</f>
        <v>12000</v>
      </c>
    </row>
    <row r="11" customFormat="false" ht="15" hidden="false" customHeight="false" outlineLevel="0" collapsed="false">
      <c r="A11" s="4" t="s">
        <v>83</v>
      </c>
      <c r="B11" s="11" t="n">
        <f aca="false">ROUND('Trial Balance'!$B$21*Adjustments!$B$6,2)</f>
        <v>600</v>
      </c>
      <c r="C11" s="11" t="n">
        <f aca="false">B10-B11</f>
        <v>11400</v>
      </c>
    </row>
    <row r="12" customFormat="false" ht="15" hidden="false" customHeight="false" outlineLevel="0" collapsed="false">
      <c r="A12" s="4" t="s">
        <v>84</v>
      </c>
      <c r="C12" s="11" t="n">
        <f aca="false">Adjustments!$B$5</f>
        <v>300</v>
      </c>
    </row>
    <row r="13" customFormat="false" ht="15" hidden="false" customHeight="false" outlineLevel="0" collapsed="false">
      <c r="A13" s="4" t="s">
        <v>36</v>
      </c>
      <c r="C13" s="11" t="n">
        <f aca="false">'Trial Balance'!$B$24</f>
        <v>4300</v>
      </c>
    </row>
    <row r="14" customFormat="false" ht="15" hidden="false" customHeight="false" outlineLevel="0" collapsed="false">
      <c r="A14" s="4" t="s">
        <v>37</v>
      </c>
      <c r="C14" s="11" t="n">
        <f aca="false">'Trial Balance'!$B$25</f>
        <v>200</v>
      </c>
    </row>
    <row r="15" customFormat="false" ht="15" hidden="false" customHeight="false" outlineLevel="0" collapsed="false">
      <c r="A15" s="3" t="s">
        <v>85</v>
      </c>
      <c r="C15" s="12" t="n">
        <f aca="false">SUM(C9:C14)</f>
        <v>25700</v>
      </c>
    </row>
    <row r="16" customFormat="false" ht="15" hidden="false" customHeight="false" outlineLevel="0" collapsed="false">
      <c r="A16" s="3" t="s">
        <v>86</v>
      </c>
    </row>
    <row r="17" customFormat="false" ht="15" hidden="false" customHeight="false" outlineLevel="0" collapsed="false">
      <c r="A17" s="4" t="s">
        <v>35</v>
      </c>
      <c r="C17" s="11" t="n">
        <f aca="false">'Trial Balance'!$C$23</f>
        <v>7500</v>
      </c>
    </row>
    <row r="18" customFormat="false" ht="15" hidden="false" customHeight="false" outlineLevel="0" collapsed="false">
      <c r="A18" s="4" t="s">
        <v>87</v>
      </c>
      <c r="C18" s="11" t="n">
        <f aca="false">Adjustments!$B$4+SPL!B31</f>
        <v>1000</v>
      </c>
    </row>
    <row r="19" customFormat="false" ht="15" hidden="false" customHeight="false" outlineLevel="0" collapsed="false">
      <c r="A19" s="3" t="s">
        <v>88</v>
      </c>
      <c r="C19" s="12" t="n">
        <f aca="false">C17+C18</f>
        <v>8500</v>
      </c>
    </row>
    <row r="20" customFormat="false" ht="15" hidden="false" customHeight="false" outlineLevel="0" collapsed="false">
      <c r="A20" s="3" t="s">
        <v>89</v>
      </c>
      <c r="D20" s="14" t="n">
        <f aca="false">C15-C19</f>
        <v>17200</v>
      </c>
    </row>
    <row r="21" customFormat="false" ht="15" hidden="false" customHeight="false" outlineLevel="0" collapsed="false">
      <c r="A21" s="4"/>
      <c r="D21" s="13" t="n">
        <f aca="false">D7+D20</f>
        <v>89200</v>
      </c>
    </row>
    <row r="22" customFormat="false" ht="15" hidden="false" customHeight="false" outlineLevel="0" collapsed="false">
      <c r="A22" s="3" t="s">
        <v>90</v>
      </c>
    </row>
    <row r="23" customFormat="false" ht="15" hidden="false" customHeight="false" outlineLevel="0" collapsed="false">
      <c r="A23" s="4" t="s">
        <v>91</v>
      </c>
      <c r="D23" s="11" t="n">
        <f aca="false">'Trial Balance'!$C$26</f>
        <v>10000</v>
      </c>
    </row>
    <row r="24" customFormat="false" ht="15" hidden="false" customHeight="false" outlineLevel="0" collapsed="false">
      <c r="A24" s="3" t="s">
        <v>92</v>
      </c>
      <c r="D24" s="9" t="n">
        <f aca="false">D21-D23</f>
        <v>79200</v>
      </c>
    </row>
    <row r="26" customFormat="false" ht="15" hidden="false" customHeight="false" outlineLevel="0" collapsed="false">
      <c r="A26" s="3" t="s">
        <v>39</v>
      </c>
    </row>
    <row r="27" customFormat="false" ht="15" hidden="false" customHeight="false" outlineLevel="0" collapsed="false">
      <c r="A27" s="4" t="s">
        <v>93</v>
      </c>
      <c r="D27" s="11" t="n">
        <f aca="false">'Trial Balance'!$C$27</f>
        <v>67300</v>
      </c>
    </row>
    <row r="28" customFormat="false" ht="15" hidden="false" customHeight="false" outlineLevel="0" collapsed="false">
      <c r="A28" s="4" t="s">
        <v>94</v>
      </c>
      <c r="D28" s="11" t="n">
        <f aca="false">SPL!C33</f>
        <v>20900</v>
      </c>
    </row>
    <row r="29" customFormat="false" ht="15" hidden="false" customHeight="false" outlineLevel="0" collapsed="false">
      <c r="A29" s="4"/>
      <c r="D29" s="13" t="n">
        <f aca="false">D27+D28</f>
        <v>88200</v>
      </c>
    </row>
    <row r="30" customFormat="false" ht="15" hidden="false" customHeight="false" outlineLevel="0" collapsed="false">
      <c r="A30" s="4" t="s">
        <v>95</v>
      </c>
      <c r="D30" s="11" t="n">
        <f aca="false">'Trial Balance'!$B$28</f>
        <v>9000</v>
      </c>
    </row>
    <row r="31" customFormat="false" ht="15" hidden="false" customHeight="false" outlineLevel="0" collapsed="false">
      <c r="A31" s="3" t="s">
        <v>96</v>
      </c>
      <c r="D31" s="9" t="n">
        <f aca="false">D29-D30</f>
        <v>79200</v>
      </c>
    </row>
    <row r="33" customFormat="false" ht="15" hidden="false" customHeight="false" outlineLevel="0" collapsed="false">
      <c r="A33" s="3" t="s">
        <v>97</v>
      </c>
      <c r="D33" s="14" t="str">
        <f aca="false">IF(ROUND(D24-D31,2)=0,"Balances","Does not balance")</f>
        <v>Balances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8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3" customFormat="false" ht="15" hidden="false" customHeight="false" outlineLevel="0" collapsed="false">
      <c r="A3" s="4" t="s">
        <v>100</v>
      </c>
    </row>
    <row r="5" customFormat="false" ht="15" hidden="false" customHeight="false" outlineLevel="0" collapsed="false">
      <c r="A5" s="3" t="s">
        <v>101</v>
      </c>
    </row>
    <row r="6" customFormat="false" ht="15" hidden="false" customHeight="false" outlineLevel="0" collapsed="false">
      <c r="A6" s="7" t="s">
        <v>13</v>
      </c>
      <c r="B6" s="7" t="s">
        <v>14</v>
      </c>
      <c r="C6" s="7" t="s">
        <v>15</v>
      </c>
    </row>
    <row r="7" customFormat="false" ht="15" hidden="false" customHeight="false" outlineLevel="0" collapsed="false">
      <c r="A7" s="4" t="s">
        <v>16</v>
      </c>
      <c r="C7" s="8" t="n">
        <v>82000</v>
      </c>
    </row>
    <row r="8" customFormat="false" ht="15" hidden="false" customHeight="false" outlineLevel="0" collapsed="false">
      <c r="A8" s="4" t="s">
        <v>17</v>
      </c>
      <c r="B8" s="8" t="n">
        <v>45000</v>
      </c>
    </row>
    <row r="9" customFormat="false" ht="15" hidden="false" customHeight="false" outlineLevel="0" collapsed="false">
      <c r="A9" s="4" t="s">
        <v>18</v>
      </c>
      <c r="B9" s="8" t="n">
        <v>800</v>
      </c>
    </row>
    <row r="10" customFormat="false" ht="15" hidden="false" customHeight="false" outlineLevel="0" collapsed="false">
      <c r="A10" s="4" t="s">
        <v>19</v>
      </c>
      <c r="C10" s="8" t="n">
        <v>900</v>
      </c>
    </row>
    <row r="11" customFormat="false" ht="15" hidden="false" customHeight="false" outlineLevel="0" collapsed="false">
      <c r="A11" s="4" t="s">
        <v>20</v>
      </c>
      <c r="B11" s="8" t="n">
        <v>400</v>
      </c>
    </row>
    <row r="12" customFormat="false" ht="15" hidden="false" customHeight="false" outlineLevel="0" collapsed="false">
      <c r="A12" s="4" t="s">
        <v>102</v>
      </c>
      <c r="B12" s="8" t="n">
        <v>6200</v>
      </c>
    </row>
    <row r="13" customFormat="false" ht="15" hidden="false" customHeight="false" outlineLevel="0" collapsed="false">
      <c r="A13" s="4" t="s">
        <v>23</v>
      </c>
      <c r="B13" s="8" t="n">
        <v>12600</v>
      </c>
    </row>
    <row r="14" customFormat="false" ht="15" hidden="false" customHeight="false" outlineLevel="0" collapsed="false">
      <c r="A14" s="4" t="s">
        <v>103</v>
      </c>
      <c r="B14" s="8" t="n">
        <v>2300</v>
      </c>
    </row>
    <row r="15" customFormat="false" ht="15" hidden="false" customHeight="false" outlineLevel="0" collapsed="false">
      <c r="A15" s="4" t="s">
        <v>25</v>
      </c>
      <c r="B15" s="8" t="n">
        <v>1600</v>
      </c>
    </row>
    <row r="16" customFormat="false" ht="15" hidden="false" customHeight="false" outlineLevel="0" collapsed="false">
      <c r="A16" s="4" t="s">
        <v>104</v>
      </c>
      <c r="B16" s="8" t="n">
        <v>1200</v>
      </c>
    </row>
    <row r="17" customFormat="false" ht="15" hidden="false" customHeight="false" outlineLevel="0" collapsed="false">
      <c r="A17" s="4" t="s">
        <v>29</v>
      </c>
      <c r="B17" s="8" t="n">
        <v>350</v>
      </c>
    </row>
    <row r="18" customFormat="false" ht="15" hidden="false" customHeight="false" outlineLevel="0" collapsed="false">
      <c r="A18" s="4" t="s">
        <v>105</v>
      </c>
      <c r="C18" s="8" t="n">
        <v>2400</v>
      </c>
    </row>
    <row r="19" customFormat="false" ht="15" hidden="false" customHeight="false" outlineLevel="0" collapsed="false">
      <c r="A19" s="4" t="s">
        <v>106</v>
      </c>
      <c r="B19" s="8" t="n">
        <v>24000</v>
      </c>
    </row>
    <row r="20" customFormat="false" ht="15" hidden="false" customHeight="false" outlineLevel="0" collapsed="false">
      <c r="A20" s="4" t="s">
        <v>107</v>
      </c>
      <c r="C20" s="8" t="n">
        <v>6000</v>
      </c>
    </row>
    <row r="21" customFormat="false" ht="15" hidden="false" customHeight="false" outlineLevel="0" collapsed="false">
      <c r="A21" s="4" t="s">
        <v>108</v>
      </c>
      <c r="B21" s="8" t="n">
        <v>8000</v>
      </c>
    </row>
    <row r="22" customFormat="false" ht="15" hidden="false" customHeight="false" outlineLevel="0" collapsed="false">
      <c r="A22" s="4" t="s">
        <v>109</v>
      </c>
      <c r="C22" s="8" t="n">
        <v>2000</v>
      </c>
    </row>
    <row r="23" customFormat="false" ht="15" hidden="false" customHeight="false" outlineLevel="0" collapsed="false">
      <c r="A23" s="4" t="s">
        <v>33</v>
      </c>
      <c r="B23" s="8" t="n">
        <v>9000</v>
      </c>
    </row>
    <row r="24" customFormat="false" ht="15" hidden="false" customHeight="false" outlineLevel="0" collapsed="false">
      <c r="A24" s="4" t="s">
        <v>34</v>
      </c>
      <c r="C24" s="8" t="n">
        <v>500</v>
      </c>
    </row>
    <row r="25" customFormat="false" ht="15" hidden="false" customHeight="false" outlineLevel="0" collapsed="false">
      <c r="A25" s="4" t="s">
        <v>35</v>
      </c>
      <c r="C25" s="8" t="n">
        <v>5300</v>
      </c>
    </row>
    <row r="26" customFormat="false" ht="15" hidden="false" customHeight="false" outlineLevel="0" collapsed="false">
      <c r="A26" s="4" t="s">
        <v>36</v>
      </c>
      <c r="B26" s="8" t="n">
        <v>3150</v>
      </c>
    </row>
    <row r="27" customFormat="false" ht="15" hidden="false" customHeight="false" outlineLevel="0" collapsed="false">
      <c r="A27" s="4" t="s">
        <v>39</v>
      </c>
      <c r="C27" s="8" t="n">
        <v>23000</v>
      </c>
    </row>
    <row r="28" customFormat="false" ht="15" hidden="false" customHeight="false" outlineLevel="0" collapsed="false">
      <c r="A28" s="4" t="s">
        <v>40</v>
      </c>
      <c r="B28" s="8" t="n">
        <v>7500</v>
      </c>
    </row>
    <row r="29" customFormat="false" ht="15" hidden="false" customHeight="false" outlineLevel="0" collapsed="false">
      <c r="A29" s="3" t="s">
        <v>41</v>
      </c>
      <c r="B29" s="9" t="n">
        <f aca="false">SUM(B7:B28)</f>
        <v>122100</v>
      </c>
      <c r="C29" s="9" t="n">
        <f aca="false">SUM(C7:C28)</f>
        <v>122100</v>
      </c>
      <c r="D29" s="4" t="str">
        <f aca="false">IF(B29=C29,"Trial balance agrees","Does not agree")</f>
        <v>Trial balance agrees</v>
      </c>
    </row>
    <row r="31" customFormat="false" ht="15" hidden="false" customHeight="false" outlineLevel="0" collapsed="false">
      <c r="A31" s="3" t="s">
        <v>110</v>
      </c>
    </row>
    <row r="32" customFormat="false" ht="15" hidden="false" customHeight="false" outlineLevel="0" collapsed="false">
      <c r="A32" s="4" t="s">
        <v>43</v>
      </c>
      <c r="B32" s="8" t="n">
        <v>7100</v>
      </c>
    </row>
    <row r="33" customFormat="false" ht="15" hidden="false" customHeight="false" outlineLevel="0" collapsed="false">
      <c r="A33" s="4" t="s">
        <v>111</v>
      </c>
      <c r="B33" s="8" t="n">
        <v>250</v>
      </c>
    </row>
    <row r="34" customFormat="false" ht="15" hidden="false" customHeight="false" outlineLevel="0" collapsed="false">
      <c r="A34" s="4" t="s">
        <v>45</v>
      </c>
      <c r="B34" s="8" t="n">
        <v>400</v>
      </c>
    </row>
    <row r="35" customFormat="false" ht="15" hidden="false" customHeight="false" outlineLevel="0" collapsed="false">
      <c r="A35" s="4" t="s">
        <v>112</v>
      </c>
      <c r="B35" s="8" t="n">
        <v>200</v>
      </c>
    </row>
    <row r="36" customFormat="false" ht="15" hidden="false" customHeight="false" outlineLevel="0" collapsed="false">
      <c r="A36" s="4" t="s">
        <v>113</v>
      </c>
      <c r="B36" s="10" t="n">
        <v>0.04</v>
      </c>
    </row>
    <row r="37" customFormat="false" ht="15" hidden="false" customHeight="false" outlineLevel="0" collapsed="false">
      <c r="A37" s="4" t="s">
        <v>114</v>
      </c>
      <c r="B37" s="10" t="n">
        <v>0.2</v>
      </c>
    </row>
    <row r="38" customFormat="false" ht="15" hidden="false" customHeight="false" outlineLevel="0" collapsed="false">
      <c r="A38" s="4" t="s">
        <v>115</v>
      </c>
      <c r="B38" s="10" t="n">
        <v>0.1</v>
      </c>
    </row>
    <row r="40" customFormat="false" ht="15" hidden="false" customHeight="false" outlineLevel="0" collapsed="false">
      <c r="A40" s="7" t="s">
        <v>116</v>
      </c>
      <c r="B40" s="7" t="s">
        <v>117</v>
      </c>
      <c r="C40" s="7" t="s">
        <v>97</v>
      </c>
    </row>
    <row r="41" customFormat="false" ht="15" hidden="false" customHeight="false" outlineLevel="0" collapsed="false">
      <c r="A41" s="3" t="s">
        <v>118</v>
      </c>
    </row>
    <row r="42" customFormat="false" ht="15" hidden="false" customHeight="false" outlineLevel="0" collapsed="false">
      <c r="A42" s="4" t="s">
        <v>52</v>
      </c>
      <c r="B42" s="15"/>
      <c r="C42" s="3" t="str">
        <f aca="false">IF(B42="","",IFERROR(IF(ABS(B42-Answers!B42)&lt;0.5,"Correct","Try again"),"Enter a number"))</f>
        <v/>
      </c>
    </row>
    <row r="43" customFormat="false" ht="15" hidden="false" customHeight="false" outlineLevel="0" collapsed="false">
      <c r="A43" s="4" t="s">
        <v>119</v>
      </c>
      <c r="B43" s="15"/>
      <c r="C43" s="3" t="str">
        <f aca="false">IF(B43="","",IFERROR(IF(ABS(B43-Answers!B43)&lt;0.5,"Correct","Try again"),"Enter a number"))</f>
        <v/>
      </c>
    </row>
    <row r="44" customFormat="false" ht="15" hidden="false" customHeight="false" outlineLevel="0" collapsed="false">
      <c r="A44" s="4" t="s">
        <v>60</v>
      </c>
      <c r="B44" s="15"/>
      <c r="C44" s="3" t="str">
        <f aca="false">IF(B44="","",IFERROR(IF(ABS(B44-Answers!B44)&lt;0.5,"Correct","Try again"),"Enter a number"))</f>
        <v/>
      </c>
    </row>
    <row r="45" customFormat="false" ht="15" hidden="false" customHeight="false" outlineLevel="0" collapsed="false">
      <c r="A45" s="4" t="s">
        <v>61</v>
      </c>
      <c r="B45" s="15"/>
      <c r="C45" s="3" t="str">
        <f aca="false">IF(B45="","",IFERROR(IF(ABS(B45-Answers!B45)&lt;0.5,"Correct","Try again"),"Enter a number"))</f>
        <v/>
      </c>
    </row>
    <row r="46" customFormat="false" ht="15" hidden="false" customHeight="false" outlineLevel="0" collapsed="false">
      <c r="A46" s="4" t="s">
        <v>120</v>
      </c>
      <c r="B46" s="15"/>
      <c r="C46" s="3" t="str">
        <f aca="false">IF(B46="","",IFERROR(IF(ABS(B46-Answers!B46)&lt;0.5,"Correct","Try again"),"Enter a number"))</f>
        <v/>
      </c>
    </row>
    <row r="47" customFormat="false" ht="15" hidden="false" customHeight="false" outlineLevel="0" collapsed="false">
      <c r="A47" s="4" t="s">
        <v>63</v>
      </c>
      <c r="B47" s="15"/>
      <c r="C47" s="3" t="str">
        <f aca="false">IF(B47="","",IFERROR(IF(ABS(B47-Answers!B47)&lt;0.5,"Correct","Try again"),"Enter a number"))</f>
        <v/>
      </c>
    </row>
    <row r="48" customFormat="false" ht="15" hidden="false" customHeight="false" outlineLevel="0" collapsed="false">
      <c r="A48" s="4" t="s">
        <v>121</v>
      </c>
      <c r="B48" s="15"/>
      <c r="C48" s="3" t="str">
        <f aca="false">IF(B48="","",IFERROR(IF(ABS(B48-Answers!B48)&lt;0.5,"Correct","Try again"),"Enter a number"))</f>
        <v/>
      </c>
    </row>
    <row r="49" customFormat="false" ht="15" hidden="false" customHeight="false" outlineLevel="0" collapsed="false">
      <c r="A49" s="4" t="s">
        <v>122</v>
      </c>
      <c r="B49" s="15"/>
      <c r="C49" s="3" t="str">
        <f aca="false">IF(B49="","",IFERROR(IF(ABS(B49-Answers!B49)&lt;0.5,"Correct","Try again"),"Enter a number"))</f>
        <v/>
      </c>
    </row>
    <row r="50" customFormat="false" ht="15" hidden="false" customHeight="false" outlineLevel="0" collapsed="false">
      <c r="A50" s="4" t="s">
        <v>123</v>
      </c>
      <c r="B50" s="15"/>
      <c r="C50" s="3" t="str">
        <f aca="false">IF(B50="","",IFERROR(IF(ABS(B50-Answers!B50)&lt;0.5,"Correct","Try again"),"Enter a number"))</f>
        <v/>
      </c>
    </row>
    <row r="51" customFormat="false" ht="15" hidden="false" customHeight="false" outlineLevel="0" collapsed="false">
      <c r="A51" s="4" t="s">
        <v>124</v>
      </c>
      <c r="B51" s="15"/>
      <c r="C51" s="3" t="str">
        <f aca="false">IF(B51="","",IFERROR(IF(ABS(B51-Answers!B51)&lt;0.5,"Correct","Try again"),"Enter a number"))</f>
        <v/>
      </c>
    </row>
    <row r="52" customFormat="false" ht="15" hidden="false" customHeight="false" outlineLevel="0" collapsed="false">
      <c r="A52" s="4" t="s">
        <v>71</v>
      </c>
      <c r="B52" s="15"/>
      <c r="C52" s="3" t="str">
        <f aca="false">IF(B52="","",IFERROR(IF(ABS(B52-Answers!B52)&lt;0.5,"Correct","Try again"),"Enter a number"))</f>
        <v/>
      </c>
    </row>
    <row r="53" customFormat="false" ht="15" hidden="false" customHeight="false" outlineLevel="0" collapsed="false">
      <c r="A53" s="4" t="s">
        <v>72</v>
      </c>
      <c r="B53" s="15"/>
      <c r="C53" s="3" t="str">
        <f aca="false">IF(B53="","",IFERROR(IF(ABS(B53-Answers!B53)&lt;0.5,"Correct","Try again"),"Enter a number"))</f>
        <v/>
      </c>
    </row>
    <row r="54" customFormat="false" ht="15" hidden="false" customHeight="false" outlineLevel="0" collapsed="false">
      <c r="A54" s="3" t="s">
        <v>125</v>
      </c>
    </row>
    <row r="55" customFormat="false" ht="15" hidden="false" customHeight="false" outlineLevel="0" collapsed="false">
      <c r="A55" s="4" t="s">
        <v>126</v>
      </c>
      <c r="B55" s="15"/>
      <c r="C55" s="3" t="str">
        <f aca="false">IF(B55="","",IFERROR(IF(ABS(B55-Answers!B55)&lt;0.5,"Correct","Try again"),"Enter a number"))</f>
        <v/>
      </c>
    </row>
    <row r="56" customFormat="false" ht="15" hidden="false" customHeight="false" outlineLevel="0" collapsed="false">
      <c r="A56" s="4" t="s">
        <v>127</v>
      </c>
      <c r="B56" s="15"/>
      <c r="C56" s="3" t="str">
        <f aca="false">IF(B56="","",IFERROR(IF(ABS(B56-Answers!B56)&lt;0.5,"Correct","Try again"),"Enter a number"))</f>
        <v/>
      </c>
    </row>
    <row r="57" customFormat="false" ht="15" hidden="false" customHeight="false" outlineLevel="0" collapsed="false">
      <c r="A57" s="4" t="s">
        <v>80</v>
      </c>
      <c r="B57" s="15"/>
      <c r="C57" s="3" t="str">
        <f aca="false">IF(B57="","",IFERROR(IF(ABS(B57-Answers!B57)&lt;0.5,"Correct","Try again"),"Enter a number"))</f>
        <v/>
      </c>
    </row>
    <row r="58" customFormat="false" ht="15" hidden="false" customHeight="false" outlineLevel="0" collapsed="false">
      <c r="A58" s="4" t="s">
        <v>128</v>
      </c>
      <c r="B58" s="15"/>
      <c r="C58" s="3" t="str">
        <f aca="false">IF(B58="","",IFERROR(IF(ABS(B58-Answers!B58)&lt;0.5,"Correct","Try again"),"Enter a number"))</f>
        <v/>
      </c>
    </row>
    <row r="59" customFormat="false" ht="15" hidden="false" customHeight="false" outlineLevel="0" collapsed="false">
      <c r="A59" s="4" t="s">
        <v>85</v>
      </c>
      <c r="B59" s="15"/>
      <c r="C59" s="3" t="str">
        <f aca="false">IF(B59="","",IFERROR(IF(ABS(B59-Answers!B59)&lt;0.5,"Correct","Try again"),"Enter a number"))</f>
        <v/>
      </c>
    </row>
    <row r="60" customFormat="false" ht="15" hidden="false" customHeight="false" outlineLevel="0" collapsed="false">
      <c r="A60" s="4" t="s">
        <v>129</v>
      </c>
      <c r="B60" s="15"/>
      <c r="C60" s="3" t="str">
        <f aca="false">IF(B60="","",IFERROR(IF(ABS(B60-Answers!B60)&lt;0.5,"Correct","Try again"),"Enter a number"))</f>
        <v/>
      </c>
    </row>
    <row r="61" customFormat="false" ht="15" hidden="false" customHeight="false" outlineLevel="0" collapsed="false">
      <c r="A61" s="4" t="s">
        <v>88</v>
      </c>
      <c r="B61" s="15"/>
      <c r="C61" s="3" t="str">
        <f aca="false">IF(B61="","",IFERROR(IF(ABS(B61-Answers!B61)&lt;0.5,"Correct","Try again"),"Enter a number"))</f>
        <v/>
      </c>
    </row>
    <row r="62" customFormat="false" ht="15" hidden="false" customHeight="false" outlineLevel="0" collapsed="false">
      <c r="A62" s="4" t="s">
        <v>89</v>
      </c>
      <c r="B62" s="15"/>
      <c r="C62" s="3" t="str">
        <f aca="false">IF(B62="","",IFERROR(IF(ABS(B62-Answers!B62)&lt;0.5,"Correct","Try again"),"Enter a number"))</f>
        <v/>
      </c>
    </row>
    <row r="63" customFormat="false" ht="15" hidden="false" customHeight="false" outlineLevel="0" collapsed="false">
      <c r="A63" s="4" t="s">
        <v>92</v>
      </c>
      <c r="B63" s="15"/>
      <c r="C63" s="3" t="str">
        <f aca="false">IF(B63="","",IFERROR(IF(ABS(B63-Answers!B63)&lt;0.5,"Correct","Try again"),"Enter a number"))</f>
        <v/>
      </c>
    </row>
    <row r="64" customFormat="false" ht="15" hidden="false" customHeight="false" outlineLevel="0" collapsed="false">
      <c r="A64" s="4" t="s">
        <v>96</v>
      </c>
      <c r="B64" s="15"/>
      <c r="C64" s="3" t="str">
        <f aca="false">IF(B64="","",IFERROR(IF(ABS(B64-Answers!B64)&lt;0.5,"Correct","Try again"),"Enter a number"))</f>
        <v/>
      </c>
    </row>
    <row r="66" customFormat="false" ht="15" hidden="false" customHeight="false" outlineLevel="0" collapsed="false">
      <c r="A66" s="3" t="s">
        <v>130</v>
      </c>
      <c r="B66" s="3" t="str">
        <f aca="false">COUNTIF(C41:C65,"Correct")&amp;" / "&amp;COUNTA(B41:B65)&amp;" answered"</f>
        <v>0 / 0 answered</v>
      </c>
    </row>
  </sheetData>
  <conditionalFormatting sqref="C41:C65">
    <cfRule type="expression" priority="2" aboveAverage="0" equalAverage="0" bottom="0" percent="0" rank="0" text="" dxfId="0">
      <formula>LEFT(C41,7)="Correct"</formula>
    </cfRule>
    <cfRule type="expression" priority="3" aboveAverage="0" equalAverage="0" bottom="0" percent="0" rank="0" text="" dxfId="1">
      <formula>LEFT(C41,3)="Try"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0" customFormat="false" ht="15" hidden="false" customHeight="false" outlineLevel="0" collapsed="false">
      <c r="A40" s="7" t="s">
        <v>116</v>
      </c>
      <c r="B40" s="7" t="s">
        <v>133</v>
      </c>
    </row>
    <row r="41" customFormat="false" ht="15" hidden="false" customHeight="false" outlineLevel="0" collapsed="false">
      <c r="A41" s="3" t="s">
        <v>118</v>
      </c>
    </row>
    <row r="42" customFormat="false" ht="15" hidden="false" customHeight="false" outlineLevel="0" collapsed="false">
      <c r="A42" s="4" t="s">
        <v>52</v>
      </c>
      <c r="B42" s="14" t="n">
        <f aca="false">(Practice!$C$7-Practice!$B$9)</f>
        <v>81200</v>
      </c>
    </row>
    <row r="43" customFormat="false" ht="15" hidden="false" customHeight="false" outlineLevel="0" collapsed="false">
      <c r="A43" s="4" t="s">
        <v>119</v>
      </c>
      <c r="B43" s="14" t="n">
        <f aca="false">Practice!$B$12+Practice!$B$8-Practice!$C$10+Practice!$B$11</f>
        <v>50700</v>
      </c>
    </row>
    <row r="44" customFormat="false" ht="15" hidden="false" customHeight="false" outlineLevel="0" collapsed="false">
      <c r="A44" s="4" t="s">
        <v>60</v>
      </c>
      <c r="B44" s="14" t="n">
        <f aca="false">(Practice!$B$12+Practice!$B$8-Practice!$C$10+Practice!$B$11-Practice!$B$32)</f>
        <v>43600</v>
      </c>
    </row>
    <row r="45" customFormat="false" ht="15" hidden="false" customHeight="false" outlineLevel="0" collapsed="false">
      <c r="A45" s="4" t="s">
        <v>61</v>
      </c>
      <c r="B45" s="14" t="n">
        <f aca="false">((Practice!$C$7-Practice!$B$9)-(Practice!$B$12+Practice!$B$8-Practice!$C$10+Practice!$B$11-Practice!$B$32))</f>
        <v>37600</v>
      </c>
    </row>
    <row r="46" customFormat="false" ht="15" hidden="false" customHeight="false" outlineLevel="0" collapsed="false">
      <c r="A46" s="4" t="s">
        <v>120</v>
      </c>
      <c r="B46" s="14" t="n">
        <f aca="false">(Practice!$C$18-Practice!$B$35)</f>
        <v>2200</v>
      </c>
    </row>
    <row r="47" customFormat="false" ht="15" hidden="false" customHeight="false" outlineLevel="0" collapsed="false">
      <c r="A47" s="4" t="s">
        <v>63</v>
      </c>
      <c r="B47" s="14" t="n">
        <f aca="false">MAX(-(ROUND(Practice!$B$23*Practice!$B$36,2)-Practice!$C$24),0)</f>
        <v>140</v>
      </c>
    </row>
    <row r="48" customFormat="false" ht="15" hidden="false" customHeight="false" outlineLevel="0" collapsed="false">
      <c r="A48" s="4" t="s">
        <v>121</v>
      </c>
      <c r="B48" s="14" t="n">
        <f aca="false">Practice!$B$14+Practice!$B$33</f>
        <v>2550</v>
      </c>
    </row>
    <row r="49" customFormat="false" ht="15" hidden="false" customHeight="false" outlineLevel="0" collapsed="false">
      <c r="A49" s="4" t="s">
        <v>122</v>
      </c>
      <c r="B49" s="14" t="n">
        <f aca="false">Practice!$B$15-Practice!$B$34</f>
        <v>1200</v>
      </c>
    </row>
    <row r="50" customFormat="false" ht="15" hidden="false" customHeight="false" outlineLevel="0" collapsed="false">
      <c r="A50" s="4" t="s">
        <v>123</v>
      </c>
      <c r="B50" s="14" t="n">
        <f aca="false">((Practice!$B$19-Practice!$C$20)*Practice!$B$37)</f>
        <v>3600</v>
      </c>
    </row>
    <row r="51" customFormat="false" ht="15" hidden="false" customHeight="false" outlineLevel="0" collapsed="false">
      <c r="A51" s="4" t="s">
        <v>124</v>
      </c>
      <c r="B51" s="14" t="n">
        <f aca="false">(Practice!$B$21*Practice!$B$38)</f>
        <v>800</v>
      </c>
    </row>
    <row r="52" customFormat="false" ht="15" hidden="false" customHeight="false" outlineLevel="0" collapsed="false">
      <c r="A52" s="4" t="s">
        <v>71</v>
      </c>
      <c r="B52" s="14" t="n">
        <f aca="false">(Practice!$B$13+Practice!$B$14+Practice!$B$33+Practice!$B$15-Practice!$B$34+Practice!$B$16+Practice!$B$17+MAX((ROUND(Practice!$B$23*Practice!$B$36,2)-Practice!$C$24),0)+((Practice!$B$19-Practice!$C$20)*Practice!$B$37)+(Practice!$B$21*Practice!$B$38))</f>
        <v>22300</v>
      </c>
    </row>
    <row r="53" customFormat="false" ht="15" hidden="false" customHeight="false" outlineLevel="0" collapsed="false">
      <c r="A53" s="4" t="s">
        <v>72</v>
      </c>
      <c r="B53" s="14" t="n">
        <f aca="false">(((Practice!$C$7-Practice!$B$9)-(Practice!$B$12+Practice!$B$8-Practice!$C$10+Practice!$B$11-Practice!$B$32))+(Practice!$C$18-Practice!$B$35)+MAX(-(ROUND(Practice!$B$23*Practice!$B$36,2)-Practice!$C$24),0)-(Practice!$B$13+Practice!$B$14+Practice!$B$33+Practice!$B$15-Practice!$B$34+Practice!$B$16+Practice!$B$17+MAX((ROUND(Practice!$B$23*Practice!$B$36,2)-Practice!$C$24),0)+((Practice!$B$19-Practice!$C$20)*Practice!$B$37)+(Practice!$B$21*Practice!$B$38)))</f>
        <v>17640</v>
      </c>
    </row>
    <row r="54" customFormat="false" ht="15" hidden="false" customHeight="false" outlineLevel="0" collapsed="false">
      <c r="A54" s="3" t="s">
        <v>125</v>
      </c>
    </row>
    <row r="55" customFormat="false" ht="15" hidden="false" customHeight="false" outlineLevel="0" collapsed="false">
      <c r="A55" s="4" t="s">
        <v>126</v>
      </c>
      <c r="B55" s="14" t="n">
        <f aca="false">Practice!$B$19-Practice!$C$20-((Practice!$B$19-Practice!$C$20)*Practice!$B$37)</f>
        <v>14400</v>
      </c>
    </row>
    <row r="56" customFormat="false" ht="15" hidden="false" customHeight="false" outlineLevel="0" collapsed="false">
      <c r="A56" s="4" t="s">
        <v>127</v>
      </c>
      <c r="B56" s="14" t="n">
        <f aca="false">Practice!$B$21-Practice!$C$22-(Practice!$B$21*Practice!$B$38)</f>
        <v>5200</v>
      </c>
    </row>
    <row r="57" customFormat="false" ht="15" hidden="false" customHeight="false" outlineLevel="0" collapsed="false">
      <c r="A57" s="4" t="s">
        <v>80</v>
      </c>
      <c r="B57" s="14" t="n">
        <f aca="false">(Practice!$B$19-Practice!$C$20-((Practice!$B$19-Practice!$C$20)*Practice!$B$37)+Practice!$B$21-Practice!$C$22-(Practice!$B$21*Practice!$B$38))</f>
        <v>19600</v>
      </c>
    </row>
    <row r="58" customFormat="false" ht="15" hidden="false" customHeight="false" outlineLevel="0" collapsed="false">
      <c r="A58" s="4" t="s">
        <v>128</v>
      </c>
      <c r="B58" s="14" t="n">
        <f aca="false">Practice!$B$23-ROUND(Practice!$B$23*Practice!$B$36,2)</f>
        <v>8640</v>
      </c>
    </row>
    <row r="59" customFormat="false" ht="15" hidden="false" customHeight="false" outlineLevel="0" collapsed="false">
      <c r="A59" s="4" t="s">
        <v>85</v>
      </c>
      <c r="B59" s="14" t="n">
        <f aca="false">(Practice!$B$32+Practice!$B$23-ROUND(Practice!$B$23*Practice!$B$36,2)+Practice!$B$34+Practice!$B$26)</f>
        <v>19290</v>
      </c>
    </row>
    <row r="60" customFormat="false" ht="15" hidden="false" customHeight="false" outlineLevel="0" collapsed="false">
      <c r="A60" s="4" t="s">
        <v>129</v>
      </c>
      <c r="B60" s="14" t="n">
        <f aca="false">Practice!$B$33+Practice!$B$35</f>
        <v>450</v>
      </c>
    </row>
    <row r="61" customFormat="false" ht="15" hidden="false" customHeight="false" outlineLevel="0" collapsed="false">
      <c r="A61" s="4" t="s">
        <v>88</v>
      </c>
      <c r="B61" s="14" t="n">
        <f aca="false">(Practice!$C$25+Practice!$B$33+Practice!$B$35)</f>
        <v>5750</v>
      </c>
    </row>
    <row r="62" customFormat="false" ht="15" hidden="false" customHeight="false" outlineLevel="0" collapsed="false">
      <c r="A62" s="4" t="s">
        <v>89</v>
      </c>
      <c r="B62" s="14" t="n">
        <f aca="false">(Practice!$B$32+Practice!$B$23-ROUND(Practice!$B$23*Practice!$B$36,2)+Practice!$B$34+Practice!$B$26)-(Practice!$C$25+Practice!$B$33+Practice!$B$35)</f>
        <v>13540</v>
      </c>
    </row>
    <row r="63" customFormat="false" ht="15" hidden="false" customHeight="false" outlineLevel="0" collapsed="false">
      <c r="A63" s="4" t="s">
        <v>92</v>
      </c>
      <c r="B63" s="14" t="n">
        <f aca="false">(Practice!$B$19-Practice!$C$20-((Practice!$B$19-Practice!$C$20)*Practice!$B$37)+Practice!$B$21-Practice!$C$22-(Practice!$B$21*Practice!$B$38))+(Practice!$B$32+Practice!$B$23-ROUND(Practice!$B$23*Practice!$B$36,2)+Practice!$B$34+Practice!$B$26)-(Practice!$C$25+Practice!$B$33+Practice!$B$35)</f>
        <v>33140</v>
      </c>
    </row>
    <row r="64" customFormat="false" ht="15" hidden="false" customHeight="false" outlineLevel="0" collapsed="false">
      <c r="A64" s="4" t="s">
        <v>96</v>
      </c>
      <c r="B64" s="14" t="n">
        <f aca="false">Practice!$C$27+(((Practice!$C$7-Practice!$B$9)-(Practice!$B$12+Practice!$B$8-Practice!$C$10+Practice!$B$11-Practice!$B$32))+(Practice!$C$18-Practice!$B$35)+MAX(-(ROUND(Practice!$B$23*Practice!$B$36,2)-Practice!$C$24),0)-(Practice!$B$13+Practice!$B$14+Practice!$B$33+Practice!$B$15-Practice!$B$34+Practice!$B$16+Practice!$B$17+MAX((ROUND(Practice!$B$23*Practice!$B$36,2)-Practice!$C$24),0)+((Practice!$B$19-Practice!$C$20)*Practice!$B$37)+(Practice!$B$21*Practice!$B$38)))-Practice!$B$28</f>
        <v>33140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2026-09-30T08:47:40Z</dcterms:created>
  <dc:creator>openpyxl</dc:creator>
  <dc:description/>
  <dc:language>en-US</dc:language>
  <cp:lastModifiedBy/>
  <dcterms:modified xsi:type="dcterms:W3CDTF">2026-09-30T08:47:40Z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