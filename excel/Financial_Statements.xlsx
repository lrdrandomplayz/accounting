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Worked Example" sheetId="2" state="visible" r:id="rId4"/>
    <sheet name="QFS.6" sheetId="3" state="visible" r:id="rId5"/>
    <sheet name="QFS.7" sheetId="4" state="visible" r:id="rId6"/>
    <sheet name="QFS.8" sheetId="5" state="visible" r:id="rId7"/>
    <sheet name="QFS.9" sheetId="6" state="visible" r:id="rId8"/>
    <sheet name="QFS.10" sheetId="7" state="visible" r:id="rId9"/>
    <sheet name="QFS.6 Ans" sheetId="8" state="visible" r:id="rId10"/>
    <sheet name="QFS.7 Ans" sheetId="9" state="visible" r:id="rId11"/>
    <sheet name="QFS.8 Ans" sheetId="10" state="visible" r:id="rId12"/>
    <sheet name="QFS.9 Ans" sheetId="11" state="visible" r:id="rId13"/>
    <sheet name="QFS.10 Ans" sheetId="12" state="visible" r:id="rId14"/>
  </sheets>
  <definedNames>
    <definedName function="false" hidden="false" localSheetId="6" name="_xlnm.Print_Area" vbProcedure="false">'QFS.10'!$A$1:$AG$123</definedName>
    <definedName function="false" hidden="false" localSheetId="11" name="_xlnm.Print_Area" vbProcedure="false">'QFS.10 Ans'!$A$1:$AG$123</definedName>
    <definedName function="false" hidden="false" localSheetId="2" name="_xlnm.Print_Area" vbProcedure="false">'QFS.6'!$A$1:$AG$35</definedName>
    <definedName function="false" hidden="false" localSheetId="7" name="_xlnm.Print_Area" vbProcedure="false">'QFS.6 Ans'!$A$1:$AG$35</definedName>
    <definedName function="false" hidden="false" localSheetId="3" name="_xlnm.Print_Area" vbProcedure="false">'QFS.7'!$A$1:$AG$57</definedName>
    <definedName function="false" hidden="false" localSheetId="8" name="_xlnm.Print_Area" vbProcedure="false">'QFS.7 Ans'!$A$1:$AG$57</definedName>
    <definedName function="false" hidden="false" localSheetId="4" name="_xlnm.Print_Area" vbProcedure="false">'QFS.8'!$A$1:$AG$75</definedName>
    <definedName function="false" hidden="false" localSheetId="9" name="_xlnm.Print_Area" vbProcedure="false">'QFS.8 Ans'!$A$1:$AG$75</definedName>
    <definedName function="false" hidden="false" localSheetId="5" name="_xlnm.Print_Area" vbProcedure="false">'QFS.9'!$A$1:$AG$99</definedName>
    <definedName function="false" hidden="false" localSheetId="10" name="_xlnm.Print_Area" vbProcedure="false">'QFS.9 Ans'!$A$1:$AG$99</definedName>
    <definedName function="false" hidden="false" localSheetId="0" name="_xlnm.Print_Area" vbProcedure="false">'Read Me'!$A$1:$AG$32</definedName>
    <definedName function="false" hidden="false" localSheetId="1" name="_xlnm.Print_Area" vbProcedure="false">'Worked Example'!$A$1:$AG$106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<sst xmlns="http://schemas.openxmlformats.org/spreadsheetml/2006/main" count="1055" uniqueCount="237">
  <si>
    <t xml:space="preserve">Statement of Profit or Loss and Statement of Financial Position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</si>
  <si>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</si>
  <si>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</si>
  <si>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</si>
  <si>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</si>
  <si>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</si>
  <si>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</si>
  <si>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</si>
  <si>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</si>
  <si>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</si>
  <si>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</si>
  <si>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</si>
  <si>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</si>
  <si>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</si>
  <si>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</si>
  <si>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(RM) | Credit (RM).</t>
  </si>
  <si>
    <t xml:space="preserve">Ledger account: Dr side and Cr side, each with Date | Particulars | Folio | Amount (RM).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</si>
  <si>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</si>
  <si>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</si>
  <si>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</si>
  <si>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</si>
  <si>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</si>
  <si>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Worked Example</t>
  </si>
  <si>
    <t xml:space="preserve">Worked example (orange tab)</t>
  </si>
  <si>
    <t xml:space="preserve">QFS.6</t>
  </si>
  <si>
    <t xml:space="preserve">Structured question, Level 1: Easy (blue tab). Answers: QFS.6 Ans (green tab).</t>
  </si>
  <si>
    <t xml:space="preserve">QFS.7</t>
  </si>
  <si>
    <t xml:space="preserve">Structured question, Level 2: Easy to medium (blue tab). Answers: QFS.7 Ans (green tab).</t>
  </si>
  <si>
    <t xml:space="preserve">QFS.8</t>
  </si>
  <si>
    <t xml:space="preserve">Structured question, Level 3: Medium (blue tab). Answers: QFS.8 Ans (green tab).</t>
  </si>
  <si>
    <t xml:space="preserve">QFS.9</t>
  </si>
  <si>
    <t xml:space="preserve">Structured question, Level 4: Hard (blue tab). Answers: QFS.9 Ans (green tab).</t>
  </si>
  <si>
    <t xml:space="preserve">QFS.10</t>
  </si>
  <si>
    <t xml:space="preserve">Structured question, Level 5: Challenge (blue tab). Answers: QFS.10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</si>
  <si>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</si>
  <si>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</si>
  <si>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Amina Stores: the full worked example from the notes. Change any blue figure and the statements update.</t>
  </si>
  <si>
    <t xml:space="preserve">Amina Stores: Trial Balance at 31 December 2025</t>
  </si>
  <si>
    <t xml:space="preserve">Particulars</t>
  </si>
  <si>
    <t xml:space="preserve">Debit (RM)</t>
  </si>
  <si>
    <t xml:space="preserve">Credit (RM)</t>
  </si>
  <si>
    <t xml:space="preserve">Revenue</t>
  </si>
  <si>
    <t xml:space="preserve">Purchases</t>
  </si>
  <si>
    <t xml:space="preserve">Sales returns</t>
  </si>
  <si>
    <t xml:space="preserve">Purchases returns</t>
  </si>
  <si>
    <t xml:space="preserve">Carriage inwards</t>
  </si>
  <si>
    <t xml:space="preserve">Carriage outwards</t>
  </si>
  <si>
    <t xml:space="preserve">Inventory at 1 January 2025</t>
  </si>
  <si>
    <t xml:space="preserve">Wages</t>
  </si>
  <si>
    <t xml:space="preserve">Rent</t>
  </si>
  <si>
    <t xml:space="preserve">Insurance</t>
  </si>
  <si>
    <t xml:space="preserve">General expenses</t>
  </si>
  <si>
    <t xml:space="preserve">Discount allowed</t>
  </si>
  <si>
    <t xml:space="preserve">Discount received</t>
  </si>
  <si>
    <t xml:space="preserve">Irrecoverable debts</t>
  </si>
  <si>
    <t xml:space="preserve">Premises at cost</t>
  </si>
  <si>
    <t xml:space="preserve">Equipment at cost</t>
  </si>
  <si>
    <t xml:space="preserve">Provision for depreciation: equipment</t>
  </si>
  <si>
    <t xml:space="preserve">Trade receivables</t>
  </si>
  <si>
    <t xml:space="preserve">Allowance for irrecoverable debts</t>
  </si>
  <si>
    <t xml:space="preserve">Trade payables</t>
  </si>
  <si>
    <t xml:space="preserve">Bank</t>
  </si>
  <si>
    <t xml:space="preserve">Cash</t>
  </si>
  <si>
    <t xml:space="preserve">Loan (repayable 2030)</t>
  </si>
  <si>
    <t xml:space="preserve">Capital</t>
  </si>
  <si>
    <t xml:space="preserve">Drawings</t>
  </si>
  <si>
    <t xml:space="preserve">Total</t>
  </si>
  <si>
    <t xml:space="preserve">Additional information at 31 December 2025</t>
  </si>
  <si>
    <t xml:space="preserve">Figure</t>
  </si>
  <si>
    <t xml:space="preserve">1. Closing inventory (RM)</t>
  </si>
  <si>
    <t xml:space="preserve">2. Rent owing (RM)</t>
  </si>
  <si>
    <t xml:space="preserve">3. Insurance prepaid (RM)</t>
  </si>
  <si>
    <t xml:space="preserve">4. Allowance: % of trade receivables</t>
  </si>
  <si>
    <t xml:space="preserve">5. Equipment depreciation: % of cost per year</t>
  </si>
  <si>
    <t xml:space="preserve">6. Loan interest per year (unpaid)</t>
  </si>
  <si>
    <t xml:space="preserve">Amina Stores</t>
  </si>
  <si>
    <t xml:space="preserve">Statement of Profit or Loss for the year ended 31 December 2025</t>
  </si>
  <si>
    <t xml:space="preserve">RM</t>
  </si>
  <si>
    <t xml:space="preserve">Less:</t>
  </si>
  <si>
    <t xml:space="preserve">Net revenue</t>
  </si>
  <si>
    <t xml:space="preserve">Cost of sales</t>
  </si>
  <si>
    <t xml:space="preserve">Opening inventory</t>
  </si>
  <si>
    <t xml:space="preserve">Add:</t>
  </si>
  <si>
    <t xml:space="preserve">Cost of goods available for sale</t>
  </si>
  <si>
    <t xml:space="preserve">Closing inventory</t>
  </si>
  <si>
    <t xml:space="preserve">Gross profit</t>
  </si>
  <si>
    <t xml:space="preserve">Other income</t>
  </si>
  <si>
    <t xml:space="preserve">Expenses</t>
  </si>
  <si>
    <t xml:space="preserve">Increase in allowance for irrecoverable debts</t>
  </si>
  <si>
    <t xml:space="preserve">Depreciation: equipment</t>
  </si>
  <si>
    <t xml:space="preserve">Loan interest</t>
  </si>
  <si>
    <t xml:space="preserve">Profit for the year</t>
  </si>
  <si>
    <t xml:space="preserve">Statement of Financial Position at 31 December 2025</t>
  </si>
  <si>
    <t xml:space="preserve">Cost</t>
  </si>
  <si>
    <t xml:space="preserve">Accumulated Depreciation</t>
  </si>
  <si>
    <t xml:space="preserve">Carrying Amount</t>
  </si>
  <si>
    <t xml:space="preserve">Non-current assets</t>
  </si>
  <si>
    <t xml:space="preserve">Premises</t>
  </si>
  <si>
    <t xml:space="preserve">Equipment</t>
  </si>
  <si>
    <t xml:space="preserve">Total non-current assets</t>
  </si>
  <si>
    <t xml:space="preserve">Current assets</t>
  </si>
  <si>
    <t xml:space="preserve">Inventory</t>
  </si>
  <si>
    <t xml:space="preserve">Other receivables (insurance prepaid)</t>
  </si>
  <si>
    <t xml:space="preserve">Total current assets</t>
  </si>
  <si>
    <t xml:space="preserve">Current liabilities</t>
  </si>
  <si>
    <t xml:space="preserve">Other payables (rent + loan interest owing)</t>
  </si>
  <si>
    <t xml:space="preserve">Total current liabilities</t>
  </si>
  <si>
    <t xml:space="preserve">Net current assets (working capital)</t>
  </si>
  <si>
    <t xml:space="preserve">Non-current liabilities</t>
  </si>
  <si>
    <t xml:space="preserve">Net assets</t>
  </si>
  <si>
    <t xml:space="preserve">Financed by:</t>
  </si>
  <si>
    <t xml:space="preserve">Capital at start of year</t>
  </si>
  <si>
    <t xml:space="preserve">Capital at end of year</t>
  </si>
  <si>
    <t xml:space="preserve">Check: net assets minus capital at end of year (must be 0)</t>
  </si>
  <si>
    <t xml:space="preserve">Question FS.6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</si>
  <si>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</si>
  <si>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</si>
  <si>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Lina's Shop. The following figures are for the year ended 31 December 2025.</t>
  </si>
  <si>
    <t xml:space="preserve">Figures from the question</t>
  </si>
  <si>
    <t xml:space="preserve">Revenue (RM)</t>
  </si>
  <si>
    <t xml:space="preserve">Sales returns (RM)</t>
  </si>
  <si>
    <t xml:space="preserve">Purchases (RM)</t>
  </si>
  <si>
    <t xml:space="preserve">Purchases returns (RM)</t>
  </si>
  <si>
    <t xml:space="preserve">Carriage inwards (RM)</t>
  </si>
  <si>
    <t xml:space="preserve">Inventory at 1 January 2025 (RM)</t>
  </si>
  <si>
    <t xml:space="preserve">Inventory at 31 December 2025 (RM)</t>
  </si>
  <si>
    <t xml:space="preserve">a) Prepare the Statement of Profit or Loss for the year, as far as gross profit. (6)</t>
  </si>
  <si>
    <t xml:space="preserve">Lina's Shop</t>
  </si>
  <si>
    <t xml:space="preserve">Statement of Profit or Loss (extract) for the year ended 31 December 2025</t>
  </si>
  <si>
    <t xml:space="preserve">b) Explain why carriage inwards is included in cost of sales. (1)</t>
  </si>
  <si>
    <t xml:space="preserve">Question FS.7 (Level 2: Easy to medium)</t>
  </si>
  <si>
    <t xml:space="preserve">Omar. Balances at 31 December 2025, after all adjustments.</t>
  </si>
  <si>
    <t xml:space="preserve">Premises at cost (RM)</t>
  </si>
  <si>
    <t xml:space="preserve">Motor vehicle at cost (RM)</t>
  </si>
  <si>
    <t xml:space="preserve">Provision for depreciation: motor vehicle (RM)</t>
  </si>
  <si>
    <t xml:space="preserve">Inventory (RM)</t>
  </si>
  <si>
    <t xml:space="preserve">Trade receivables (RM)</t>
  </si>
  <si>
    <t xml:space="preserve">Bank (RM)</t>
  </si>
  <si>
    <t xml:space="preserve">Cash (RM)</t>
  </si>
  <si>
    <t xml:space="preserve">Trade payables (RM)</t>
  </si>
  <si>
    <t xml:space="preserve">Loan, repayable 2029 (RM)</t>
  </si>
  <si>
    <t xml:space="preserve">Capital at 1 January 2025 (RM)</t>
  </si>
  <si>
    <t xml:space="preserve">Profit for the year (RM)</t>
  </si>
  <si>
    <t xml:space="preserve">Drawings (RM)</t>
  </si>
  <si>
    <t xml:space="preserve">a) Prepare the Statement of Financial Position at 31 December 2025. (8)</t>
  </si>
  <si>
    <t xml:space="preserve">Omar</t>
  </si>
  <si>
    <t xml:space="preserve">Motor vehicle</t>
  </si>
  <si>
    <t xml:space="preserve">Loan (repayable 2029)</t>
  </si>
  <si>
    <t xml:space="preserve">b) State the working capital. (1)</t>
  </si>
  <si>
    <t xml:space="preserve">Working capital (RM)</t>
  </si>
  <si>
    <t xml:space="preserve">c) Explain the difference between a current liability and a non-current liability. (2)</t>
  </si>
  <si>
    <t xml:space="preserve">Question FS.8 (Level 3: Medium)</t>
  </si>
  <si>
    <t xml:space="preserve">Nadia's Crafts. Trial balance at 31 December 2025 and additional information.</t>
  </si>
  <si>
    <t xml:space="preserve">Nadia's Crafts: Trial Balance at 31 December 2025</t>
  </si>
  <si>
    <t xml:space="preserve">Fixtures at cost</t>
  </si>
  <si>
    <t xml:space="preserve">Provision for depreciation: fixtures</t>
  </si>
  <si>
    <t xml:space="preserve">4. Fixtures depreciation: % of cost per year</t>
  </si>
  <si>
    <t xml:space="preserve">a) Prepare the Statement of Profit or Loss for the year ended 31 December 2025. (10)</t>
  </si>
  <si>
    <t xml:space="preserve">Nadia's Crafts</t>
  </si>
  <si>
    <t xml:space="preserve">Depreciation: fixtures</t>
  </si>
  <si>
    <t xml:space="preserve">b) Prepare the Statement of Financial Position at 31 December 2025. (10)</t>
  </si>
  <si>
    <t xml:space="preserve">Fixtures</t>
  </si>
  <si>
    <t xml:space="preserve">Other payables (rent owing)</t>
  </si>
  <si>
    <t xml:space="preserve">Question FS.9 (Level 4: Hard)</t>
  </si>
  <si>
    <t xml:space="preserve">Ben's Bikes. Trial balance at 30 June 2026 and additional information.</t>
  </si>
  <si>
    <t xml:space="preserve">Ben's Bikes: Trial Balance at 30 June 2026</t>
  </si>
  <si>
    <t xml:space="preserve">Inventory at 1 July 2025</t>
  </si>
  <si>
    <t xml:space="preserve">Electricity</t>
  </si>
  <si>
    <t xml:space="preserve">Advertising</t>
  </si>
  <si>
    <t xml:space="preserve">Rent received</t>
  </si>
  <si>
    <t xml:space="preserve">Motor vehicles at cost</t>
  </si>
  <si>
    <t xml:space="preserve">Provision for depreciation: motor vehicles</t>
  </si>
  <si>
    <t xml:space="preserve">Additional information at 30 June 2026</t>
  </si>
  <si>
    <t xml:space="preserve">2. Electricity owing (RM)</t>
  </si>
  <si>
    <t xml:space="preserve">4. Rent received in advance for July 2026 (RM)</t>
  </si>
  <si>
    <t xml:space="preserve">5. Allowance: % of trade receivables</t>
  </si>
  <si>
    <t xml:space="preserve">6. Motor vehicles depreciation: reducing balance</t>
  </si>
  <si>
    <t xml:space="preserve">7. Fixtures depreciation: % of cost (straight line)</t>
  </si>
  <si>
    <t xml:space="preserve">a) Prepare the Statement of Profit or Loss for the year ended 30 June 2026. (16)</t>
  </si>
  <si>
    <t xml:space="preserve">Ben's Bikes</t>
  </si>
  <si>
    <t xml:space="preserve">Statement of Profit or Loss for the year ended 30 June 2026</t>
  </si>
  <si>
    <t xml:space="preserve">Decrease in allowance for irrecoverable debts</t>
  </si>
  <si>
    <t xml:space="preserve">Depreciation: motor vehicles</t>
  </si>
  <si>
    <t xml:space="preserve">b) Prepare the Statement of Financial Position at 30 June 2026. (14)</t>
  </si>
  <si>
    <t xml:space="preserve">Statement of Financial Position at 30 June 2026</t>
  </si>
  <si>
    <t xml:space="preserve">Motor vehicles</t>
  </si>
  <si>
    <t xml:space="preserve">Other payables (electricity owing + rent in advance)</t>
  </si>
  <si>
    <t xml:space="preserve">Question FS.10 (Level 5: Challenge)</t>
  </si>
  <si>
    <t xml:space="preserve">Kofi Traders. Trial balance at 31 March 2026 and additional information.</t>
  </si>
  <si>
    <t xml:space="preserve">Kofi Traders: Trial Balance at 31 March 2026</t>
  </si>
  <si>
    <t xml:space="preserve">Inventory at 1 April 2025</t>
  </si>
  <si>
    <t xml:space="preserve">Rent and rates</t>
  </si>
  <si>
    <t xml:space="preserve">Commission received</t>
  </si>
  <si>
    <t xml:space="preserve">Disposal account</t>
  </si>
  <si>
    <t xml:space="preserve">Bank overdraft</t>
  </si>
  <si>
    <t xml:space="preserve">Additional information at 31 March 2026</t>
  </si>
  <si>
    <t xml:space="preserve">3. Rent and rates prepaid (RM)</t>
  </si>
  <si>
    <t xml:space="preserve">4. Commission receivable due (RM)</t>
  </si>
  <si>
    <t xml:space="preserve">5. Further irrecoverable debt to write off (RM)</t>
  </si>
  <si>
    <t xml:space="preserve">6. Allowance: % of remaining trade receivables</t>
  </si>
  <si>
    <t xml:space="preserve">7. Equipment sold on 31 March 2026: cost (RM)</t>
  </si>
  <si>
    <t xml:space="preserve">7. Its accumulated depreciation at 1 April 2025 (RM)</t>
  </si>
  <si>
    <t xml:space="preserve">7. Sale proceeds, already debited to bank and credited to disposal (RM)</t>
  </si>
  <si>
    <t xml:space="preserve">8. Remaining equipment: reducing balance rate</t>
  </si>
  <si>
    <t xml:space="preserve">9. Loan interest per year (unpaid)</t>
  </si>
  <si>
    <t xml:space="preserve">10. No depreciation is charged in the year of sale. Premises are not depreciated.</t>
  </si>
  <si>
    <t xml:space="preserve">a) Prepare the Disposal account. (4)</t>
  </si>
  <si>
    <t xml:space="preserve">Dr</t>
  </si>
  <si>
    <t xml:space="preserve">Disposal Account</t>
  </si>
  <si>
    <t xml:space="preserve">Cr</t>
  </si>
  <si>
    <t xml:space="preserve">Date</t>
  </si>
  <si>
    <t xml:space="preserve">Folio</t>
  </si>
  <si>
    <t xml:space="preserve">Amount (RM)</t>
  </si>
  <si>
    <t xml:space="preserve">2026 Mar 31</t>
  </si>
  <si>
    <t xml:space="preserve">GJ1</t>
  </si>
  <si>
    <t xml:space="preserve">CB1</t>
  </si>
  <si>
    <t xml:space="preserve">Mar 31</t>
  </si>
  <si>
    <t xml:space="preserve">Provision for depreciation</t>
  </si>
  <si>
    <t xml:space="preserve">Income statement (loss on disposal)</t>
  </si>
  <si>
    <t xml:space="preserve">GJ2</t>
  </si>
  <si>
    <t xml:space="preserve">b) Prepare the Statement of Profit or Loss for the year ended 31 March 2026. (18)</t>
  </si>
  <si>
    <t xml:space="preserve">Kofi Traders</t>
  </si>
  <si>
    <t xml:space="preserve">Statement of Profit or Loss for the year ended 31 March 2026</t>
  </si>
  <si>
    <t xml:space="preserve">Loss on disposal</t>
  </si>
  <si>
    <t xml:space="preserve">c) Prepare the Statement of Financial Position at 31 March 2026. (16)</t>
  </si>
  <si>
    <t xml:space="preserve">Statement of Financial Position at 31 March 2026</t>
  </si>
  <si>
    <t xml:space="preserve">Other receivables (prepaid + commission due)</t>
  </si>
  <si>
    <t xml:space="preserve">Other payables (electricity + loan interest)</t>
  </si>
  <si>
    <t xml:space="preserve">Question FS.6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</si>
  <si>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</si>
  <si>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</si>
  <si>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Carriage inwards is the cost of bringing purchased goods into the business. It is part of the cost of buying the goods, so it belongs in cost of sales.</t>
  </si>
  <si>
    <t xml:space="preserve">Question FS.7 (Level 2: Easy to medium): Answers</t>
  </si>
  <si>
    <t xml:space="preserve">A current liability must be paid within 12 months, for example trade payables. A non-current liability is repayable after more than 12 months, for example a loan repayable in 2029.</t>
  </si>
  <si>
    <t xml:space="preserve">Question FS.8 (Level 3: Medium): Answers</t>
  </si>
  <si>
    <t xml:space="preserve">Question FS.9 (Level 4: Hard): Answers</t>
  </si>
  <si>
    <t xml:space="preserve">Question FS.10 (Level 5: Challenge): Answers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</si>
</sst>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EF6E8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EEF6E8"/>
      </patternFill>
    </fill>
    <fill>
      <patternFill patternType="solid">
        <fgColor rgb="FFD9E1F2"/>
        <bgColor rgb="FFDDEBF7"/>
      </patternFill>
    </fill>
    <fill>
      <patternFill patternType="solid">
        <fgColor rgb="FFEEF6E8"/>
        <bgColor rgb="FFF2F2F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EEF6E8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1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25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26</v>
      </c>
      <c r="C28" s="12"/>
      <c r="D28" s="12"/>
      <c r="E28" s="12"/>
      <c r="F28" s="12"/>
      <c r="G28" s="12"/>
      <c r="H28" s="12"/>
      <c r="I28" s="13" t="s">
        <v>27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28</v>
      </c>
      <c r="C29" s="12"/>
      <c r="D29" s="12"/>
      <c r="E29" s="12"/>
      <c r="F29" s="12"/>
      <c r="G29" s="12"/>
      <c r="H29" s="12"/>
      <c r="I29" s="13" t="s">
        <v>29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30</v>
      </c>
      <c r="C30" s="12"/>
      <c r="D30" s="12"/>
      <c r="E30" s="12"/>
      <c r="F30" s="12"/>
      <c r="G30" s="12"/>
      <c r="H30" s="12"/>
      <c r="I30" s="13" t="s">
        <v>31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32</v>
      </c>
      <c r="C31" s="12"/>
      <c r="D31" s="12"/>
      <c r="E31" s="12"/>
      <c r="F31" s="12"/>
      <c r="G31" s="12"/>
      <c r="H31" s="12"/>
      <c r="I31" s="13" t="s">
        <v>33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</sheetData>
  <mergeCells count="38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</mergeCells>
  <conditionalFormatting sqref="B1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10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34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35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37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110000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62000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1500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1200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800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47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8000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14000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49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5500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50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1800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51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2100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52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400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53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500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700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60000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20000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6000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58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9" t="n">
        <v>12000</v>
      </c>
      <c r="V25" s="19"/>
      <c r="W25" s="19"/>
      <c r="X25" s="19"/>
      <c r="Y25" s="19"/>
      <c r="Z25" s="19"/>
      <c r="AA25" s="18"/>
      <c r="AB25" s="18"/>
      <c r="AC25" s="18"/>
      <c r="AD25" s="18"/>
      <c r="AE25" s="18"/>
      <c r="AF25" s="18"/>
    </row>
    <row r="26" customFormat="false" ht="15" hidden="false" customHeight="false" outlineLevel="0" collapsed="false">
      <c r="B26" s="18" t="s">
        <v>59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400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60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7500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61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9" t="n">
        <v>4300</v>
      </c>
      <c r="V28" s="19"/>
      <c r="W28" s="19"/>
      <c r="X28" s="19"/>
      <c r="Y28" s="19"/>
      <c r="Z28" s="19"/>
      <c r="AA28" s="18"/>
      <c r="AB28" s="18"/>
      <c r="AC28" s="18"/>
      <c r="AD28" s="18"/>
      <c r="AE28" s="18"/>
      <c r="AF28" s="18"/>
    </row>
    <row r="29" customFormat="false" ht="15" hidden="false" customHeight="false" outlineLevel="0" collapsed="false">
      <c r="B29" s="18" t="s">
        <v>62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200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18" t="s">
        <v>63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9" t="n">
        <v>10000</v>
      </c>
      <c r="AB30" s="19"/>
      <c r="AC30" s="19"/>
      <c r="AD30" s="19"/>
      <c r="AE30" s="19"/>
      <c r="AF30" s="19"/>
    </row>
    <row r="31" customFormat="false" ht="15" hidden="false" customHeight="false" outlineLevel="0" collapsed="false">
      <c r="B31" s="18" t="s">
        <v>64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67300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65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9" t="n">
        <v>9000</v>
      </c>
      <c r="V32" s="19"/>
      <c r="W32" s="19"/>
      <c r="X32" s="19"/>
      <c r="Y32" s="19"/>
      <c r="Z32" s="19"/>
      <c r="AA32" s="18"/>
      <c r="AB32" s="18"/>
      <c r="AC32" s="18"/>
      <c r="AD32" s="18"/>
      <c r="AE32" s="18"/>
      <c r="AF32" s="18"/>
    </row>
    <row r="33" customFormat="false" ht="15" hidden="false" customHeight="false" outlineLevel="0" collapsed="false">
      <c r="B33" s="20" t="s">
        <v>66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1" t="n">
        <f aca="false">SUM(U8:U32)</f>
        <v>202900</v>
      </c>
      <c r="V33" s="21"/>
      <c r="W33" s="21"/>
      <c r="X33" s="21"/>
      <c r="Y33" s="21"/>
      <c r="Z33" s="21"/>
      <c r="AA33" s="21" t="n">
        <f aca="false">SUM(AA8:AA32)</f>
        <v>202900</v>
      </c>
      <c r="AB33" s="21"/>
      <c r="AC33" s="21"/>
      <c r="AD33" s="21"/>
      <c r="AE33" s="21"/>
      <c r="AF33" s="21"/>
    </row>
    <row r="35" customFormat="false" ht="15" hidden="false" customHeight="false" outlineLevel="0" collapsed="false">
      <c r="B35" s="16" t="s">
        <v>67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7" t="s">
        <v>68</v>
      </c>
      <c r="Y35" s="17"/>
      <c r="Z35" s="17"/>
      <c r="AA35" s="17"/>
      <c r="AB35" s="17"/>
      <c r="AC35" s="17"/>
    </row>
    <row r="36" customFormat="false" ht="16.5" hidden="false" customHeight="true" outlineLevel="0" collapsed="false">
      <c r="B36" s="12" t="s">
        <v>69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9500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70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500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71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72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0.05</v>
      </c>
      <c r="Y39" s="22"/>
      <c r="Z39" s="22"/>
      <c r="AA39" s="22"/>
      <c r="AB39" s="22"/>
      <c r="AC39" s="22"/>
    </row>
    <row r="40" customFormat="false" ht="16.5" hidden="false" customHeight="true" outlineLevel="0" collapsed="false">
      <c r="B40" s="12" t="s">
        <v>73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22" t="n">
        <v>0.1</v>
      </c>
      <c r="Y40" s="22"/>
      <c r="Z40" s="22"/>
      <c r="AA40" s="22"/>
      <c r="AB40" s="22"/>
      <c r="AC40" s="22"/>
    </row>
    <row r="41" customFormat="false" ht="16.5" hidden="false" customHeight="true" outlineLevel="0" collapsed="false">
      <c r="B41" s="12" t="s">
        <v>74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22" t="n">
        <v>0.05</v>
      </c>
      <c r="Y41" s="22"/>
      <c r="Z41" s="22"/>
      <c r="AA41" s="22"/>
      <c r="AB41" s="22"/>
      <c r="AC41" s="22"/>
    </row>
    <row r="43" customFormat="false" ht="15" hidden="false" customHeight="false" outlineLevel="0" collapsed="false">
      <c r="B43" s="15" t="s">
        <v>75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76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7" t="n">
        <f aca="false">$AA$8</f>
        <v>110000</v>
      </c>
      <c r="AC46" s="7"/>
      <c r="AD46" s="7"/>
      <c r="AE46" s="7"/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26" t="n">
        <f aca="false">-($U$10)</f>
        <v>-1500</v>
      </c>
      <c r="AC47" s="26"/>
      <c r="AD47" s="26"/>
      <c r="AE47" s="26"/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7" t="n">
        <f aca="false">$AB$46+$AB$47</f>
        <v>108500</v>
      </c>
      <c r="AC48" s="7"/>
      <c r="AD48" s="7"/>
      <c r="AE48" s="7"/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7" t="n">
        <f aca="false">$U$14</f>
        <v>8000</v>
      </c>
      <c r="X50" s="7"/>
      <c r="Y50" s="7"/>
      <c r="Z50" s="7"/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7" t="n">
        <f aca="false">$U$9</f>
        <v>62000</v>
      </c>
      <c r="S51" s="7"/>
      <c r="T51" s="7"/>
      <c r="U51" s="7"/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7" t="n">
        <f aca="false">-($AA$11)</f>
        <v>-1200</v>
      </c>
      <c r="S52" s="7"/>
      <c r="T52" s="7"/>
      <c r="U52" s="7"/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6" t="n">
        <f aca="false">$U$12</f>
        <v>800</v>
      </c>
      <c r="S53" s="26"/>
      <c r="T53" s="26"/>
      <c r="U53" s="26"/>
      <c r="W53" s="26" t="n">
        <f aca="false">$R$51+$R$52+$R$53</f>
        <v>61600</v>
      </c>
      <c r="X53" s="26"/>
      <c r="Y53" s="26"/>
      <c r="Z53" s="26"/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7" t="n">
        <f aca="false">$W$50+$W$53</f>
        <v>69600</v>
      </c>
      <c r="X54" s="7"/>
      <c r="Y54" s="7"/>
      <c r="Z54" s="7"/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26" t="n">
        <f aca="false">-($X$36)</f>
        <v>-9500</v>
      </c>
      <c r="X55" s="26"/>
      <c r="Y55" s="26"/>
      <c r="Z55" s="26"/>
      <c r="AB55" s="26" t="n">
        <f aca="false">-($W$54+$W$55)</f>
        <v>-60100</v>
      </c>
      <c r="AC55" s="26"/>
      <c r="AD55" s="26"/>
      <c r="AE55" s="26"/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7" t="n">
        <f aca="false">$AB$48+$AB$55</f>
        <v>48400</v>
      </c>
      <c r="AC56" s="7"/>
      <c r="AD56" s="7"/>
      <c r="AE56" s="7"/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53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26" t="n">
        <f aca="false">$AA$20</f>
        <v>500</v>
      </c>
      <c r="X58" s="26"/>
      <c r="Y58" s="26"/>
      <c r="Z58" s="26"/>
      <c r="AB58" s="26" t="n">
        <f aca="false">$W$58</f>
        <v>500</v>
      </c>
      <c r="AC58" s="26"/>
      <c r="AD58" s="26"/>
      <c r="AE58" s="26"/>
    </row>
    <row r="59" customFormat="false" ht="17.25" hidden="false" customHeight="true" outlineLevel="0" collapsed="false">
      <c r="B59" s="24"/>
      <c r="C59" s="24"/>
      <c r="D59" s="24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AB59" s="7" t="n">
        <f aca="false">$AB$56+$AB$58</f>
        <v>48900</v>
      </c>
      <c r="AC59" s="7"/>
      <c r="AD59" s="7"/>
      <c r="AE59" s="7"/>
    </row>
    <row r="60" customFormat="false" ht="17.25" hidden="false" customHeight="true" outlineLevel="0" collapsed="false">
      <c r="B60" s="24" t="s">
        <v>78</v>
      </c>
      <c r="C60" s="24"/>
      <c r="D60" s="24"/>
      <c r="E60" s="27" t="s">
        <v>87</v>
      </c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</row>
    <row r="61" customFormat="false" ht="17.25" hidden="false" customHeight="true" outlineLevel="0" collapsed="false">
      <c r="B61" s="24"/>
      <c r="C61" s="24"/>
      <c r="D61" s="24"/>
      <c r="E61" s="25" t="s">
        <v>48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7" t="n">
        <f aca="false">$U$15</f>
        <v>14000</v>
      </c>
      <c r="X61" s="7"/>
      <c r="Y61" s="7"/>
      <c r="Z61" s="7"/>
    </row>
    <row r="62" customFormat="false" ht="17.25" hidden="false" customHeight="true" outlineLevel="0" collapsed="false">
      <c r="B62" s="24"/>
      <c r="C62" s="24"/>
      <c r="D62" s="24"/>
      <c r="E62" s="25" t="s">
        <v>49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7" t="n">
        <f aca="false">$U$16+$X$37</f>
        <v>6000</v>
      </c>
      <c r="X62" s="7"/>
      <c r="Y62" s="7"/>
      <c r="Z62" s="7"/>
    </row>
    <row r="63" customFormat="false" ht="17.25" hidden="false" customHeight="true" outlineLevel="0" collapsed="false">
      <c r="B63" s="24"/>
      <c r="C63" s="24"/>
      <c r="D63" s="24"/>
      <c r="E63" s="25" t="s">
        <v>50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7" t="n">
        <f aca="false">$U$17-$X$38</f>
        <v>1500</v>
      </c>
      <c r="X63" s="7"/>
      <c r="Y63" s="7"/>
      <c r="Z63" s="7"/>
    </row>
    <row r="64" customFormat="false" ht="17.25" hidden="false" customHeight="true" outlineLevel="0" collapsed="false">
      <c r="B64" s="24"/>
      <c r="C64" s="24"/>
      <c r="D64" s="24"/>
      <c r="E64" s="25" t="s">
        <v>51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7" t="n">
        <f aca="false">$U$18</f>
        <v>2100</v>
      </c>
      <c r="X64" s="7"/>
      <c r="Y64" s="7"/>
      <c r="Z64" s="7"/>
    </row>
    <row r="65" customFormat="false" ht="17.25" hidden="false" customHeight="true" outlineLevel="0" collapsed="false">
      <c r="B65" s="24"/>
      <c r="C65" s="24"/>
      <c r="D65" s="24"/>
      <c r="E65" s="25" t="s">
        <v>46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7" t="n">
        <f aca="false">$U$13</f>
        <v>600</v>
      </c>
      <c r="X65" s="7"/>
      <c r="Y65" s="7"/>
      <c r="Z65" s="7"/>
    </row>
    <row r="66" customFormat="false" ht="17.25" hidden="false" customHeight="true" outlineLevel="0" collapsed="false">
      <c r="B66" s="24"/>
      <c r="C66" s="24"/>
      <c r="D66" s="24"/>
      <c r="E66" s="25" t="s">
        <v>52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7" t="n">
        <f aca="false">$U$19</f>
        <v>400</v>
      </c>
      <c r="X66" s="7"/>
      <c r="Y66" s="7"/>
      <c r="Z66" s="7"/>
    </row>
    <row r="67" customFormat="false" ht="17.25" hidden="false" customHeight="true" outlineLevel="0" collapsed="false">
      <c r="B67" s="24"/>
      <c r="C67" s="24"/>
      <c r="D67" s="24"/>
      <c r="E67" s="25" t="s">
        <v>54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7" t="n">
        <f aca="false">$U$21</f>
        <v>700</v>
      </c>
      <c r="X67" s="7"/>
      <c r="Y67" s="7"/>
      <c r="Z67" s="7"/>
    </row>
    <row r="68" customFormat="false" ht="17.25" hidden="false" customHeight="true" outlineLevel="0" collapsed="false">
      <c r="B68" s="24"/>
      <c r="C68" s="24"/>
      <c r="D68" s="24"/>
      <c r="E68" s="25" t="s">
        <v>88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7" t="n">
        <f aca="false">MAX(ROUND($U$25*$X$39,2)-$AA$26,0)</f>
        <v>200</v>
      </c>
      <c r="X68" s="7"/>
      <c r="Y68" s="7"/>
      <c r="Z68" s="7"/>
    </row>
    <row r="69" customFormat="false" ht="17.25" hidden="false" customHeight="true" outlineLevel="0" collapsed="false">
      <c r="B69" s="24"/>
      <c r="C69" s="24"/>
      <c r="D69" s="24"/>
      <c r="E69" s="25" t="s">
        <v>89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W69" s="7" t="n">
        <f aca="false">$U$23*$X$40</f>
        <v>2000</v>
      </c>
      <c r="X69" s="7"/>
      <c r="Y69" s="7"/>
      <c r="Z69" s="7"/>
    </row>
    <row r="70" customFormat="false" ht="17.25" hidden="false" customHeight="true" outlineLevel="0" collapsed="false">
      <c r="B70" s="24"/>
      <c r="C70" s="24"/>
      <c r="D70" s="24"/>
      <c r="E70" s="25" t="s">
        <v>90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W70" s="26" t="n">
        <f aca="false">$AA$30*$X$41</f>
        <v>500</v>
      </c>
      <c r="X70" s="26"/>
      <c r="Y70" s="26"/>
      <c r="Z70" s="26"/>
      <c r="AB70" s="26" t="n">
        <f aca="false">-($W$61+$W$62+$W$63+$W$64+$W$65+$W$66+$W$67+$W$68+$W$69+$W$70)</f>
        <v>-28000</v>
      </c>
      <c r="AC70" s="26"/>
      <c r="AD70" s="26"/>
      <c r="AE70" s="26"/>
    </row>
    <row r="71" customFormat="false" ht="17.25" hidden="false" customHeight="true" outlineLevel="0" collapsed="false">
      <c r="B71" s="24"/>
      <c r="C71" s="24"/>
      <c r="D71" s="24"/>
      <c r="E71" s="28" t="s">
        <v>91</v>
      </c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AB71" s="29" t="n">
        <f aca="false">$AB$59+$AB$70</f>
        <v>20900</v>
      </c>
      <c r="AC71" s="29"/>
      <c r="AD71" s="29"/>
      <c r="AE71" s="29"/>
    </row>
    <row r="73" customFormat="false" ht="15" hidden="false" customHeight="false" outlineLevel="0" collapsed="false">
      <c r="B73" s="15" t="s">
        <v>75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15" t="s">
        <v>92</v>
      </c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</row>
    <row r="75" customFormat="false" ht="15" hidden="false" customHeight="false" outlineLevel="0" collapsed="false">
      <c r="B75" s="23"/>
      <c r="C75" s="23"/>
      <c r="D75" s="23"/>
      <c r="E75" s="16" t="s">
        <v>38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7" t="s">
        <v>77</v>
      </c>
      <c r="S75" s="17"/>
      <c r="T75" s="17"/>
      <c r="U75" s="17"/>
      <c r="V75" s="17"/>
      <c r="W75" s="17" t="s">
        <v>77</v>
      </c>
      <c r="X75" s="17"/>
      <c r="Y75" s="17"/>
      <c r="Z75" s="17"/>
      <c r="AA75" s="17"/>
      <c r="AB75" s="17" t="s">
        <v>77</v>
      </c>
      <c r="AC75" s="17"/>
      <c r="AD75" s="17"/>
      <c r="AE75" s="17"/>
      <c r="AF75" s="17"/>
    </row>
    <row r="76" customFormat="false" ht="30" hidden="false" customHeight="true" outlineLevel="0" collapsed="false"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11" t="s">
        <v>93</v>
      </c>
      <c r="S76" s="11"/>
      <c r="T76" s="11"/>
      <c r="U76" s="11"/>
      <c r="V76" s="11"/>
      <c r="W76" s="11" t="s">
        <v>94</v>
      </c>
      <c r="X76" s="11"/>
      <c r="Y76" s="11"/>
      <c r="Z76" s="11"/>
      <c r="AA76" s="11"/>
      <c r="AB76" s="11" t="s">
        <v>95</v>
      </c>
      <c r="AC76" s="11"/>
      <c r="AD76" s="11"/>
      <c r="AE76" s="11"/>
      <c r="AF76" s="11"/>
    </row>
    <row r="77" customFormat="false" ht="17.25" hidden="false" customHeight="true" outlineLevel="0" collapsed="false">
      <c r="B77" s="24"/>
      <c r="C77" s="24"/>
      <c r="D77" s="24"/>
      <c r="E77" s="27" t="s">
        <v>96</v>
      </c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</row>
    <row r="78" customFormat="false" ht="17.25" hidden="false" customHeight="true" outlineLevel="0" collapsed="false">
      <c r="B78" s="24"/>
      <c r="C78" s="24"/>
      <c r="D78" s="24"/>
      <c r="E78" s="25" t="s">
        <v>97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7" t="n">
        <f aca="false">$U$22</f>
        <v>60000</v>
      </c>
      <c r="S78" s="7"/>
      <c r="T78" s="7"/>
      <c r="U78" s="7"/>
      <c r="W78" s="7" t="n">
        <f aca="false">0</f>
        <v>0</v>
      </c>
      <c r="X78" s="7"/>
      <c r="Y78" s="7"/>
      <c r="Z78" s="7"/>
      <c r="AB78" s="7" t="n">
        <f aca="false">$R$78-$W$78</f>
        <v>60000</v>
      </c>
      <c r="AC78" s="7"/>
      <c r="AD78" s="7"/>
      <c r="AE78" s="7"/>
    </row>
    <row r="79" customFormat="false" ht="17.25" hidden="false" customHeight="true" outlineLevel="0" collapsed="false">
      <c r="B79" s="24"/>
      <c r="C79" s="24"/>
      <c r="D79" s="24"/>
      <c r="E79" s="25" t="s">
        <v>98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6" t="n">
        <f aca="false">$U$23</f>
        <v>20000</v>
      </c>
      <c r="S79" s="26"/>
      <c r="T79" s="26"/>
      <c r="U79" s="26"/>
      <c r="W79" s="26" t="n">
        <f aca="false">$AA$24+$U$23*$X$40</f>
        <v>8000</v>
      </c>
      <c r="X79" s="26"/>
      <c r="Y79" s="26"/>
      <c r="Z79" s="26"/>
      <c r="AB79" s="26" t="n">
        <f aca="false">$R$79-$W$79</f>
        <v>12000</v>
      </c>
      <c r="AC79" s="26"/>
      <c r="AD79" s="26"/>
      <c r="AE79" s="26"/>
    </row>
    <row r="80" customFormat="false" ht="17.25" hidden="false" customHeight="true" outlineLevel="0" collapsed="false">
      <c r="B80" s="24"/>
      <c r="C80" s="24"/>
      <c r="D80" s="24"/>
      <c r="E80" s="28" t="s">
        <v>99</v>
      </c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7" t="n">
        <f aca="false">$R$78+$R$79</f>
        <v>80000</v>
      </c>
      <c r="S80" s="7"/>
      <c r="T80" s="7"/>
      <c r="U80" s="7"/>
      <c r="W80" s="7" t="n">
        <f aca="false">$W$78+$W$79</f>
        <v>8000</v>
      </c>
      <c r="X80" s="7"/>
      <c r="Y80" s="7"/>
      <c r="Z80" s="7"/>
      <c r="AB80" s="7" t="n">
        <f aca="false">$AB$78+$AB$79</f>
        <v>72000</v>
      </c>
      <c r="AC80" s="7"/>
      <c r="AD80" s="7"/>
      <c r="AE80" s="7"/>
    </row>
    <row r="81" customFormat="false" ht="17.25" hidden="false" customHeight="true" outlineLevel="0" collapsed="false">
      <c r="B81" s="24"/>
      <c r="C81" s="24"/>
      <c r="D81" s="24"/>
      <c r="E81" s="27" t="s">
        <v>100</v>
      </c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</row>
    <row r="82" customFormat="false" ht="17.25" hidden="false" customHeight="true" outlineLevel="0" collapsed="false">
      <c r="B82" s="24"/>
      <c r="C82" s="24"/>
      <c r="D82" s="24"/>
      <c r="E82" s="25" t="s">
        <v>101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7" t="n">
        <f aca="false">$X$36</f>
        <v>9500</v>
      </c>
      <c r="X82" s="7"/>
      <c r="Y82" s="7"/>
      <c r="Z82" s="7"/>
    </row>
    <row r="83" customFormat="false" ht="17.25" hidden="false" customHeight="true" outlineLevel="0" collapsed="false">
      <c r="B83" s="24"/>
      <c r="C83" s="24"/>
      <c r="D83" s="24"/>
      <c r="E83" s="25" t="s">
        <v>58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7" t="n">
        <f aca="false">$U$25</f>
        <v>12000</v>
      </c>
      <c r="S83" s="7"/>
      <c r="T83" s="7"/>
      <c r="U83" s="7"/>
    </row>
    <row r="84" customFormat="false" ht="17.25" hidden="false" customHeight="true" outlineLevel="0" collapsed="false">
      <c r="B84" s="24" t="s">
        <v>78</v>
      </c>
      <c r="C84" s="24"/>
      <c r="D84" s="24"/>
      <c r="E84" s="25" t="s">
        <v>59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6" t="n">
        <f aca="false">-(ROUND($U$25*$X$39,2))</f>
        <v>-600</v>
      </c>
      <c r="S84" s="26"/>
      <c r="T84" s="26"/>
      <c r="U84" s="26"/>
      <c r="W84" s="7" t="n">
        <f aca="false">$R$83+$R$84</f>
        <v>11400</v>
      </c>
      <c r="X84" s="7"/>
      <c r="Y84" s="7"/>
      <c r="Z84" s="7"/>
    </row>
    <row r="85" customFormat="false" ht="17.25" hidden="false" customHeight="true" outlineLevel="0" collapsed="false">
      <c r="B85" s="24"/>
      <c r="C85" s="24"/>
      <c r="D85" s="24"/>
      <c r="E85" s="25" t="s">
        <v>102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7" t="n">
        <f aca="false">$X$38</f>
        <v>300</v>
      </c>
      <c r="X85" s="7"/>
      <c r="Y85" s="7"/>
      <c r="Z85" s="7"/>
    </row>
    <row r="86" customFormat="false" ht="17.25" hidden="false" customHeight="true" outlineLevel="0" collapsed="false">
      <c r="B86" s="24"/>
      <c r="C86" s="24"/>
      <c r="D86" s="24"/>
      <c r="E86" s="25" t="s">
        <v>61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7" t="n">
        <f aca="false">$U$28</f>
        <v>4300</v>
      </c>
      <c r="X86" s="7"/>
      <c r="Y86" s="7"/>
      <c r="Z86" s="7"/>
    </row>
    <row r="87" customFormat="false" ht="17.25" hidden="false" customHeight="true" outlineLevel="0" collapsed="false">
      <c r="B87" s="24"/>
      <c r="C87" s="24"/>
      <c r="D87" s="24"/>
      <c r="E87" s="25" t="s">
        <v>62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26" t="n">
        <f aca="false">$U$29</f>
        <v>200</v>
      </c>
      <c r="X87" s="26"/>
      <c r="Y87" s="26"/>
      <c r="Z87" s="26"/>
    </row>
    <row r="88" customFormat="false" ht="17.25" hidden="false" customHeight="true" outlineLevel="0" collapsed="false">
      <c r="B88" s="24"/>
      <c r="C88" s="24"/>
      <c r="D88" s="24"/>
      <c r="E88" s="28" t="s">
        <v>103</v>
      </c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W88" s="7" t="n">
        <f aca="false">$W$82+$W$84+$W$85+$W$86+$W$87</f>
        <v>25700</v>
      </c>
      <c r="X88" s="7"/>
      <c r="Y88" s="7"/>
      <c r="Z88" s="7"/>
    </row>
    <row r="89" customFormat="false" ht="17.25" hidden="false" customHeight="true" outlineLevel="0" collapsed="false">
      <c r="B89" s="24" t="s">
        <v>78</v>
      </c>
      <c r="C89" s="24"/>
      <c r="D89" s="24"/>
      <c r="E89" s="27" t="s">
        <v>104</v>
      </c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</row>
    <row r="90" customFormat="false" ht="17.25" hidden="false" customHeight="true" outlineLevel="0" collapsed="false">
      <c r="B90" s="24"/>
      <c r="C90" s="24"/>
      <c r="D90" s="24"/>
      <c r="E90" s="25" t="s">
        <v>60</v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W90" s="7" t="n">
        <f aca="false">$AA$27</f>
        <v>7500</v>
      </c>
      <c r="X90" s="7"/>
      <c r="Y90" s="7"/>
      <c r="Z90" s="7"/>
    </row>
    <row r="91" customFormat="false" ht="17.25" hidden="false" customHeight="true" outlineLevel="0" collapsed="false">
      <c r="B91" s="24"/>
      <c r="C91" s="24"/>
      <c r="D91" s="24"/>
      <c r="E91" s="25" t="s">
        <v>105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W91" s="26" t="n">
        <f aca="false">$X$37+$AA$30*$X$41</f>
        <v>1000</v>
      </c>
      <c r="X91" s="26"/>
      <c r="Y91" s="26"/>
      <c r="Z91" s="26"/>
    </row>
    <row r="92" customFormat="false" ht="17.25" hidden="false" customHeight="true" outlineLevel="0" collapsed="false">
      <c r="B92" s="24"/>
      <c r="C92" s="24"/>
      <c r="D92" s="24"/>
      <c r="E92" s="28" t="s">
        <v>106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W92" s="26" t="n">
        <f aca="false">$W$90+$W$91</f>
        <v>8500</v>
      </c>
      <c r="X92" s="26"/>
      <c r="Y92" s="26"/>
      <c r="Z92" s="26"/>
    </row>
    <row r="93" customFormat="false" ht="17.25" hidden="false" customHeight="true" outlineLevel="0" collapsed="false">
      <c r="B93" s="24"/>
      <c r="C93" s="24"/>
      <c r="D93" s="24"/>
      <c r="E93" s="25" t="s">
        <v>107</v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AB93" s="26" t="n">
        <f aca="false">$W$88-$W$92</f>
        <v>17200</v>
      </c>
      <c r="AC93" s="26"/>
      <c r="AD93" s="26"/>
      <c r="AE93" s="26"/>
    </row>
    <row r="94" customFormat="false" ht="17.25" hidden="false" customHeight="true" outlineLevel="0" collapsed="false">
      <c r="B94" s="24"/>
      <c r="C94" s="24"/>
      <c r="D94" s="24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7" t="n">
        <f aca="false">$AB$80+$AB$93</f>
        <v>89200</v>
      </c>
      <c r="AC94" s="7"/>
      <c r="AD94" s="7"/>
      <c r="AE94" s="7"/>
    </row>
    <row r="95" customFormat="false" ht="17.25" hidden="false" customHeight="true" outlineLevel="0" collapsed="false">
      <c r="B95" s="24" t="s">
        <v>78</v>
      </c>
      <c r="C95" s="24"/>
      <c r="D95" s="24"/>
      <c r="E95" s="27" t="s">
        <v>108</v>
      </c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</row>
    <row r="96" customFormat="false" ht="17.25" hidden="false" customHeight="true" outlineLevel="0" collapsed="false">
      <c r="B96" s="24"/>
      <c r="C96" s="24"/>
      <c r="D96" s="24"/>
      <c r="E96" s="25" t="s">
        <v>63</v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26" t="n">
        <f aca="false">-($AA$30)</f>
        <v>-10000</v>
      </c>
      <c r="AC96" s="26"/>
      <c r="AD96" s="26"/>
      <c r="AE96" s="26"/>
    </row>
    <row r="97" customFormat="false" ht="17.25" hidden="false" customHeight="true" outlineLevel="0" collapsed="false">
      <c r="B97" s="24"/>
      <c r="C97" s="24"/>
      <c r="D97" s="24"/>
      <c r="E97" s="28" t="s">
        <v>109</v>
      </c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AB97" s="29" t="n">
        <f aca="false">$AB$94+$AB$96</f>
        <v>79200</v>
      </c>
      <c r="AC97" s="29"/>
      <c r="AD97" s="29"/>
      <c r="AE97" s="29"/>
    </row>
    <row r="98" customFormat="false" ht="17.25" hidden="false" customHeight="true" outlineLevel="0" collapsed="false">
      <c r="B98" s="24"/>
      <c r="C98" s="24"/>
      <c r="D98" s="24"/>
      <c r="E98" s="27" t="s">
        <v>110</v>
      </c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customFormat="false" ht="17.25" hidden="false" customHeight="true" outlineLevel="0" collapsed="false">
      <c r="B99" s="24"/>
      <c r="C99" s="24"/>
      <c r="D99" s="24"/>
      <c r="E99" s="25" t="s">
        <v>111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AB99" s="7" t="n">
        <f aca="false">$AA$31</f>
        <v>67300</v>
      </c>
      <c r="AC99" s="7"/>
      <c r="AD99" s="7"/>
      <c r="AE99" s="7"/>
    </row>
    <row r="100" customFormat="false" ht="17.25" hidden="false" customHeight="true" outlineLevel="0" collapsed="false">
      <c r="B100" s="24" t="s">
        <v>82</v>
      </c>
      <c r="C100" s="24"/>
      <c r="D100" s="24"/>
      <c r="E100" s="25" t="s">
        <v>91</v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AB100" s="26" t="n">
        <f aca="false">$AB$71</f>
        <v>20900</v>
      </c>
      <c r="AC100" s="26"/>
      <c r="AD100" s="26"/>
      <c r="AE100" s="26"/>
    </row>
    <row r="101" customFormat="false" ht="17.25" hidden="false" customHeight="true" outlineLevel="0" collapsed="false">
      <c r="B101" s="24"/>
      <c r="C101" s="24"/>
      <c r="D101" s="24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AB101" s="7" t="n">
        <f aca="false">$AB$99+$AB$100</f>
        <v>88200</v>
      </c>
      <c r="AC101" s="7"/>
      <c r="AD101" s="7"/>
      <c r="AE101" s="7"/>
    </row>
    <row r="102" customFormat="false" ht="17.25" hidden="false" customHeight="true" outlineLevel="0" collapsed="false">
      <c r="B102" s="24" t="s">
        <v>78</v>
      </c>
      <c r="C102" s="24"/>
      <c r="D102" s="24"/>
      <c r="E102" s="25" t="s">
        <v>65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AB102" s="26" t="n">
        <f aca="false">-($U$32)</f>
        <v>-9000</v>
      </c>
      <c r="AC102" s="26"/>
      <c r="AD102" s="26"/>
      <c r="AE102" s="26"/>
    </row>
    <row r="103" customFormat="false" ht="17.25" hidden="false" customHeight="true" outlineLevel="0" collapsed="false">
      <c r="B103" s="24"/>
      <c r="C103" s="24"/>
      <c r="D103" s="24"/>
      <c r="E103" s="28" t="s">
        <v>112</v>
      </c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AB103" s="29" t="n">
        <f aca="false">$AB$101+$AB$102</f>
        <v>79200</v>
      </c>
      <c r="AC103" s="29"/>
      <c r="AD103" s="29"/>
      <c r="AE103" s="29"/>
    </row>
    <row r="105" customFormat="false" ht="17.25" hidden="false" customHeight="true" outlineLevel="0" collapsed="false">
      <c r="B105" s="30" t="s">
        <v>113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7" t="n">
        <f aca="false">$AB$97-$AB$103</f>
        <v>0</v>
      </c>
      <c r="Y105" s="7"/>
      <c r="Z105" s="7"/>
      <c r="AA105" s="7"/>
      <c r="AB105" s="7"/>
    </row>
  </sheetData>
  <mergeCells count="283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AB58:AE58"/>
    <mergeCell ref="B59:D59"/>
    <mergeCell ref="E59:Q59"/>
    <mergeCell ref="AB59:AE59"/>
    <mergeCell ref="B60:D60"/>
    <mergeCell ref="E60:Q60"/>
    <mergeCell ref="B61:D61"/>
    <mergeCell ref="E61:Q61"/>
    <mergeCell ref="W61:Z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B69:D69"/>
    <mergeCell ref="E69:Q69"/>
    <mergeCell ref="W69:Z69"/>
    <mergeCell ref="B70:D70"/>
    <mergeCell ref="E70:Q70"/>
    <mergeCell ref="W70:Z70"/>
    <mergeCell ref="AB70:AE70"/>
    <mergeCell ref="B71:D71"/>
    <mergeCell ref="E71:Q71"/>
    <mergeCell ref="AB71:AE71"/>
    <mergeCell ref="B73:AF73"/>
    <mergeCell ref="B74:AF74"/>
    <mergeCell ref="B75:D75"/>
    <mergeCell ref="E75:Q75"/>
    <mergeCell ref="R75:V75"/>
    <mergeCell ref="W75:AA75"/>
    <mergeCell ref="AB75:AF75"/>
    <mergeCell ref="B76:D76"/>
    <mergeCell ref="E76:Q76"/>
    <mergeCell ref="R76:V76"/>
    <mergeCell ref="W76:AA76"/>
    <mergeCell ref="AB76:AF76"/>
    <mergeCell ref="B77:D77"/>
    <mergeCell ref="E77:Q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R80:U80"/>
    <mergeCell ref="W80:Z80"/>
    <mergeCell ref="AB80:AE80"/>
    <mergeCell ref="B81:D81"/>
    <mergeCell ref="E81:Q81"/>
    <mergeCell ref="B82:D82"/>
    <mergeCell ref="E82:Q82"/>
    <mergeCell ref="W82:Z82"/>
    <mergeCell ref="B83:D83"/>
    <mergeCell ref="E83:Q83"/>
    <mergeCell ref="R83:U83"/>
    <mergeCell ref="B84:D84"/>
    <mergeCell ref="E84:Q84"/>
    <mergeCell ref="R84:U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B89:D89"/>
    <mergeCell ref="E89:Q89"/>
    <mergeCell ref="B90:D90"/>
    <mergeCell ref="E90:Q90"/>
    <mergeCell ref="W90:Z90"/>
    <mergeCell ref="B91:D91"/>
    <mergeCell ref="E91:Q91"/>
    <mergeCell ref="W91:Z91"/>
    <mergeCell ref="B92:D92"/>
    <mergeCell ref="E92:Q92"/>
    <mergeCell ref="W92:Z92"/>
    <mergeCell ref="B93:D93"/>
    <mergeCell ref="E93:Q93"/>
    <mergeCell ref="AB93:AE93"/>
    <mergeCell ref="B94:D94"/>
    <mergeCell ref="E94:Q94"/>
    <mergeCell ref="AB94:AE94"/>
    <mergeCell ref="B95:D95"/>
    <mergeCell ref="E95:Q95"/>
    <mergeCell ref="B96:D96"/>
    <mergeCell ref="E96:Q96"/>
    <mergeCell ref="AB96:AE96"/>
    <mergeCell ref="B97:D97"/>
    <mergeCell ref="E97:Q97"/>
    <mergeCell ref="AB97:AE97"/>
    <mergeCell ref="B98:D98"/>
    <mergeCell ref="E98:Q98"/>
    <mergeCell ref="B99:D99"/>
    <mergeCell ref="E99:Q99"/>
    <mergeCell ref="AB99:AE99"/>
    <mergeCell ref="B100:D100"/>
    <mergeCell ref="E100:Q100"/>
    <mergeCell ref="AB100:AE100"/>
    <mergeCell ref="B101:D101"/>
    <mergeCell ref="E101:Q101"/>
    <mergeCell ref="AB101:AE101"/>
    <mergeCell ref="B102:D102"/>
    <mergeCell ref="E102:Q102"/>
    <mergeCell ref="AB102:AE102"/>
    <mergeCell ref="B103:D103"/>
    <mergeCell ref="E103:Q103"/>
    <mergeCell ref="AB103:AE103"/>
    <mergeCell ref="B105:W105"/>
    <mergeCell ref="X105:AB105"/>
  </mergeCells>
  <conditionalFormatting sqref="B1:AG10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COUNTIF(B4:AG35,"✓")&amp;" correct out of 12 answer cells"</f>
        <v>0 correct out of 12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117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119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60000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120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121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38000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122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800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123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124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4500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125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5200</v>
      </c>
      <c r="Y13" s="19"/>
      <c r="Z13" s="19"/>
      <c r="AA13" s="19"/>
      <c r="AB13" s="19"/>
      <c r="AC13" s="19"/>
    </row>
    <row r="16" customFormat="false" ht="18.75" hidden="false" customHeight="true" outlineLevel="0" collapsed="false">
      <c r="B16" s="3" t="s">
        <v>126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127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128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38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77</v>
      </c>
      <c r="S19" s="17"/>
      <c r="T19" s="17"/>
      <c r="U19" s="17"/>
      <c r="V19" s="17"/>
      <c r="W19" s="17" t="s">
        <v>77</v>
      </c>
      <c r="X19" s="17"/>
      <c r="Y19" s="17"/>
      <c r="Z19" s="17"/>
      <c r="AA19" s="17"/>
      <c r="AB19" s="17" t="s">
        <v>77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41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32"/>
      <c r="AC20" s="32"/>
      <c r="AD20" s="32"/>
      <c r="AE20" s="32"/>
      <c r="AF20" s="33" t="str">
        <f aca="false">IF(AB20="","",IFERROR(IF(ABS(ABS(AB20)-ABS('QFS.6 Ans'!AB20))&lt;0.5,"✓","✗"),"✗"))</f>
        <v/>
      </c>
    </row>
    <row r="21" customFormat="false" ht="17.25" hidden="false" customHeight="true" outlineLevel="0" collapsed="false">
      <c r="B21" s="24" t="s">
        <v>78</v>
      </c>
      <c r="C21" s="24"/>
      <c r="D21" s="24"/>
      <c r="E21" s="25" t="s">
        <v>43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34"/>
      <c r="AC21" s="34"/>
      <c r="AD21" s="34"/>
      <c r="AE21" s="34"/>
      <c r="AF21" s="33" t="str">
        <f aca="false">IF(AB21="","",IFERROR(IF(ABS(ABS(AB21)-ABS('QFS.6 Ans'!AB21))&lt;0.5,"✓","✗"),"✗"))</f>
        <v/>
      </c>
    </row>
    <row r="22" customFormat="false" ht="17.25" hidden="false" customHeight="true" outlineLevel="0" collapsed="false">
      <c r="B22" s="24"/>
      <c r="C22" s="24"/>
      <c r="D22" s="24"/>
      <c r="E22" s="25" t="s">
        <v>79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32"/>
      <c r="AC22" s="32"/>
      <c r="AD22" s="32"/>
      <c r="AE22" s="32"/>
      <c r="AF22" s="33" t="str">
        <f aca="false">IF(AB22="","",IFERROR(IF(ABS(ABS(AB22)-ABS('QFS.6 Ans'!AB22))&lt;0.5,"✓","✗"),"✗"))</f>
        <v/>
      </c>
    </row>
    <row r="23" customFormat="false" ht="17.25" hidden="false" customHeight="true" outlineLevel="0" collapsed="false">
      <c r="B23" s="24" t="s">
        <v>78</v>
      </c>
      <c r="C23" s="24"/>
      <c r="D23" s="24"/>
      <c r="E23" s="27" t="s">
        <v>80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32"/>
      <c r="X24" s="32"/>
      <c r="Y24" s="32"/>
      <c r="Z24" s="32"/>
      <c r="AA24" s="33" t="str">
        <f aca="false">IF(W24="","",IFERROR(IF(ABS(ABS(W24)-ABS('QFS.6 Ans'!W24))&lt;0.5,"✓","✗"),"✗"))</f>
        <v/>
      </c>
    </row>
    <row r="25" customFormat="false" ht="17.25" hidden="false" customHeight="true" outlineLevel="0" collapsed="false">
      <c r="B25" s="24" t="s">
        <v>82</v>
      </c>
      <c r="C25" s="24"/>
      <c r="D25" s="24"/>
      <c r="E25" s="25" t="s">
        <v>42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32"/>
      <c r="S25" s="32"/>
      <c r="T25" s="32"/>
      <c r="U25" s="32"/>
      <c r="V25" s="33" t="str">
        <f aca="false">IF(R25="","",IFERROR(IF(ABS(ABS(R25)-ABS('QFS.6 Ans'!R25))&lt;0.5,"✓","✗"),"✗"))</f>
        <v/>
      </c>
    </row>
    <row r="26" customFormat="false" ht="17.25" hidden="false" customHeight="true" outlineLevel="0" collapsed="false">
      <c r="B26" s="24" t="s">
        <v>78</v>
      </c>
      <c r="C26" s="24"/>
      <c r="D26" s="24"/>
      <c r="E26" s="25" t="s">
        <v>44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32"/>
      <c r="S26" s="32"/>
      <c r="T26" s="32"/>
      <c r="U26" s="32"/>
      <c r="V26" s="33" t="str">
        <f aca="false">IF(R26="","",IFERROR(IF(ABS(ABS(R26)-ABS('QFS.6 Ans'!R26))&lt;0.5,"✓","✗"),"✗"))</f>
        <v/>
      </c>
    </row>
    <row r="27" customFormat="false" ht="17.25" hidden="false" customHeight="true" outlineLevel="0" collapsed="false">
      <c r="B27" s="24" t="s">
        <v>82</v>
      </c>
      <c r="C27" s="24"/>
      <c r="D27" s="24"/>
      <c r="E27" s="25" t="s">
        <v>45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4"/>
      <c r="S27" s="34"/>
      <c r="T27" s="34"/>
      <c r="U27" s="34"/>
      <c r="V27" s="33" t="str">
        <f aca="false">IF(R27="","",IFERROR(IF(ABS(ABS(R27)-ABS('QFS.6 Ans'!R27))&lt;0.5,"✓","✗"),"✗"))</f>
        <v/>
      </c>
      <c r="W27" s="34"/>
      <c r="X27" s="34"/>
      <c r="Y27" s="34"/>
      <c r="Z27" s="34"/>
      <c r="AA27" s="33" t="str">
        <f aca="false">IF(W27="","",IFERROR(IF(ABS(ABS(W27)-ABS('QFS.6 Ans'!W27))&lt;0.5,"✓","✗"),"✗"))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83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32"/>
      <c r="X28" s="32"/>
      <c r="Y28" s="32"/>
      <c r="Z28" s="32"/>
      <c r="AA28" s="33" t="str">
        <f aca="false">IF(W28="","",IFERROR(IF(ABS(ABS(W28)-ABS('QFS.6 Ans'!W28))&lt;0.5,"✓","✗"),"✗"))</f>
        <v/>
      </c>
    </row>
    <row r="29" customFormat="false" ht="17.25" hidden="false" customHeight="true" outlineLevel="0" collapsed="false">
      <c r="B29" s="24" t="s">
        <v>78</v>
      </c>
      <c r="C29" s="24"/>
      <c r="D29" s="24"/>
      <c r="E29" s="25" t="s">
        <v>84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34"/>
      <c r="X29" s="34"/>
      <c r="Y29" s="34"/>
      <c r="Z29" s="34"/>
      <c r="AA29" s="33" t="str">
        <f aca="false">IF(W29="","",IFERROR(IF(ABS(ABS(W29)-ABS('QFS.6 Ans'!W29))&lt;0.5,"✓","✗"),"✗"))</f>
        <v/>
      </c>
      <c r="AB29" s="34"/>
      <c r="AC29" s="34"/>
      <c r="AD29" s="34"/>
      <c r="AE29" s="34"/>
      <c r="AF29" s="33" t="str">
        <f aca="false">IF(AB29="","",IFERROR(IF(ABS(ABS(AB29)-ABS('QFS.6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8" t="s">
        <v>85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35"/>
      <c r="AC30" s="35"/>
      <c r="AD30" s="35"/>
      <c r="AE30" s="35"/>
      <c r="AF30" s="33" t="str">
        <f aca="false">IF(AB30="","",IFERROR(IF(ABS(ABS(AB30)-ABS('QFS.6 Ans'!AB30))&lt;0.5,"✓","✗"),"✗"))</f>
        <v/>
      </c>
    </row>
    <row r="32" customFormat="false" ht="18.75" hidden="false" customHeight="true" outlineLevel="0" collapsed="false">
      <c r="B32" s="3" t="s">
        <v>129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</row>
    <row r="34" customFormat="false" ht="16.5" hidden="false" customHeight="true" outlineLevel="0" collapsed="false"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</sheetData>
  <mergeCells count="65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4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COUNTIF(B4:AG57,"✓")&amp;" correct out of 26 answer cells"</f>
        <v>0 correct out of 26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131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132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 t="n">
        <v>50000</v>
      </c>
      <c r="Y7" s="19"/>
      <c r="Z7" s="19"/>
      <c r="AA7" s="19"/>
      <c r="AB7" s="19"/>
      <c r="AC7" s="19"/>
    </row>
    <row r="8" customFormat="false" ht="16.5" hidden="false" customHeight="true" outlineLevel="0" collapsed="false">
      <c r="B8" s="12" t="s">
        <v>133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 t="n">
        <v>15000</v>
      </c>
      <c r="Y8" s="19"/>
      <c r="Z8" s="19"/>
      <c r="AA8" s="19"/>
      <c r="AB8" s="19"/>
      <c r="AC8" s="19"/>
    </row>
    <row r="9" customFormat="false" ht="16.5" hidden="false" customHeight="true" outlineLevel="0" collapsed="false">
      <c r="B9" s="12" t="s">
        <v>134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 t="n">
        <v>5000</v>
      </c>
      <c r="Y9" s="19"/>
      <c r="Z9" s="19"/>
      <c r="AA9" s="19"/>
      <c r="AB9" s="19"/>
      <c r="AC9" s="19"/>
    </row>
    <row r="10" customFormat="false" ht="16.5" hidden="false" customHeight="true" outlineLevel="0" collapsed="false">
      <c r="B10" s="12" t="s">
        <v>135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 t="n">
        <v>6000</v>
      </c>
      <c r="Y10" s="19"/>
      <c r="Z10" s="19"/>
      <c r="AA10" s="19"/>
      <c r="AB10" s="19"/>
      <c r="AC10" s="19"/>
    </row>
    <row r="11" customFormat="false" ht="16.5" hidden="false" customHeight="true" outlineLevel="0" collapsed="false">
      <c r="B11" s="12" t="s">
        <v>136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9" t="n">
        <v>7500</v>
      </c>
      <c r="Y11" s="19"/>
      <c r="Z11" s="19"/>
      <c r="AA11" s="19"/>
      <c r="AB11" s="19"/>
      <c r="AC11" s="19"/>
    </row>
    <row r="12" customFormat="false" ht="16.5" hidden="false" customHeight="true" outlineLevel="0" collapsed="false">
      <c r="B12" s="12" t="s">
        <v>137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 t="n">
        <v>2300</v>
      </c>
      <c r="Y12" s="19"/>
      <c r="Z12" s="19"/>
      <c r="AA12" s="19"/>
      <c r="AB12" s="19"/>
      <c r="AC12" s="19"/>
    </row>
    <row r="13" customFormat="false" ht="16.5" hidden="false" customHeight="true" outlineLevel="0" collapsed="false">
      <c r="B13" s="12" t="s">
        <v>138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 t="n">
        <v>200</v>
      </c>
      <c r="Y13" s="19"/>
      <c r="Z13" s="19"/>
      <c r="AA13" s="19"/>
      <c r="AB13" s="19"/>
      <c r="AC13" s="19"/>
    </row>
    <row r="14" customFormat="false" ht="16.5" hidden="false" customHeight="true" outlineLevel="0" collapsed="false">
      <c r="B14" s="12" t="s">
        <v>139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 t="n">
        <v>4800</v>
      </c>
      <c r="Y14" s="19"/>
      <c r="Z14" s="19"/>
      <c r="AA14" s="19"/>
      <c r="AB14" s="19"/>
      <c r="AC14" s="19"/>
    </row>
    <row r="15" customFormat="false" ht="16.5" hidden="false" customHeight="true" outlineLevel="0" collapsed="false">
      <c r="B15" s="12" t="s">
        <v>140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 t="n">
        <v>10000</v>
      </c>
      <c r="Y15" s="19"/>
      <c r="Z15" s="19"/>
      <c r="AA15" s="19"/>
      <c r="AB15" s="19"/>
      <c r="AC15" s="19"/>
    </row>
    <row r="16" customFormat="false" ht="16.5" hidden="false" customHeight="true" outlineLevel="0" collapsed="false">
      <c r="B16" s="12" t="s">
        <v>141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 t="n">
        <v>55000</v>
      </c>
      <c r="Y16" s="19"/>
      <c r="Z16" s="19"/>
      <c r="AA16" s="19"/>
      <c r="AB16" s="19"/>
      <c r="AC16" s="19"/>
    </row>
    <row r="17" customFormat="false" ht="16.5" hidden="false" customHeight="true" outlineLevel="0" collapsed="false">
      <c r="B17" s="12" t="s">
        <v>142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 t="n">
        <v>14200</v>
      </c>
      <c r="Y17" s="19"/>
      <c r="Z17" s="19"/>
      <c r="AA17" s="19"/>
      <c r="AB17" s="19"/>
      <c r="AC17" s="19"/>
    </row>
    <row r="18" customFormat="false" ht="16.5" hidden="false" customHeight="true" outlineLevel="0" collapsed="false">
      <c r="B18" s="12" t="s">
        <v>143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9" t="n">
        <v>8000</v>
      </c>
      <c r="Y18" s="19"/>
      <c r="Z18" s="19"/>
      <c r="AA18" s="19"/>
      <c r="AB18" s="19"/>
      <c r="AC18" s="19"/>
    </row>
    <row r="21" customFormat="false" ht="18.75" hidden="false" customHeight="true" outlineLevel="0" collapsed="false">
      <c r="B21" s="3" t="s">
        <v>144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145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92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38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77</v>
      </c>
      <c r="S24" s="17"/>
      <c r="T24" s="17"/>
      <c r="U24" s="17"/>
      <c r="V24" s="17"/>
      <c r="W24" s="17" t="s">
        <v>77</v>
      </c>
      <c r="X24" s="17"/>
      <c r="Y24" s="17"/>
      <c r="Z24" s="17"/>
      <c r="AA24" s="17"/>
      <c r="AB24" s="17" t="s">
        <v>77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93</v>
      </c>
      <c r="S25" s="11"/>
      <c r="T25" s="11"/>
      <c r="U25" s="11"/>
      <c r="V25" s="11"/>
      <c r="W25" s="11" t="s">
        <v>94</v>
      </c>
      <c r="X25" s="11"/>
      <c r="Y25" s="11"/>
      <c r="Z25" s="11"/>
      <c r="AA25" s="11"/>
      <c r="AB25" s="11" t="s">
        <v>95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96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97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32"/>
      <c r="S27" s="32"/>
      <c r="T27" s="32"/>
      <c r="U27" s="32"/>
      <c r="V27" s="33" t="str">
        <f aca="false">IF(R27="","",IFERROR(IF(ABS(ABS(R27)-ABS('QFS.7 Ans'!R27))&lt;0.5,"✓","✗"),"✗"))</f>
        <v/>
      </c>
      <c r="W27" s="32"/>
      <c r="X27" s="32"/>
      <c r="Y27" s="32"/>
      <c r="Z27" s="32"/>
      <c r="AA27" s="33" t="str">
        <f aca="false">IF(W27="","",IFERROR(IF(ABS(ABS(W27)-ABS('QFS.7 Ans'!W27))&lt;0.5,"✓","✗"),"✗"))</f>
        <v/>
      </c>
      <c r="AB27" s="32"/>
      <c r="AC27" s="32"/>
      <c r="AD27" s="32"/>
      <c r="AE27" s="32"/>
      <c r="AF27" s="33" t="str">
        <f aca="false">IF(AB27="","",IFERROR(IF(ABS(ABS(AB27)-ABS('QFS.7 Ans'!AB27))&lt;0.5,"✓","✗"),"✗"))</f>
        <v/>
      </c>
    </row>
    <row r="28" customFormat="false" ht="17.25" hidden="false" customHeight="true" outlineLevel="0" collapsed="false">
      <c r="B28" s="24"/>
      <c r="C28" s="24"/>
      <c r="D28" s="24"/>
      <c r="E28" s="25" t="s">
        <v>146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34"/>
      <c r="S28" s="34"/>
      <c r="T28" s="34"/>
      <c r="U28" s="34"/>
      <c r="V28" s="33" t="str">
        <f aca="false">IF(R28="","",IFERROR(IF(ABS(ABS(R28)-ABS('QFS.7 Ans'!R28))&lt;0.5,"✓","✗"),"✗"))</f>
        <v/>
      </c>
      <c r="W28" s="34"/>
      <c r="X28" s="34"/>
      <c r="Y28" s="34"/>
      <c r="Z28" s="34"/>
      <c r="AA28" s="33" t="str">
        <f aca="false">IF(W28="","",IFERROR(IF(ABS(ABS(W28)-ABS('QFS.7 Ans'!W28))&lt;0.5,"✓","✗"),"✗"))</f>
        <v/>
      </c>
      <c r="AB28" s="34"/>
      <c r="AC28" s="34"/>
      <c r="AD28" s="34"/>
      <c r="AE28" s="34"/>
      <c r="AF28" s="33" t="str">
        <f aca="false">IF(AB28="","",IFERROR(IF(ABS(ABS(AB28)-ABS('QFS.7 Ans'!AB28))&lt;0.5,"✓","✗"),"✗"))</f>
        <v/>
      </c>
    </row>
    <row r="29" customFormat="false" ht="17.25" hidden="false" customHeight="true" outlineLevel="0" collapsed="false">
      <c r="B29" s="24"/>
      <c r="C29" s="24"/>
      <c r="D29" s="24"/>
      <c r="E29" s="28" t="s">
        <v>99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32"/>
      <c r="S29" s="32"/>
      <c r="T29" s="32"/>
      <c r="U29" s="32"/>
      <c r="V29" s="33" t="str">
        <f aca="false">IF(R29="","",IFERROR(IF(ABS(ABS(R29)-ABS('QFS.7 Ans'!R29))&lt;0.5,"✓","✗"),"✗"))</f>
        <v/>
      </c>
      <c r="W29" s="32"/>
      <c r="X29" s="32"/>
      <c r="Y29" s="32"/>
      <c r="Z29" s="32"/>
      <c r="AA29" s="33" t="str">
        <f aca="false">IF(W29="","",IFERROR(IF(ABS(ABS(W29)-ABS('QFS.7 Ans'!W29))&lt;0.5,"✓","✗"),"✗"))</f>
        <v/>
      </c>
      <c r="AB29" s="32"/>
      <c r="AC29" s="32"/>
      <c r="AD29" s="32"/>
      <c r="AE29" s="32"/>
      <c r="AF29" s="33" t="str">
        <f aca="false">IF(AB29="","",IFERROR(IF(ABS(ABS(AB29)-ABS('QFS.7 Ans'!AB29))&lt;0.5,"✓","✗"),"✗"))</f>
        <v/>
      </c>
    </row>
    <row r="30" customFormat="false" ht="17.25" hidden="false" customHeight="true" outlineLevel="0" collapsed="false">
      <c r="B30" s="24"/>
      <c r="C30" s="24"/>
      <c r="D30" s="24"/>
      <c r="E30" s="27" t="s">
        <v>100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101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32"/>
      <c r="X31" s="32"/>
      <c r="Y31" s="32"/>
      <c r="Z31" s="32"/>
      <c r="AA31" s="33" t="str">
        <f aca="false">IF(W31="","",IFERROR(IF(ABS(ABS(W31)-ABS('QFS.7 Ans'!W31))&lt;0.5,"✓","✗"),"✗"))</f>
        <v/>
      </c>
    </row>
    <row r="32" customFormat="false" ht="17.25" hidden="false" customHeight="true" outlineLevel="0" collapsed="false">
      <c r="B32" s="24"/>
      <c r="C32" s="24"/>
      <c r="D32" s="24"/>
      <c r="E32" s="25" t="s">
        <v>58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32"/>
      <c r="X32" s="32"/>
      <c r="Y32" s="32"/>
      <c r="Z32" s="32"/>
      <c r="AA32" s="33" t="str">
        <f aca="false">IF(W32="","",IFERROR(IF(ABS(ABS(W32)-ABS('QFS.7 Ans'!W32))&lt;0.5,"✓","✗"),"✗"))</f>
        <v/>
      </c>
    </row>
    <row r="33" customFormat="false" ht="17.25" hidden="false" customHeight="true" outlineLevel="0" collapsed="false">
      <c r="B33" s="24"/>
      <c r="C33" s="24"/>
      <c r="D33" s="24"/>
      <c r="E33" s="25" t="s">
        <v>61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32"/>
      <c r="X33" s="32"/>
      <c r="Y33" s="32"/>
      <c r="Z33" s="32"/>
      <c r="AA33" s="33" t="str">
        <f aca="false">IF(W33="","",IFERROR(IF(ABS(ABS(W33)-ABS('QFS.7 Ans'!W33))&lt;0.5,"✓","✗"),"✗"))</f>
        <v/>
      </c>
    </row>
    <row r="34" customFormat="false" ht="17.25" hidden="false" customHeight="true" outlineLevel="0" collapsed="false">
      <c r="B34" s="24"/>
      <c r="C34" s="24"/>
      <c r="D34" s="24"/>
      <c r="E34" s="25" t="s">
        <v>62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34"/>
      <c r="X34" s="34"/>
      <c r="Y34" s="34"/>
      <c r="Z34" s="34"/>
      <c r="AA34" s="33" t="str">
        <f aca="false">IF(W34="","",IFERROR(IF(ABS(ABS(W34)-ABS('QFS.7 Ans'!W34))&lt;0.5,"✓","✗"),"✗"))</f>
        <v/>
      </c>
    </row>
    <row r="35" customFormat="false" ht="17.25" hidden="false" customHeight="true" outlineLevel="0" collapsed="false">
      <c r="B35" s="24"/>
      <c r="C35" s="24"/>
      <c r="D35" s="24"/>
      <c r="E35" s="28" t="s">
        <v>103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32"/>
      <c r="X35" s="32"/>
      <c r="Y35" s="32"/>
      <c r="Z35" s="32"/>
      <c r="AA35" s="33" t="str">
        <f aca="false">IF(W35="","",IFERROR(IF(ABS(ABS(W35)-ABS('QFS.7 Ans'!W35))&lt;0.5,"✓","✗"),"✗"))</f>
        <v/>
      </c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104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60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4"/>
      <c r="X37" s="34"/>
      <c r="Y37" s="34"/>
      <c r="Z37" s="34"/>
      <c r="AA37" s="33" t="str">
        <f aca="false">IF(W37="","",IFERROR(IF(ABS(ABS(W37)-ABS('QFS.7 Ans'!W37))&lt;0.5,"✓","✗"),"✗"))</f>
        <v/>
      </c>
    </row>
    <row r="38" customFormat="false" ht="17.25" hidden="false" customHeight="true" outlineLevel="0" collapsed="false">
      <c r="B38" s="24"/>
      <c r="C38" s="24"/>
      <c r="D38" s="24"/>
      <c r="E38" s="28" t="s">
        <v>106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34"/>
      <c r="X38" s="34"/>
      <c r="Y38" s="34"/>
      <c r="Z38" s="34"/>
      <c r="AA38" s="33" t="str">
        <f aca="false">IF(W38="","",IFERROR(IF(ABS(ABS(W38)-ABS('QFS.7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107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34"/>
      <c r="AC39" s="34"/>
      <c r="AD39" s="34"/>
      <c r="AE39" s="34"/>
      <c r="AF39" s="33" t="str">
        <f aca="false">IF(AB39="","",IFERROR(IF(ABS(ABS(AB39)-ABS('QFS.7 Ans'!AB39))&lt;0.5,"✓","✗"),"✗"))</f>
        <v/>
      </c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32"/>
      <c r="AC40" s="32"/>
      <c r="AD40" s="32"/>
      <c r="AE40" s="32"/>
      <c r="AF40" s="33" t="str">
        <f aca="false">IF(AB40="","",IFERROR(IF(ABS(ABS(AB40)-ABS('QFS.7 Ans'!AB40))&lt;0.5,"✓","✗"),"✗"))</f>
        <v/>
      </c>
    </row>
    <row r="41" customFormat="false" ht="17.25" hidden="false" customHeight="true" outlineLevel="0" collapsed="false">
      <c r="B41" s="24" t="s">
        <v>78</v>
      </c>
      <c r="C41" s="24"/>
      <c r="D41" s="24"/>
      <c r="E41" s="27" t="s">
        <v>108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147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34"/>
      <c r="AC42" s="34"/>
      <c r="AD42" s="34"/>
      <c r="AE42" s="34"/>
      <c r="AF42" s="33" t="str">
        <f aca="false">IF(AB42="","",IFERROR(IF(ABS(ABS(AB42)-ABS('QFS.7 Ans'!AB42))&lt;0.5,"✓","✗"),"✗"))</f>
        <v/>
      </c>
    </row>
    <row r="43" customFormat="false" ht="17.25" hidden="false" customHeight="true" outlineLevel="0" collapsed="false">
      <c r="B43" s="24"/>
      <c r="C43" s="24"/>
      <c r="D43" s="24"/>
      <c r="E43" s="28" t="s">
        <v>109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35"/>
      <c r="AC43" s="35"/>
      <c r="AD43" s="35"/>
      <c r="AE43" s="35"/>
      <c r="AF43" s="33" t="str">
        <f aca="false">IF(AB43="","",IFERROR(IF(ABS(ABS(AB43)-ABS('QFS.7 Ans'!AB43))&lt;0.5,"✓","✗"),"✗"))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7" t="s">
        <v>110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111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32"/>
      <c r="AC45" s="32"/>
      <c r="AD45" s="32"/>
      <c r="AE45" s="32"/>
      <c r="AF45" s="33" t="str">
        <f aca="false">IF(AB45="","",IFERROR(IF(ABS(ABS(AB45)-ABS('QFS.7 Ans'!AB45))&lt;0.5,"✓","✗"),"✗"))</f>
        <v/>
      </c>
    </row>
    <row r="46" customFormat="false" ht="17.25" hidden="false" customHeight="true" outlineLevel="0" collapsed="false">
      <c r="B46" s="24" t="s">
        <v>82</v>
      </c>
      <c r="C46" s="24"/>
      <c r="D46" s="24"/>
      <c r="E46" s="25" t="s">
        <v>91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4"/>
      <c r="AC46" s="34"/>
      <c r="AD46" s="34"/>
      <c r="AE46" s="34"/>
      <c r="AF46" s="33" t="str">
        <f aca="false">IF(AB46="","",IFERROR(IF(ABS(ABS(AB46)-ABS('QFS.7 Ans'!AB46))&lt;0.5,"✓","✗"),"✗"))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2"/>
      <c r="AC47" s="32"/>
      <c r="AD47" s="32"/>
      <c r="AE47" s="32"/>
      <c r="AF47" s="33" t="str">
        <f aca="false">IF(AB47="","",IFERROR(IF(ABS(ABS(AB47)-ABS('QFS.7 Ans'!AB47))&lt;0.5,"✓","✗"),"✗"))</f>
        <v/>
      </c>
    </row>
    <row r="48" customFormat="false" ht="17.25" hidden="false" customHeight="true" outlineLevel="0" collapsed="false">
      <c r="B48" s="24" t="s">
        <v>78</v>
      </c>
      <c r="C48" s="24"/>
      <c r="D48" s="24"/>
      <c r="E48" s="25" t="s">
        <v>65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4"/>
      <c r="AC48" s="34"/>
      <c r="AD48" s="34"/>
      <c r="AE48" s="34"/>
      <c r="AF48" s="33" t="str">
        <f aca="false">IF(AB48="","",IFERROR(IF(ABS(ABS(AB48)-ABS('QFS.7 Ans'!AB48))&lt;0.5,"✓","✗"),"✗"))</f>
        <v/>
      </c>
    </row>
    <row r="49" customFormat="false" ht="17.25" hidden="false" customHeight="true" outlineLevel="0" collapsed="false">
      <c r="B49" s="24"/>
      <c r="C49" s="24"/>
      <c r="D49" s="24"/>
      <c r="E49" s="28" t="s">
        <v>112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35"/>
      <c r="AC49" s="35"/>
      <c r="AD49" s="35"/>
      <c r="AE49" s="35"/>
      <c r="AF49" s="33" t="str">
        <f aca="false">IF(AB49="","",IFERROR(IF(ABS(ABS(AB49)-ABS('QFS.7 Ans'!AB49))&lt;0.5,"✓","✗"),"✗"))</f>
        <v/>
      </c>
    </row>
    <row r="51" customFormat="false" ht="18.75" hidden="false" customHeight="true" outlineLevel="0" collapsed="false">
      <c r="B51" s="3" t="s">
        <v>148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149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2"/>
      <c r="Y52" s="32"/>
      <c r="Z52" s="32"/>
      <c r="AA52" s="32"/>
      <c r="AB52" s="32"/>
      <c r="AC52" s="33" t="str">
        <f aca="false">IF(X52="","",IFERROR(IF(ABS(ABS(X52)-ABS('QFS.7 Ans'!X52))&lt;0.5,"✓","✗"),"✗"))</f>
        <v/>
      </c>
    </row>
    <row r="54" customFormat="false" ht="18.75" hidden="false" customHeight="true" outlineLevel="0" collapsed="false">
      <c r="B54" s="3" t="s">
        <v>150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</row>
    <row r="56" customFormat="false" ht="17.25" hidden="false" customHeight="true" outlineLevel="0" collapsed="false"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</row>
  </sheetData>
  <mergeCells count="122">
    <mergeCell ref="B1:AF1"/>
    <mergeCell ref="B2:AF2"/>
    <mergeCell ref="B3:G3"/>
    <mergeCell ref="H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4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COUNTIF(B4:AG75,"✓")&amp;" correct out of 32 answer cells"</f>
        <v>0 correct out of 32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152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153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52000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30000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3000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48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9" t="n">
        <v>8000</v>
      </c>
      <c r="V11" s="19"/>
      <c r="W11" s="19"/>
      <c r="X11" s="19"/>
      <c r="Y11" s="19"/>
      <c r="Z11" s="19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49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50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1200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900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154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10000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155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9" t="n">
        <v>2000</v>
      </c>
      <c r="AB16" s="19"/>
      <c r="AC16" s="19"/>
      <c r="AD16" s="19"/>
      <c r="AE16" s="19"/>
      <c r="AF16" s="19"/>
    </row>
    <row r="17" customFormat="false" ht="15" hidden="false" customHeight="false" outlineLevel="0" collapsed="false">
      <c r="B17" s="18" t="s">
        <v>58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5000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9" t="n">
        <v>3100</v>
      </c>
      <c r="AB18" s="19"/>
      <c r="AC18" s="19"/>
      <c r="AD18" s="19"/>
      <c r="AE18" s="19"/>
      <c r="AF18" s="19"/>
    </row>
    <row r="19" customFormat="false" ht="15" hidden="false" customHeight="false" outlineLevel="0" collapsed="false">
      <c r="B19" s="18" t="s">
        <v>61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9" t="n">
        <v>2600</v>
      </c>
      <c r="V19" s="19"/>
      <c r="W19" s="19"/>
      <c r="X19" s="19"/>
      <c r="Y19" s="19"/>
      <c r="Z19" s="19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64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14000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65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6000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66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67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68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69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9" t="n">
        <v>3500</v>
      </c>
      <c r="Y25" s="19"/>
      <c r="Z25" s="19"/>
      <c r="AA25" s="19"/>
      <c r="AB25" s="19"/>
      <c r="AC25" s="19"/>
    </row>
    <row r="26" customFormat="false" ht="16.5" hidden="false" customHeight="true" outlineLevel="0" collapsed="false">
      <c r="B26" s="12" t="s">
        <v>70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9" t="n">
        <v>400</v>
      </c>
      <c r="Y26" s="19"/>
      <c r="Z26" s="19"/>
      <c r="AA26" s="19"/>
      <c r="AB26" s="19"/>
      <c r="AC26" s="19"/>
    </row>
    <row r="27" customFormat="false" ht="16.5" hidden="false" customHeight="true" outlineLevel="0" collapsed="false">
      <c r="B27" s="12" t="s">
        <v>71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9" t="n">
        <v>200</v>
      </c>
      <c r="Y27" s="19"/>
      <c r="Z27" s="19"/>
      <c r="AA27" s="19"/>
      <c r="AB27" s="19"/>
      <c r="AC27" s="19"/>
    </row>
    <row r="28" customFormat="false" ht="16.5" hidden="false" customHeight="true" outlineLevel="0" collapsed="false">
      <c r="B28" s="12" t="s">
        <v>156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22" t="n">
        <v>0.1</v>
      </c>
      <c r="Y28" s="22"/>
      <c r="Z28" s="22"/>
      <c r="AA28" s="22"/>
      <c r="AB28" s="22"/>
      <c r="AC28" s="22"/>
    </row>
    <row r="31" customFormat="false" ht="18.75" hidden="false" customHeight="true" outlineLevel="0" collapsed="false">
      <c r="B31" s="3" t="s">
        <v>157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158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76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38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77</v>
      </c>
      <c r="S34" s="17"/>
      <c r="T34" s="17"/>
      <c r="U34" s="17"/>
      <c r="V34" s="17"/>
      <c r="W34" s="17" t="s">
        <v>77</v>
      </c>
      <c r="X34" s="17"/>
      <c r="Y34" s="17"/>
      <c r="Z34" s="17"/>
      <c r="AA34" s="17"/>
      <c r="AB34" s="17" t="s">
        <v>77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41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32"/>
      <c r="AC35" s="32"/>
      <c r="AD35" s="32"/>
      <c r="AE35" s="32"/>
      <c r="AF35" s="33" t="str">
        <f aca="false">IF(AB35="","",IFERROR(IF(ABS(ABS(AB35)-ABS('QFS.8 Ans'!AB35))&lt;0.5,"✓","✗"),"✗"))</f>
        <v/>
      </c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80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32"/>
      <c r="X37" s="32"/>
      <c r="Y37" s="32"/>
      <c r="Z37" s="32"/>
      <c r="AA37" s="33" t="str">
        <f aca="false">IF(W37="","",IFERROR(IF(ABS(ABS(W37)-ABS('QFS.8 Ans'!W37))&lt;0.5,"✓","✗"),"✗"))</f>
        <v/>
      </c>
    </row>
    <row r="38" customFormat="false" ht="17.25" hidden="false" customHeight="true" outlineLevel="0" collapsed="false">
      <c r="B38" s="24" t="s">
        <v>82</v>
      </c>
      <c r="C38" s="24"/>
      <c r="D38" s="24"/>
      <c r="E38" s="25" t="s">
        <v>42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34"/>
      <c r="X38" s="34"/>
      <c r="Y38" s="34"/>
      <c r="Z38" s="34"/>
      <c r="AA38" s="33" t="str">
        <f aca="false">IF(W38="","",IFERROR(IF(ABS(ABS(W38)-ABS('QFS.8 Ans'!W38))&lt;0.5,"✓","✗"),"✗"))</f>
        <v/>
      </c>
    </row>
    <row r="39" customFormat="false" ht="17.25" hidden="false" customHeight="true" outlineLevel="0" collapsed="false">
      <c r="B39" s="24"/>
      <c r="C39" s="24"/>
      <c r="D39" s="24"/>
      <c r="E39" s="25" t="s">
        <v>83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32"/>
      <c r="X39" s="32"/>
      <c r="Y39" s="32"/>
      <c r="Z39" s="32"/>
      <c r="AA39" s="33" t="str">
        <f aca="false">IF(W39="","",IFERROR(IF(ABS(ABS(W39)-ABS('QFS.8 Ans'!W39))&lt;0.5,"✓","✗"),"✗"))</f>
        <v/>
      </c>
    </row>
    <row r="40" customFormat="false" ht="17.25" hidden="false" customHeight="true" outlineLevel="0" collapsed="false">
      <c r="B40" s="24" t="s">
        <v>78</v>
      </c>
      <c r="C40" s="24"/>
      <c r="D40" s="24"/>
      <c r="E40" s="25" t="s">
        <v>84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34"/>
      <c r="X40" s="34"/>
      <c r="Y40" s="34"/>
      <c r="Z40" s="34"/>
      <c r="AA40" s="33" t="str">
        <f aca="false">IF(W40="","",IFERROR(IF(ABS(ABS(W40)-ABS('QFS.8 Ans'!W40))&lt;0.5,"✓","✗"),"✗"))</f>
        <v/>
      </c>
      <c r="AB40" s="34"/>
      <c r="AC40" s="34"/>
      <c r="AD40" s="34"/>
      <c r="AE40" s="34"/>
      <c r="AF40" s="33" t="str">
        <f aca="false">IF(AB40="","",IFERROR(IF(ABS(ABS(AB40)-ABS('QFS.8 Ans'!AB40))&lt;0.5,"✓","✗"),"✗"))</f>
        <v/>
      </c>
    </row>
    <row r="41" customFormat="false" ht="17.25" hidden="false" customHeight="true" outlineLevel="0" collapsed="false">
      <c r="B41" s="24"/>
      <c r="C41" s="24"/>
      <c r="D41" s="24"/>
      <c r="E41" s="28" t="s">
        <v>85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2"/>
      <c r="AC41" s="32"/>
      <c r="AD41" s="32"/>
      <c r="AE41" s="32"/>
      <c r="AF41" s="33" t="str">
        <f aca="false">IF(AB41="","",IFERROR(IF(ABS(ABS(AB41)-ABS('QFS.8 Ans'!AB41))&lt;0.5,"✓","✗"),"✗"))</f>
        <v/>
      </c>
    </row>
    <row r="42" customFormat="false" ht="17.25" hidden="false" customHeight="true" outlineLevel="0" collapsed="false">
      <c r="B42" s="24" t="s">
        <v>78</v>
      </c>
      <c r="C42" s="24"/>
      <c r="D42" s="24"/>
      <c r="E42" s="27" t="s">
        <v>87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48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32"/>
      <c r="X43" s="32"/>
      <c r="Y43" s="32"/>
      <c r="Z43" s="32"/>
      <c r="AA43" s="33" t="str">
        <f aca="false">IF(W43="","",IFERROR(IF(ABS(ABS(W43)-ABS('QFS.8 Ans'!W43))&lt;0.5,"✓","✗"),"✗"))</f>
        <v/>
      </c>
    </row>
    <row r="44" customFormat="false" ht="17.25" hidden="false" customHeight="true" outlineLevel="0" collapsed="false">
      <c r="B44" s="24"/>
      <c r="C44" s="24"/>
      <c r="D44" s="24"/>
      <c r="E44" s="25" t="s">
        <v>49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32"/>
      <c r="X44" s="32"/>
      <c r="Y44" s="32"/>
      <c r="Z44" s="32"/>
      <c r="AA44" s="33" t="str">
        <f aca="false">IF(W44="","",IFERROR(IF(ABS(ABS(W44)-ABS('QFS.8 Ans'!W44))&lt;0.5,"✓","✗"),"✗"))</f>
        <v/>
      </c>
    </row>
    <row r="45" customFormat="false" ht="17.25" hidden="false" customHeight="true" outlineLevel="0" collapsed="false">
      <c r="B45" s="24"/>
      <c r="C45" s="24"/>
      <c r="D45" s="24"/>
      <c r="E45" s="25" t="s">
        <v>50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32"/>
      <c r="X45" s="32"/>
      <c r="Y45" s="32"/>
      <c r="Z45" s="32"/>
      <c r="AA45" s="33" t="str">
        <f aca="false">IF(W45="","",IFERROR(IF(ABS(ABS(W45)-ABS('QFS.8 Ans'!W45))&lt;0.5,"✓","✗"),"✗"))</f>
        <v/>
      </c>
    </row>
    <row r="46" customFormat="false" ht="17.25" hidden="false" customHeight="true" outlineLevel="0" collapsed="false">
      <c r="B46" s="24"/>
      <c r="C46" s="24"/>
      <c r="D46" s="24"/>
      <c r="E46" s="25" t="s">
        <v>51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32"/>
      <c r="X46" s="32"/>
      <c r="Y46" s="32"/>
      <c r="Z46" s="32"/>
      <c r="AA46" s="33" t="str">
        <f aca="false">IF(W46="","",IFERROR(IF(ABS(ABS(W46)-ABS('QFS.8 Ans'!W46))&lt;0.5,"✓","✗"),"✗"))</f>
        <v/>
      </c>
    </row>
    <row r="47" customFormat="false" ht="17.25" hidden="false" customHeight="true" outlineLevel="0" collapsed="false">
      <c r="B47" s="24"/>
      <c r="C47" s="24"/>
      <c r="D47" s="24"/>
      <c r="E47" s="25" t="s">
        <v>159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34"/>
      <c r="X47" s="34"/>
      <c r="Y47" s="34"/>
      <c r="Z47" s="34"/>
      <c r="AA47" s="33" t="str">
        <f aca="false">IF(W47="","",IFERROR(IF(ABS(ABS(W47)-ABS('QFS.8 Ans'!W47))&lt;0.5,"✓","✗"),"✗"))</f>
        <v/>
      </c>
      <c r="AB47" s="34"/>
      <c r="AC47" s="34"/>
      <c r="AD47" s="34"/>
      <c r="AE47" s="34"/>
      <c r="AF47" s="33" t="str">
        <f aca="false">IF(AB47="","",IFERROR(IF(ABS(ABS(AB47)-ABS('QFS.8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8" t="s">
        <v>91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35"/>
      <c r="AC48" s="35"/>
      <c r="AD48" s="35"/>
      <c r="AE48" s="35"/>
      <c r="AF48" s="33" t="str">
        <f aca="false">IF(AB48="","",IFERROR(IF(ABS(ABS(AB48)-ABS('QFS.8 Ans'!AB48))&lt;0.5,"✓","✗"),"✗"))</f>
        <v/>
      </c>
    </row>
    <row r="50" customFormat="false" ht="18.75" hidden="false" customHeight="true" outlineLevel="0" collapsed="false">
      <c r="B50" s="3" t="s">
        <v>160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158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92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38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77</v>
      </c>
      <c r="S53" s="17"/>
      <c r="T53" s="17"/>
      <c r="U53" s="17"/>
      <c r="V53" s="17"/>
      <c r="W53" s="17" t="s">
        <v>77</v>
      </c>
      <c r="X53" s="17"/>
      <c r="Y53" s="17"/>
      <c r="Z53" s="17"/>
      <c r="AA53" s="17"/>
      <c r="AB53" s="17" t="s">
        <v>77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93</v>
      </c>
      <c r="S54" s="11"/>
      <c r="T54" s="11"/>
      <c r="U54" s="11"/>
      <c r="V54" s="11"/>
      <c r="W54" s="11" t="s">
        <v>94</v>
      </c>
      <c r="X54" s="11"/>
      <c r="Y54" s="11"/>
      <c r="Z54" s="11"/>
      <c r="AA54" s="11"/>
      <c r="AB54" s="11" t="s">
        <v>95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96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161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32"/>
      <c r="S56" s="32"/>
      <c r="T56" s="32"/>
      <c r="U56" s="32"/>
      <c r="V56" s="33" t="str">
        <f aca="false">IF(R56="","",IFERROR(IF(ABS(ABS(R56)-ABS('QFS.8 Ans'!R56))&lt;0.5,"✓","✗"),"✗"))</f>
        <v/>
      </c>
      <c r="W56" s="32"/>
      <c r="X56" s="32"/>
      <c r="Y56" s="32"/>
      <c r="Z56" s="32"/>
      <c r="AA56" s="33" t="str">
        <f aca="false">IF(W56="","",IFERROR(IF(ABS(ABS(W56)-ABS('QFS.8 Ans'!W56))&lt;0.5,"✓","✗"),"✗"))</f>
        <v/>
      </c>
      <c r="AB56" s="32"/>
      <c r="AC56" s="32"/>
      <c r="AD56" s="32"/>
      <c r="AE56" s="32"/>
      <c r="AF56" s="33" t="str">
        <f aca="false">IF(AB56="","",IFERROR(IF(ABS(ABS(AB56)-ABS('QFS.8 Ans'!AB56))&lt;0.5,"✓","✗"),"✗"))</f>
        <v/>
      </c>
    </row>
    <row r="57" customFormat="false" ht="17.25" hidden="false" customHeight="true" outlineLevel="0" collapsed="false">
      <c r="B57" s="24"/>
      <c r="C57" s="24"/>
      <c r="D57" s="24"/>
      <c r="E57" s="27" t="s">
        <v>100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101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IF(W58="","",IFERROR(IF(ABS(ABS(W58)-ABS('QFS.8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58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2"/>
      <c r="X59" s="32"/>
      <c r="Y59" s="32"/>
      <c r="Z59" s="32"/>
      <c r="AA59" s="33" t="str">
        <f aca="false">IF(W59="","",IFERROR(IF(ABS(ABS(W59)-ABS('QFS.8 Ans'!W59))&lt;0.5,"✓","✗"),"✗"))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 t="s">
        <v>102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32"/>
      <c r="X60" s="32"/>
      <c r="Y60" s="32"/>
      <c r="Z60" s="32"/>
      <c r="AA60" s="33" t="str">
        <f aca="false">IF(W60="","",IFERROR(IF(ABS(ABS(W60)-ABS('QFS.8 Ans'!W60))&lt;0.5,"✓","✗"),"✗"))</f>
        <v/>
      </c>
    </row>
    <row r="61" customFormat="false" ht="17.25" hidden="false" customHeight="true" outlineLevel="0" collapsed="false">
      <c r="B61" s="24"/>
      <c r="C61" s="24"/>
      <c r="D61" s="24"/>
      <c r="E61" s="25" t="s">
        <v>61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34"/>
      <c r="X61" s="34"/>
      <c r="Y61" s="34"/>
      <c r="Z61" s="34"/>
      <c r="AA61" s="33" t="str">
        <f aca="false">IF(W61="","",IFERROR(IF(ABS(ABS(W61)-ABS('QFS.8 Ans'!W61))&lt;0.5,"✓","✗"),"✗"))</f>
        <v/>
      </c>
    </row>
    <row r="62" customFormat="false" ht="17.25" hidden="false" customHeight="true" outlineLevel="0" collapsed="false">
      <c r="B62" s="24"/>
      <c r="C62" s="24"/>
      <c r="D62" s="24"/>
      <c r="E62" s="28" t="s">
        <v>103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32"/>
      <c r="X62" s="32"/>
      <c r="Y62" s="32"/>
      <c r="Z62" s="32"/>
      <c r="AA62" s="33" t="str">
        <f aca="false">IF(W62="","",IFERROR(IF(ABS(ABS(W62)-ABS('QFS.8 Ans'!W62))&lt;0.5,"✓","✗"),"✗"))</f>
        <v/>
      </c>
    </row>
    <row r="63" customFormat="false" ht="17.25" hidden="false" customHeight="true" outlineLevel="0" collapsed="false">
      <c r="B63" s="24" t="s">
        <v>78</v>
      </c>
      <c r="C63" s="24"/>
      <c r="D63" s="24"/>
      <c r="E63" s="27" t="s">
        <v>104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IF(W64="","",IFERROR(IF(ABS(ABS(W64)-ABS('QFS.8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162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4"/>
      <c r="X65" s="34"/>
      <c r="Y65" s="34"/>
      <c r="Z65" s="34"/>
      <c r="AA65" s="33" t="str">
        <f aca="false">IF(W65="","",IFERROR(IF(ABS(ABS(W65)-ABS('QFS.8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8" t="s">
        <v>106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34"/>
      <c r="X66" s="34"/>
      <c r="Y66" s="34"/>
      <c r="Z66" s="34"/>
      <c r="AA66" s="33" t="str">
        <f aca="false">IF(W66="","",IFERROR(IF(ABS(ABS(W66)-ABS('QFS.8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107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34"/>
      <c r="AC67" s="34"/>
      <c r="AD67" s="34"/>
      <c r="AE67" s="34"/>
      <c r="AF67" s="33" t="str">
        <f aca="false">IF(AB67="","",IFERROR(IF(ABS(ABS(AB67)-ABS('QFS.8 Ans'!AB67))&lt;0.5,"✓","✗"),"✗"))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8" t="s">
        <v>109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35"/>
      <c r="AC68" s="35"/>
      <c r="AD68" s="35"/>
      <c r="AE68" s="35"/>
      <c r="AF68" s="33" t="str">
        <f aca="false">IF(AB68="","",IFERROR(IF(ABS(ABS(AB68)-ABS('QFS.8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7" t="s">
        <v>110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32"/>
      <c r="AC70" s="32"/>
      <c r="AD70" s="32"/>
      <c r="AE70" s="32"/>
      <c r="AF70" s="33" t="str">
        <f aca="false">IF(AB70="","",IFERROR(IF(ABS(ABS(AB70)-ABS('QFS.8 Ans'!AB70))&lt;0.5,"✓","✗"),"✗"))</f>
        <v/>
      </c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91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34"/>
      <c r="AC71" s="34"/>
      <c r="AD71" s="34"/>
      <c r="AE71" s="34"/>
      <c r="AF71" s="33" t="str">
        <f aca="false">IF(AB71="","",IFERROR(IF(ABS(ABS(AB71)-ABS('QFS.8 Ans'!AB71))&lt;0.5,"✓","✗"),"✗"))</f>
        <v/>
      </c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32"/>
      <c r="AC72" s="32"/>
      <c r="AD72" s="32"/>
      <c r="AE72" s="32"/>
      <c r="AF72" s="33" t="str">
        <f aca="false">IF(AB72="","",IFERROR(IF(ABS(ABS(AB72)-ABS('QFS.8 Ans'!AB72))&lt;0.5,"✓","✗"),"✗"))</f>
        <v/>
      </c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65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34"/>
      <c r="AC73" s="34"/>
      <c r="AD73" s="34"/>
      <c r="AE73" s="34"/>
      <c r="AF73" s="33" t="str">
        <f aca="false">IF(AB73="","",IFERROR(IF(ABS(ABS(AB73)-ABS('QFS.8 Ans'!AB73))&lt;0.5,"✓","✗"),"✗"))</f>
        <v/>
      </c>
    </row>
    <row r="74" customFormat="false" ht="17.25" hidden="false" customHeight="true" outlineLevel="0" collapsed="false">
      <c r="B74" s="24"/>
      <c r="C74" s="24"/>
      <c r="D74" s="24"/>
      <c r="E74" s="28" t="s">
        <v>112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35"/>
      <c r="AC74" s="35"/>
      <c r="AD74" s="35"/>
      <c r="AE74" s="35"/>
      <c r="AF74" s="33" t="str">
        <f aca="false">IF(AB74="","",IFERROR(IF(ABS(ABS(AB74)-ABS('QFS.8 Ans'!AB74))&lt;0.5,"✓","✗"),"✗"))</f>
        <v/>
      </c>
    </row>
  </sheetData>
  <mergeCells count="185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4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COUNTIF(B4:AG99,"✓")&amp;" correct out of 51 answer cells"</f>
        <v>0 correct out of 51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82000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45000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800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900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400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166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6200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12600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2300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50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1600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1200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54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169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2400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170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9" t="n">
        <v>24000</v>
      </c>
      <c r="V20" s="19"/>
      <c r="W20" s="19"/>
      <c r="X20" s="19"/>
      <c r="Y20" s="19"/>
      <c r="Z20" s="19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9" t="n">
        <v>6000</v>
      </c>
      <c r="AB21" s="19"/>
      <c r="AC21" s="19"/>
      <c r="AD21" s="19"/>
      <c r="AE21" s="19"/>
      <c r="AF21" s="19"/>
    </row>
    <row r="22" customFormat="false" ht="15" hidden="false" customHeight="false" outlineLevel="0" collapsed="false">
      <c r="B22" s="18" t="s">
        <v>154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8000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155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9" t="n">
        <v>2000</v>
      </c>
      <c r="AB23" s="19"/>
      <c r="AC23" s="19"/>
      <c r="AD23" s="19"/>
      <c r="AE23" s="19"/>
      <c r="AF23" s="19"/>
    </row>
    <row r="24" customFormat="false" ht="15" hidden="false" customHeight="false" outlineLevel="0" collapsed="false">
      <c r="B24" s="18" t="s">
        <v>58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9" t="n">
        <v>9000</v>
      </c>
      <c r="V24" s="19"/>
      <c r="W24" s="19"/>
      <c r="X24" s="19"/>
      <c r="Y24" s="19"/>
      <c r="Z24" s="19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59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60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9" t="n">
        <v>5300</v>
      </c>
      <c r="AB26" s="19"/>
      <c r="AC26" s="19"/>
      <c r="AD26" s="19"/>
      <c r="AE26" s="19"/>
      <c r="AF26" s="19"/>
    </row>
    <row r="27" customFormat="false" ht="15" hidden="false" customHeight="false" outlineLevel="0" collapsed="false">
      <c r="B27" s="18" t="s">
        <v>61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9" t="n">
        <v>3150</v>
      </c>
      <c r="V27" s="19"/>
      <c r="W27" s="19"/>
      <c r="X27" s="19"/>
      <c r="Y27" s="19"/>
      <c r="Z27" s="19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64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23000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65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9" t="n">
        <v>7500</v>
      </c>
      <c r="V29" s="19"/>
      <c r="W29" s="19"/>
      <c r="X29" s="19"/>
      <c r="Y29" s="19"/>
      <c r="Z29" s="19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66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68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69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9" t="n">
        <v>7100</v>
      </c>
      <c r="Y33" s="19"/>
      <c r="Z33" s="19"/>
      <c r="AA33" s="19"/>
      <c r="AB33" s="19"/>
      <c r="AC33" s="19"/>
    </row>
    <row r="34" customFormat="false" ht="16.5" hidden="false" customHeight="true" outlineLevel="0" collapsed="false">
      <c r="B34" s="12" t="s">
        <v>173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9" t="n">
        <v>250</v>
      </c>
      <c r="Y34" s="19"/>
      <c r="Z34" s="19"/>
      <c r="AA34" s="19"/>
      <c r="AB34" s="19"/>
      <c r="AC34" s="19"/>
    </row>
    <row r="35" customFormat="false" ht="16.5" hidden="false" customHeight="true" outlineLevel="0" collapsed="false">
      <c r="B35" s="12" t="s">
        <v>71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9" t="n">
        <v>400</v>
      </c>
      <c r="Y35" s="19"/>
      <c r="Z35" s="19"/>
      <c r="AA35" s="19"/>
      <c r="AB35" s="19"/>
      <c r="AC35" s="19"/>
    </row>
    <row r="36" customFormat="false" ht="16.5" hidden="false" customHeight="true" outlineLevel="0" collapsed="false">
      <c r="B36" s="12" t="s">
        <v>174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9" t="n">
        <v>200</v>
      </c>
      <c r="Y36" s="19"/>
      <c r="Z36" s="19"/>
      <c r="AA36" s="19"/>
      <c r="AB36" s="19"/>
      <c r="AC36" s="19"/>
    </row>
    <row r="37" customFormat="false" ht="16.5" hidden="false" customHeight="true" outlineLevel="0" collapsed="false">
      <c r="B37" s="12" t="s">
        <v>175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22" t="n">
        <v>0.04</v>
      </c>
      <c r="Y37" s="22"/>
      <c r="Z37" s="22"/>
      <c r="AA37" s="22"/>
      <c r="AB37" s="22"/>
      <c r="AC37" s="22"/>
    </row>
    <row r="38" customFormat="false" ht="16.5" hidden="false" customHeight="true" outlineLevel="0" collapsed="false">
      <c r="B38" s="12" t="s">
        <v>176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22" t="n">
        <v>0.2</v>
      </c>
      <c r="Y38" s="22"/>
      <c r="Z38" s="22"/>
      <c r="AA38" s="22"/>
      <c r="AB38" s="22"/>
      <c r="AC38" s="22"/>
    </row>
    <row r="39" customFormat="false" ht="16.5" hidden="false" customHeight="true" outlineLevel="0" collapsed="false">
      <c r="B39" s="12" t="s">
        <v>177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22" t="n">
        <v>0.1</v>
      </c>
      <c r="Y39" s="22"/>
      <c r="Z39" s="22"/>
      <c r="AA39" s="22"/>
      <c r="AB39" s="22"/>
      <c r="AC39" s="22"/>
    </row>
    <row r="42" customFormat="false" ht="18.75" hidden="false" customHeight="true" outlineLevel="0" collapsed="false">
      <c r="B42" s="3" t="s">
        <v>178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179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32"/>
      <c r="AC46" s="32"/>
      <c r="AD46" s="32"/>
      <c r="AE46" s="32"/>
      <c r="AF46" s="33" t="str">
        <f aca="false">IF(AB46="","",IFERROR(IF(ABS(ABS(AB46)-ABS('QFS.9 Ans'!AB46))&lt;0.5,"✓","✗"),"✗"))</f>
        <v/>
      </c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34"/>
      <c r="AC47" s="34"/>
      <c r="AD47" s="34"/>
      <c r="AE47" s="34"/>
      <c r="AF47" s="33" t="str">
        <f aca="false">IF(AB47="","",IFERROR(IF(ABS(ABS(AB47)-ABS('QFS.9 Ans'!AB47))&lt;0.5,"✓","✗"),"✗"))</f>
        <v/>
      </c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32"/>
      <c r="AC48" s="32"/>
      <c r="AD48" s="32"/>
      <c r="AE48" s="32"/>
      <c r="AF48" s="33" t="str">
        <f aca="false">IF(AB48="","",IFERROR(IF(ABS(ABS(AB48)-ABS('QFS.9 Ans'!AB48))&lt;0.5,"✓","✗"),"✗"))</f>
        <v/>
      </c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32"/>
      <c r="X50" s="32"/>
      <c r="Y50" s="32"/>
      <c r="Z50" s="32"/>
      <c r="AA50" s="33" t="str">
        <f aca="false">IF(W50="","",IFERROR(IF(ABS(ABS(W50)-ABS('QFS.9 Ans'!W50))&lt;0.5,"✓","✗"),"✗"))</f>
        <v/>
      </c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32"/>
      <c r="S51" s="32"/>
      <c r="T51" s="32"/>
      <c r="U51" s="32"/>
      <c r="V51" s="33" t="str">
        <f aca="false">IF(R51="","",IFERROR(IF(ABS(ABS(R51)-ABS('QFS.9 Ans'!R51))&lt;0.5,"✓","✗"),"✗"))</f>
        <v/>
      </c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32"/>
      <c r="S52" s="32"/>
      <c r="T52" s="32"/>
      <c r="U52" s="32"/>
      <c r="V52" s="33" t="str">
        <f aca="false">IF(R52="","",IFERROR(IF(ABS(ABS(R52)-ABS('QFS.9 Ans'!R52))&lt;0.5,"✓","✗"),"✗"))</f>
        <v/>
      </c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34"/>
      <c r="S53" s="34"/>
      <c r="T53" s="34"/>
      <c r="U53" s="34"/>
      <c r="V53" s="33" t="str">
        <f aca="false">IF(R53="","",IFERROR(IF(ABS(ABS(R53)-ABS('QFS.9 Ans'!R53))&lt;0.5,"✓","✗"),"✗"))</f>
        <v/>
      </c>
      <c r="W53" s="34"/>
      <c r="X53" s="34"/>
      <c r="Y53" s="34"/>
      <c r="Z53" s="34"/>
      <c r="AA53" s="33" t="str">
        <f aca="false">IF(W53="","",IFERROR(IF(ABS(ABS(W53)-ABS('QFS.9 Ans'!W53))&lt;0.5,"✓","✗"),"✗"))</f>
        <v/>
      </c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32"/>
      <c r="X54" s="32"/>
      <c r="Y54" s="32"/>
      <c r="Z54" s="32"/>
      <c r="AA54" s="33" t="str">
        <f aca="false">IF(W54="","",IFERROR(IF(ABS(ABS(W54)-ABS('QFS.9 Ans'!W54))&lt;0.5,"✓","✗"),"✗"))</f>
        <v/>
      </c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34"/>
      <c r="X55" s="34"/>
      <c r="Y55" s="34"/>
      <c r="Z55" s="34"/>
      <c r="AA55" s="33" t="str">
        <f aca="false">IF(W55="","",IFERROR(IF(ABS(ABS(W55)-ABS('QFS.9 Ans'!W55))&lt;0.5,"✓","✗"),"✗"))</f>
        <v/>
      </c>
      <c r="AB55" s="34"/>
      <c r="AC55" s="34"/>
      <c r="AD55" s="34"/>
      <c r="AE55" s="34"/>
      <c r="AF55" s="33" t="str">
        <f aca="false">IF(AB55="","",IFERROR(IF(ABS(ABS(AB55)-ABS('QFS.9 Ans'!AB55))&lt;0.5,"✓","✗"),"✗"))</f>
        <v/>
      </c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32"/>
      <c r="AC56" s="32"/>
      <c r="AD56" s="32"/>
      <c r="AE56" s="32"/>
      <c r="AF56" s="33" t="str">
        <f aca="false">IF(AB56="","",IFERROR(IF(ABS(ABS(AB56)-ABS('QFS.9 Ans'!AB56))&lt;0.5,"✓","✗"),"✗"))</f>
        <v/>
      </c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169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32"/>
      <c r="X58" s="32"/>
      <c r="Y58" s="32"/>
      <c r="Z58" s="32"/>
      <c r="AA58" s="33" t="str">
        <f aca="false">IF(W58="","",IFERROR(IF(ABS(ABS(W58)-ABS('QFS.9 Ans'!W58))&lt;0.5,"✓","✗"),"✗"))</f>
        <v/>
      </c>
    </row>
    <row r="59" customFormat="false" ht="17.25" hidden="false" customHeight="true" outlineLevel="0" collapsed="false">
      <c r="B59" s="24"/>
      <c r="C59" s="24"/>
      <c r="D59" s="24"/>
      <c r="E59" s="25" t="s">
        <v>181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34"/>
      <c r="X59" s="34"/>
      <c r="Y59" s="34"/>
      <c r="Z59" s="34"/>
      <c r="AA59" s="33" t="str">
        <f aca="false">IF(W59="","",IFERROR(IF(ABS(ABS(W59)-ABS('QFS.9 Ans'!W59))&lt;0.5,"✓","✗"),"✗"))</f>
        <v/>
      </c>
      <c r="AB59" s="34"/>
      <c r="AC59" s="34"/>
      <c r="AD59" s="34"/>
      <c r="AE59" s="34"/>
      <c r="AF59" s="33" t="str">
        <f aca="false">IF(AB59="","",IFERROR(IF(ABS(ABS(AB59)-ABS('QFS.9 Ans'!AB59))&lt;0.5,"✓","✗"),"✗"))</f>
        <v/>
      </c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32"/>
      <c r="AC60" s="32"/>
      <c r="AD60" s="32"/>
      <c r="AE60" s="32"/>
      <c r="AF60" s="33" t="str">
        <f aca="false">IF(AB60="","",IFERROR(IF(ABS(ABS(AB60)-ABS('QFS.9 Ans'!AB60))&lt;0.5,"✓","✗"),"✗"))</f>
        <v/>
      </c>
    </row>
    <row r="61" customFormat="false" ht="17.25" hidden="false" customHeight="true" outlineLevel="0" collapsed="false">
      <c r="B61" s="24" t="s">
        <v>78</v>
      </c>
      <c r="C61" s="24"/>
      <c r="D61" s="24"/>
      <c r="E61" s="27" t="s">
        <v>87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48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32"/>
      <c r="X62" s="32"/>
      <c r="Y62" s="32"/>
      <c r="Z62" s="32"/>
      <c r="AA62" s="33" t="str">
        <f aca="false">IF(W62="","",IFERROR(IF(ABS(ABS(W62)-ABS('QFS.9 Ans'!W62))&lt;0.5,"✓","✗"),"✗"))</f>
        <v/>
      </c>
    </row>
    <row r="63" customFormat="false" ht="17.25" hidden="false" customHeight="true" outlineLevel="0" collapsed="false">
      <c r="B63" s="24"/>
      <c r="C63" s="24"/>
      <c r="D63" s="24"/>
      <c r="E63" s="25" t="s">
        <v>167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32"/>
      <c r="X63" s="32"/>
      <c r="Y63" s="32"/>
      <c r="Z63" s="32"/>
      <c r="AA63" s="33" t="str">
        <f aca="false">IF(W63="","",IFERROR(IF(ABS(ABS(W63)-ABS('QFS.9 Ans'!W63))&lt;0.5,"✓","✗"),"✗"))</f>
        <v/>
      </c>
    </row>
    <row r="64" customFormat="false" ht="17.25" hidden="false" customHeight="true" outlineLevel="0" collapsed="false">
      <c r="B64" s="24"/>
      <c r="C64" s="24"/>
      <c r="D64" s="24"/>
      <c r="E64" s="25" t="s">
        <v>50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32"/>
      <c r="X64" s="32"/>
      <c r="Y64" s="32"/>
      <c r="Z64" s="32"/>
      <c r="AA64" s="33" t="str">
        <f aca="false">IF(W64="","",IFERROR(IF(ABS(ABS(W64)-ABS('QFS.9 Ans'!W64))&lt;0.5,"✓","✗"),"✗"))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168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32"/>
      <c r="X65" s="32"/>
      <c r="Y65" s="32"/>
      <c r="Z65" s="32"/>
      <c r="AA65" s="33" t="str">
        <f aca="false">IF(W65="","",IFERROR(IF(ABS(ABS(W65)-ABS('QFS.9 Ans'!W65))&lt;0.5,"✓","✗"),"✗"))</f>
        <v/>
      </c>
    </row>
    <row r="66" customFormat="false" ht="17.25" hidden="false" customHeight="true" outlineLevel="0" collapsed="false">
      <c r="B66" s="24"/>
      <c r="C66" s="24"/>
      <c r="D66" s="24"/>
      <c r="E66" s="25" t="s">
        <v>54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32"/>
      <c r="X66" s="32"/>
      <c r="Y66" s="32"/>
      <c r="Z66" s="32"/>
      <c r="AA66" s="33" t="str">
        <f aca="false">IF(W66="","",IFERROR(IF(ABS(ABS(W66)-ABS('QFS.9 Ans'!W66))&lt;0.5,"✓","✗"),"✗"))</f>
        <v/>
      </c>
    </row>
    <row r="67" customFormat="false" ht="17.25" hidden="false" customHeight="true" outlineLevel="0" collapsed="false">
      <c r="B67" s="24"/>
      <c r="C67" s="24"/>
      <c r="D67" s="24"/>
      <c r="E67" s="25" t="s">
        <v>182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32"/>
      <c r="X67" s="32"/>
      <c r="Y67" s="32"/>
      <c r="Z67" s="32"/>
      <c r="AA67" s="33" t="str">
        <f aca="false">IF(W67="","",IFERROR(IF(ABS(ABS(W67)-ABS('QFS.9 Ans'!W67))&lt;0.5,"✓","✗"),"✗"))</f>
        <v/>
      </c>
    </row>
    <row r="68" customFormat="false" ht="17.25" hidden="false" customHeight="true" outlineLevel="0" collapsed="false">
      <c r="B68" s="24"/>
      <c r="C68" s="24"/>
      <c r="D68" s="24"/>
      <c r="E68" s="25" t="s">
        <v>159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34"/>
      <c r="X68" s="34"/>
      <c r="Y68" s="34"/>
      <c r="Z68" s="34"/>
      <c r="AA68" s="33" t="str">
        <f aca="false">IF(W68="","",IFERROR(IF(ABS(ABS(W68)-ABS('QFS.9 Ans'!W68))&lt;0.5,"✓","✗"),"✗"))</f>
        <v/>
      </c>
      <c r="AB68" s="34"/>
      <c r="AC68" s="34"/>
      <c r="AD68" s="34"/>
      <c r="AE68" s="34"/>
      <c r="AF68" s="33" t="str">
        <f aca="false">IF(AB68="","",IFERROR(IF(ABS(ABS(AB68)-ABS('QFS.9 Ans'!AB68))&lt;0.5,"✓","✗"),"✗"))</f>
        <v/>
      </c>
    </row>
    <row r="69" customFormat="false" ht="17.25" hidden="false" customHeight="true" outlineLevel="0" collapsed="false">
      <c r="B69" s="24"/>
      <c r="C69" s="24"/>
      <c r="D69" s="24"/>
      <c r="E69" s="28" t="s">
        <v>91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35"/>
      <c r="AC69" s="35"/>
      <c r="AD69" s="35"/>
      <c r="AE69" s="35"/>
      <c r="AF69" s="33" t="str">
        <f aca="false">IF(AB69="","",IFERROR(IF(ABS(ABS(AB69)-ABS('QFS.9 Ans'!AB69))&lt;0.5,"✓","✗"),"✗"))</f>
        <v/>
      </c>
    </row>
    <row r="71" customFormat="false" ht="18.75" hidden="false" customHeight="true" outlineLevel="0" collapsed="false">
      <c r="B71" s="3" t="s">
        <v>183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179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184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38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77</v>
      </c>
      <c r="S74" s="17"/>
      <c r="T74" s="17"/>
      <c r="U74" s="17"/>
      <c r="V74" s="17"/>
      <c r="W74" s="17" t="s">
        <v>77</v>
      </c>
      <c r="X74" s="17"/>
      <c r="Y74" s="17"/>
      <c r="Z74" s="17"/>
      <c r="AA74" s="17"/>
      <c r="AB74" s="17" t="s">
        <v>77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93</v>
      </c>
      <c r="S75" s="11"/>
      <c r="T75" s="11"/>
      <c r="U75" s="11"/>
      <c r="V75" s="11"/>
      <c r="W75" s="11" t="s">
        <v>94</v>
      </c>
      <c r="X75" s="11"/>
      <c r="Y75" s="11"/>
      <c r="Z75" s="11"/>
      <c r="AA75" s="11"/>
      <c r="AB75" s="11" t="s">
        <v>95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96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185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32"/>
      <c r="S77" s="32"/>
      <c r="T77" s="32"/>
      <c r="U77" s="32"/>
      <c r="V77" s="33" t="str">
        <f aca="false">IF(R77="","",IFERROR(IF(ABS(ABS(R77)-ABS('QFS.9 Ans'!R77))&lt;0.5,"✓","✗"),"✗"))</f>
        <v/>
      </c>
      <c r="W77" s="32"/>
      <c r="X77" s="32"/>
      <c r="Y77" s="32"/>
      <c r="Z77" s="32"/>
      <c r="AA77" s="33" t="str">
        <f aca="false">IF(W77="","",IFERROR(IF(ABS(ABS(W77)-ABS('QFS.9 Ans'!W77))&lt;0.5,"✓","✗"),"✗"))</f>
        <v/>
      </c>
      <c r="AB77" s="32"/>
      <c r="AC77" s="32"/>
      <c r="AD77" s="32"/>
      <c r="AE77" s="32"/>
      <c r="AF77" s="33" t="str">
        <f aca="false">IF(AB77="","",IFERROR(IF(ABS(ABS(AB77)-ABS('QFS.9 Ans'!AB77))&lt;0.5,"✓","✗"),"✗"))</f>
        <v/>
      </c>
    </row>
    <row r="78" customFormat="false" ht="17.25" hidden="false" customHeight="true" outlineLevel="0" collapsed="false">
      <c r="B78" s="24"/>
      <c r="C78" s="24"/>
      <c r="D78" s="24"/>
      <c r="E78" s="25" t="s">
        <v>161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34"/>
      <c r="S78" s="34"/>
      <c r="T78" s="34"/>
      <c r="U78" s="34"/>
      <c r="V78" s="33" t="str">
        <f aca="false">IF(R78="","",IFERROR(IF(ABS(ABS(R78)-ABS('QFS.9 Ans'!R78))&lt;0.5,"✓","✗"),"✗"))</f>
        <v/>
      </c>
      <c r="W78" s="34"/>
      <c r="X78" s="34"/>
      <c r="Y78" s="34"/>
      <c r="Z78" s="34"/>
      <c r="AA78" s="33" t="str">
        <f aca="false">IF(W78="","",IFERROR(IF(ABS(ABS(W78)-ABS('QFS.9 Ans'!W78))&lt;0.5,"✓","✗"),"✗"))</f>
        <v/>
      </c>
      <c r="AB78" s="34"/>
      <c r="AC78" s="34"/>
      <c r="AD78" s="34"/>
      <c r="AE78" s="34"/>
      <c r="AF78" s="33" t="str">
        <f aca="false">IF(AB78="","",IFERROR(IF(ABS(ABS(AB78)-ABS('QFS.9 Ans'!AB78))&lt;0.5,"✓","✗"),"✗"))</f>
        <v/>
      </c>
    </row>
    <row r="79" customFormat="false" ht="17.25" hidden="false" customHeight="true" outlineLevel="0" collapsed="false">
      <c r="B79" s="24"/>
      <c r="C79" s="24"/>
      <c r="D79" s="24"/>
      <c r="E79" s="28" t="s">
        <v>99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32"/>
      <c r="S79" s="32"/>
      <c r="T79" s="32"/>
      <c r="U79" s="32"/>
      <c r="V79" s="33" t="str">
        <f aca="false">IF(R79="","",IFERROR(IF(ABS(ABS(R79)-ABS('QFS.9 Ans'!R79))&lt;0.5,"✓","✗"),"✗"))</f>
        <v/>
      </c>
      <c r="W79" s="32"/>
      <c r="X79" s="32"/>
      <c r="Y79" s="32"/>
      <c r="Z79" s="32"/>
      <c r="AA79" s="33" t="str">
        <f aca="false">IF(W79="","",IFERROR(IF(ABS(ABS(W79)-ABS('QFS.9 Ans'!W79))&lt;0.5,"✓","✗"),"✗"))</f>
        <v/>
      </c>
      <c r="AB79" s="32"/>
      <c r="AC79" s="32"/>
      <c r="AD79" s="32"/>
      <c r="AE79" s="32"/>
      <c r="AF79" s="33" t="str">
        <f aca="false">IF(AB79="","",IFERROR(IF(ABS(ABS(AB79)-ABS('QFS.9 Ans'!AB79))&lt;0.5,"✓","✗"),"✗"))</f>
        <v/>
      </c>
    </row>
    <row r="80" customFormat="false" ht="17.25" hidden="false" customHeight="true" outlineLevel="0" collapsed="false">
      <c r="B80" s="24"/>
      <c r="C80" s="24"/>
      <c r="D80" s="24"/>
      <c r="E80" s="27" t="s">
        <v>100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IF(W81="","",IFERROR(IF(ABS(ABS(W81)-ABS('QFS.9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58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32"/>
      <c r="S82" s="32"/>
      <c r="T82" s="32"/>
      <c r="U82" s="32"/>
      <c r="V82" s="33" t="str">
        <f aca="false">IF(R82="","",IFERROR(IF(ABS(ABS(R82)-ABS('QFS.9 Ans'!R82))&lt;0.5,"✓","✗"),"✗"))</f>
        <v/>
      </c>
    </row>
    <row r="83" customFormat="false" ht="17.25" hidden="false" customHeight="true" outlineLevel="0" collapsed="false">
      <c r="B83" s="24" t="s">
        <v>78</v>
      </c>
      <c r="C83" s="24"/>
      <c r="D83" s="24"/>
      <c r="E83" s="25" t="s">
        <v>59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34"/>
      <c r="S83" s="34"/>
      <c r="T83" s="34"/>
      <c r="U83" s="34"/>
      <c r="V83" s="33" t="str">
        <f aca="false">IF(R83="","",IFERROR(IF(ABS(ABS(R83)-ABS('QFS.9 Ans'!R83))&lt;0.5,"✓","✗"),"✗"))</f>
        <v/>
      </c>
      <c r="W83" s="32"/>
      <c r="X83" s="32"/>
      <c r="Y83" s="32"/>
      <c r="Z83" s="32"/>
      <c r="AA83" s="33" t="str">
        <f aca="false">IF(W83="","",IFERROR(IF(ABS(ABS(W83)-ABS('QFS.9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102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IF(W84="","",IFERROR(IF(ABS(ABS(W84)-ABS('QFS.9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4"/>
      <c r="X85" s="34"/>
      <c r="Y85" s="34"/>
      <c r="Z85" s="34"/>
      <c r="AA85" s="33" t="str">
        <f aca="false">IF(W85="","",IFERROR(IF(ABS(ABS(W85)-ABS('QFS.9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8" t="s">
        <v>103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32"/>
      <c r="X86" s="32"/>
      <c r="Y86" s="32"/>
      <c r="Z86" s="32"/>
      <c r="AA86" s="33" t="str">
        <f aca="false">IF(W86="","",IFERROR(IF(ABS(ABS(W86)-ABS('QFS.9 Ans'!W86))&lt;0.5,"✓","✗"),"✗"))</f>
        <v/>
      </c>
    </row>
    <row r="87" customFormat="false" ht="17.25" hidden="false" customHeight="true" outlineLevel="0" collapsed="false">
      <c r="B87" s="24" t="s">
        <v>78</v>
      </c>
      <c r="C87" s="24"/>
      <c r="D87" s="24"/>
      <c r="E87" s="27" t="s">
        <v>104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2"/>
      <c r="X88" s="32"/>
      <c r="Y88" s="32"/>
      <c r="Z88" s="32"/>
      <c r="AA88" s="33" t="str">
        <f aca="false">IF(W88="","",IFERROR(IF(ABS(ABS(W88)-ABS('QFS.9 Ans'!W88))&lt;0.5,"✓","✗"),"✗"))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5" t="s">
        <v>186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34"/>
      <c r="X89" s="34"/>
      <c r="Y89" s="34"/>
      <c r="Z89" s="34"/>
      <c r="AA89" s="33" t="str">
        <f aca="false">IF(W89="","",IFERROR(IF(ABS(ABS(W89)-ABS('QFS.9 Ans'!W89))&lt;0.5,"✓","✗"),"✗"))</f>
        <v/>
      </c>
    </row>
    <row r="90" customFormat="false" ht="17.25" hidden="false" customHeight="true" outlineLevel="0" collapsed="false">
      <c r="B90" s="24"/>
      <c r="C90" s="24"/>
      <c r="D90" s="24"/>
      <c r="E90" s="28" t="s">
        <v>106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34"/>
      <c r="X90" s="34"/>
      <c r="Y90" s="34"/>
      <c r="Z90" s="34"/>
      <c r="AA90" s="33" t="str">
        <f aca="false">IF(W90="","",IFERROR(IF(ABS(ABS(W90)-ABS('QFS.9 Ans'!W90))&lt;0.5,"✓","✗"),"✗"))</f>
        <v/>
      </c>
    </row>
    <row r="91" customFormat="false" ht="17.25" hidden="false" customHeight="true" outlineLevel="0" collapsed="false">
      <c r="B91" s="24"/>
      <c r="C91" s="24"/>
      <c r="D91" s="24"/>
      <c r="E91" s="25" t="s">
        <v>107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34"/>
      <c r="AC91" s="34"/>
      <c r="AD91" s="34"/>
      <c r="AE91" s="34"/>
      <c r="AF91" s="33" t="str">
        <f aca="false">IF(AB91="","",IFERROR(IF(ABS(ABS(AB91)-ABS('QFS.9 Ans'!AB91))&lt;0.5,"✓","✗"),"✗"))</f>
        <v/>
      </c>
    </row>
    <row r="92" customFormat="false" ht="17.25" hidden="false" customHeight="true" outlineLevel="0" collapsed="false">
      <c r="B92" s="24"/>
      <c r="C92" s="24"/>
      <c r="D92" s="24"/>
      <c r="E92" s="28" t="s">
        <v>109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35"/>
      <c r="AC92" s="35"/>
      <c r="AD92" s="35"/>
      <c r="AE92" s="35"/>
      <c r="AF92" s="33" t="str">
        <f aca="false">IF(AB92="","",IFERROR(IF(ABS(ABS(AB92)-ABS('QFS.9 Ans'!AB92))&lt;0.5,"✓","✗"),"✗"))</f>
        <v/>
      </c>
    </row>
    <row r="93" customFormat="false" ht="17.25" hidden="false" customHeight="true" outlineLevel="0" collapsed="false">
      <c r="B93" s="24"/>
      <c r="C93" s="24"/>
      <c r="D93" s="24"/>
      <c r="E93" s="27" t="s">
        <v>110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111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32"/>
      <c r="AC94" s="32"/>
      <c r="AD94" s="32"/>
      <c r="AE94" s="32"/>
      <c r="AF94" s="33" t="str">
        <f aca="false">IF(AB94="","",IFERROR(IF(ABS(ABS(AB94)-ABS('QFS.9 Ans'!AB94))&lt;0.5,"✓","✗"),"✗"))</f>
        <v/>
      </c>
    </row>
    <row r="95" customFormat="false" ht="17.25" hidden="false" customHeight="true" outlineLevel="0" collapsed="false">
      <c r="B95" s="24" t="s">
        <v>82</v>
      </c>
      <c r="C95" s="24"/>
      <c r="D95" s="24"/>
      <c r="E95" s="25" t="s">
        <v>91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34"/>
      <c r="AC95" s="34"/>
      <c r="AD95" s="34"/>
      <c r="AE95" s="34"/>
      <c r="AF95" s="33" t="str">
        <f aca="false">IF(AB95="","",IFERROR(IF(ABS(ABS(AB95)-ABS('QFS.9 Ans'!AB95))&lt;0.5,"✓","✗"),"✗"))</f>
        <v/>
      </c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32"/>
      <c r="AC96" s="32"/>
      <c r="AD96" s="32"/>
      <c r="AE96" s="32"/>
      <c r="AF96" s="33" t="str">
        <f aca="false">IF(AB96="","",IFERROR(IF(ABS(ABS(AB96)-ABS('QFS.9 Ans'!AB96))&lt;0.5,"✓","✗"),"✗"))</f>
        <v/>
      </c>
    </row>
    <row r="97" customFormat="false" ht="17.25" hidden="false" customHeight="true" outlineLevel="0" collapsed="false">
      <c r="B97" s="24" t="s">
        <v>78</v>
      </c>
      <c r="C97" s="24"/>
      <c r="D97" s="24"/>
      <c r="E97" s="25" t="s">
        <v>65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34"/>
      <c r="AC97" s="34"/>
      <c r="AD97" s="34"/>
      <c r="AE97" s="34"/>
      <c r="AF97" s="33" t="str">
        <f aca="false">IF(AB97="","",IFERROR(IF(ABS(ABS(AB97)-ABS('QFS.9 Ans'!AB97))&lt;0.5,"✓","✗"),"✗"))</f>
        <v/>
      </c>
    </row>
    <row r="98" customFormat="false" ht="17.25" hidden="false" customHeight="true" outlineLevel="0" collapsed="false">
      <c r="B98" s="24"/>
      <c r="C98" s="24"/>
      <c r="D98" s="24"/>
      <c r="E98" s="28" t="s">
        <v>112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35"/>
      <c r="AC98" s="35"/>
      <c r="AD98" s="35"/>
      <c r="AE98" s="35"/>
      <c r="AF98" s="33" t="str">
        <f aca="false">IF(AB98="","",IFERROR(IF(ABS(ABS(AB98)-ABS('QFS.9 Ans'!AB98))&lt;0.5,"✓","✗"),"✗"))</f>
        <v/>
      </c>
    </row>
  </sheetData>
  <mergeCells count="260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4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1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31" t="s">
        <v>116</v>
      </c>
      <c r="C3" s="31"/>
      <c r="D3" s="31"/>
      <c r="E3" s="31"/>
      <c r="F3" s="31"/>
      <c r="G3" s="31"/>
      <c r="H3" s="31" t="str">
        <f aca="false">COUNTIF(B4:AG123,"✓")&amp;" correct out of 63 answer cells"</f>
        <v>0 correct out of 63 answer cells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5" customFormat="false" ht="16.5" hidden="false" customHeight="true" outlineLevel="0" collapsed="false">
      <c r="B5" s="4" t="s">
        <v>188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189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9" t="n">
        <v>98000</v>
      </c>
      <c r="AB8" s="19"/>
      <c r="AC8" s="19"/>
      <c r="AD8" s="19"/>
      <c r="AE8" s="19"/>
      <c r="AF8" s="19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9" t="n">
        <v>54000</v>
      </c>
      <c r="V9" s="19"/>
      <c r="W9" s="19"/>
      <c r="X9" s="19"/>
      <c r="Y9" s="19"/>
      <c r="Z9" s="19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9" t="n">
        <v>1200</v>
      </c>
      <c r="V10" s="19"/>
      <c r="W10" s="19"/>
      <c r="X10" s="19"/>
      <c r="Y10" s="19"/>
      <c r="Z10" s="19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9" t="n">
        <v>1000</v>
      </c>
      <c r="AB11" s="19"/>
      <c r="AC11" s="19"/>
      <c r="AD11" s="19"/>
      <c r="AE11" s="19"/>
      <c r="AF11" s="19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9" t="n">
        <v>700</v>
      </c>
      <c r="V12" s="19"/>
      <c r="W12" s="19"/>
      <c r="X12" s="19"/>
      <c r="Y12" s="19"/>
      <c r="Z12" s="19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9" t="n">
        <v>900</v>
      </c>
      <c r="V13" s="19"/>
      <c r="W13" s="19"/>
      <c r="X13" s="19"/>
      <c r="Y13" s="19"/>
      <c r="Z13" s="19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9" t="n">
        <v>7400</v>
      </c>
      <c r="V14" s="19"/>
      <c r="W14" s="19"/>
      <c r="X14" s="19"/>
      <c r="Y14" s="19"/>
      <c r="Z14" s="19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9" t="n">
        <v>15500</v>
      </c>
      <c r="V15" s="19"/>
      <c r="W15" s="19"/>
      <c r="X15" s="19"/>
      <c r="Y15" s="19"/>
      <c r="Z15" s="19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191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9" t="n">
        <v>6300</v>
      </c>
      <c r="V16" s="19"/>
      <c r="W16" s="19"/>
      <c r="X16" s="19"/>
      <c r="Y16" s="19"/>
      <c r="Z16" s="19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9" t="n">
        <v>2100</v>
      </c>
      <c r="V17" s="19"/>
      <c r="W17" s="19"/>
      <c r="X17" s="19"/>
      <c r="Y17" s="19"/>
      <c r="Z17" s="19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52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9" t="n">
        <v>350</v>
      </c>
      <c r="V18" s="19"/>
      <c r="W18" s="19"/>
      <c r="X18" s="19"/>
      <c r="Y18" s="19"/>
      <c r="Z18" s="19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53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9" t="n">
        <v>650</v>
      </c>
      <c r="AB19" s="19"/>
      <c r="AC19" s="19"/>
      <c r="AD19" s="19"/>
      <c r="AE19" s="19"/>
      <c r="AF19" s="19"/>
    </row>
    <row r="20" customFormat="false" ht="15" hidden="false" customHeight="false" outlineLevel="0" collapsed="false">
      <c r="B20" s="18" t="s">
        <v>192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9" t="n">
        <v>1200</v>
      </c>
      <c r="AB20" s="19"/>
      <c r="AC20" s="19"/>
      <c r="AD20" s="19"/>
      <c r="AE20" s="19"/>
      <c r="AF20" s="19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9" t="n">
        <v>450</v>
      </c>
      <c r="V21" s="19"/>
      <c r="W21" s="19"/>
      <c r="X21" s="19"/>
      <c r="Y21" s="19"/>
      <c r="Z21" s="19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9" t="n">
        <v>40000</v>
      </c>
      <c r="V22" s="19"/>
      <c r="W22" s="19"/>
      <c r="X22" s="19"/>
      <c r="Y22" s="19"/>
      <c r="Z22" s="19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9" t="n">
        <v>30000</v>
      </c>
      <c r="V23" s="19"/>
      <c r="W23" s="19"/>
      <c r="X23" s="19"/>
      <c r="Y23" s="19"/>
      <c r="Z23" s="19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9" t="n">
        <v>12000</v>
      </c>
      <c r="AB24" s="19"/>
      <c r="AC24" s="19"/>
      <c r="AD24" s="19"/>
      <c r="AE24" s="19"/>
      <c r="AF24" s="19"/>
    </row>
    <row r="25" customFormat="false" ht="15" hidden="false" customHeight="false" outlineLevel="0" collapsed="false">
      <c r="B25" s="18" t="s">
        <v>193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9" t="n">
        <v>1500</v>
      </c>
      <c r="AB25" s="19"/>
      <c r="AC25" s="19"/>
      <c r="AD25" s="19"/>
      <c r="AE25" s="19"/>
      <c r="AF25" s="19"/>
    </row>
    <row r="26" customFormat="false" ht="15" hidden="false" customHeight="false" outlineLevel="0" collapsed="false">
      <c r="B26" s="18" t="s">
        <v>58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9" t="n">
        <v>14000</v>
      </c>
      <c r="V26" s="19"/>
      <c r="W26" s="19"/>
      <c r="X26" s="19"/>
      <c r="Y26" s="19"/>
      <c r="Z26" s="19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59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9" t="n">
        <v>600</v>
      </c>
      <c r="AB27" s="19"/>
      <c r="AC27" s="19"/>
      <c r="AD27" s="19"/>
      <c r="AE27" s="19"/>
      <c r="AF27" s="19"/>
    </row>
    <row r="28" customFormat="false" ht="15" hidden="false" customHeight="false" outlineLevel="0" collapsed="false">
      <c r="B28" s="18" t="s">
        <v>60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9" t="n">
        <v>8200</v>
      </c>
      <c r="AB28" s="19"/>
      <c r="AC28" s="19"/>
      <c r="AD28" s="19"/>
      <c r="AE28" s="19"/>
      <c r="AF28" s="19"/>
    </row>
    <row r="29" customFormat="false" ht="15" hidden="false" customHeight="false" outlineLevel="0" collapsed="false">
      <c r="B29" s="18" t="s">
        <v>194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9" t="n">
        <v>1800</v>
      </c>
      <c r="AB29" s="19"/>
      <c r="AC29" s="19"/>
      <c r="AD29" s="19"/>
      <c r="AE29" s="19"/>
      <c r="AF29" s="19"/>
    </row>
    <row r="30" customFormat="false" ht="15" hidden="false" customHeight="false" outlineLevel="0" collapsed="false">
      <c r="B30" s="18" t="s">
        <v>62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9" t="n">
        <v>150</v>
      </c>
      <c r="V30" s="19"/>
      <c r="W30" s="19"/>
      <c r="X30" s="19"/>
      <c r="Y30" s="19"/>
      <c r="Z30" s="19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147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9" t="n">
        <v>8000</v>
      </c>
      <c r="AB31" s="19"/>
      <c r="AC31" s="19"/>
      <c r="AD31" s="19"/>
      <c r="AE31" s="19"/>
      <c r="AF31" s="19"/>
    </row>
    <row r="32" customFormat="false" ht="15" hidden="false" customHeight="false" outlineLevel="0" collapsed="false">
      <c r="B32" s="18" t="s">
        <v>64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9" t="n">
        <v>50100</v>
      </c>
      <c r="AB32" s="19"/>
      <c r="AC32" s="19"/>
      <c r="AD32" s="19"/>
      <c r="AE32" s="19"/>
      <c r="AF32" s="19"/>
    </row>
    <row r="33" customFormat="false" ht="15" hidden="false" customHeight="false" outlineLevel="0" collapsed="false">
      <c r="B33" s="18" t="s">
        <v>65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9" t="n">
        <v>10000</v>
      </c>
      <c r="V33" s="19"/>
      <c r="W33" s="19"/>
      <c r="X33" s="19"/>
      <c r="Y33" s="19"/>
      <c r="Z33" s="19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66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195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68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69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9" t="n">
        <v>8100</v>
      </c>
      <c r="Y37" s="19"/>
      <c r="Z37" s="19"/>
      <c r="AA37" s="19"/>
      <c r="AB37" s="19"/>
      <c r="AC37" s="19"/>
    </row>
    <row r="38" customFormat="false" ht="16.5" hidden="false" customHeight="true" outlineLevel="0" collapsed="false">
      <c r="B38" s="12" t="s">
        <v>173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9" t="n">
        <v>300</v>
      </c>
      <c r="Y38" s="19"/>
      <c r="Z38" s="19"/>
      <c r="AA38" s="19"/>
      <c r="AB38" s="19"/>
      <c r="AC38" s="19"/>
    </row>
    <row r="39" customFormat="false" ht="16.5" hidden="false" customHeight="true" outlineLevel="0" collapsed="false">
      <c r="B39" s="12" t="s">
        <v>196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9" t="n">
        <v>500</v>
      </c>
      <c r="Y39" s="19"/>
      <c r="Z39" s="19"/>
      <c r="AA39" s="19"/>
      <c r="AB39" s="19"/>
      <c r="AC39" s="19"/>
    </row>
    <row r="40" customFormat="false" ht="16.5" hidden="false" customHeight="true" outlineLevel="0" collapsed="false">
      <c r="B40" s="12" t="s">
        <v>197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9" t="n">
        <v>250</v>
      </c>
      <c r="Y40" s="19"/>
      <c r="Z40" s="19"/>
      <c r="AA40" s="19"/>
      <c r="AB40" s="19"/>
      <c r="AC40" s="19"/>
    </row>
    <row r="41" customFormat="false" ht="16.5" hidden="false" customHeight="true" outlineLevel="0" collapsed="false">
      <c r="B41" s="12" t="s">
        <v>198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9" t="n">
        <v>400</v>
      </c>
      <c r="Y41" s="19"/>
      <c r="Z41" s="19"/>
      <c r="AA41" s="19"/>
      <c r="AB41" s="19"/>
      <c r="AC41" s="19"/>
    </row>
    <row r="42" customFormat="false" ht="16.5" hidden="false" customHeight="true" outlineLevel="0" collapsed="false">
      <c r="B42" s="12" t="s">
        <v>199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22" t="n">
        <v>0.05</v>
      </c>
      <c r="Y42" s="22"/>
      <c r="Z42" s="22"/>
      <c r="AA42" s="22"/>
      <c r="AB42" s="22"/>
      <c r="AC42" s="22"/>
    </row>
    <row r="43" customFormat="false" ht="16.5" hidden="false" customHeight="true" outlineLevel="0" collapsed="false">
      <c r="B43" s="12" t="s">
        <v>200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9" t="n">
        <v>5000</v>
      </c>
      <c r="Y43" s="19"/>
      <c r="Z43" s="19"/>
      <c r="AA43" s="19"/>
      <c r="AB43" s="19"/>
      <c r="AC43" s="19"/>
    </row>
    <row r="44" customFormat="false" ht="16.5" hidden="false" customHeight="true" outlineLevel="0" collapsed="false">
      <c r="B44" s="12" t="s">
        <v>201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9" t="n">
        <v>3000</v>
      </c>
      <c r="Y44" s="19"/>
      <c r="Z44" s="19"/>
      <c r="AA44" s="19"/>
      <c r="AB44" s="19"/>
      <c r="AC44" s="19"/>
    </row>
    <row r="45" customFormat="false" ht="16.5" hidden="false" customHeight="true" outlineLevel="0" collapsed="false">
      <c r="B45" s="12" t="s">
        <v>202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9" t="n">
        <v>1500</v>
      </c>
      <c r="Y45" s="19"/>
      <c r="Z45" s="19"/>
      <c r="AA45" s="19"/>
      <c r="AB45" s="19"/>
      <c r="AC45" s="19"/>
    </row>
    <row r="46" customFormat="false" ht="16.5" hidden="false" customHeight="true" outlineLevel="0" collapsed="false">
      <c r="B46" s="12" t="s">
        <v>203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22" t="n">
        <v>0.2</v>
      </c>
      <c r="Y46" s="22"/>
      <c r="Z46" s="22"/>
      <c r="AA46" s="22"/>
      <c r="AB46" s="22"/>
      <c r="AC46" s="22"/>
    </row>
    <row r="47" customFormat="false" ht="16.5" hidden="false" customHeight="true" outlineLevel="0" collapsed="false">
      <c r="B47" s="12" t="s">
        <v>204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22" t="n">
        <v>0.06</v>
      </c>
      <c r="Y47" s="22"/>
      <c r="Z47" s="22"/>
      <c r="AA47" s="22"/>
      <c r="AB47" s="22"/>
      <c r="AC47" s="22"/>
    </row>
    <row r="49" customFormat="false" ht="16.5" hidden="false" customHeight="true" outlineLevel="0" collapsed="false">
      <c r="B49" s="4" t="s">
        <v>205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206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207</v>
      </c>
      <c r="C52" s="31"/>
      <c r="D52" s="31"/>
      <c r="E52" s="15" t="s">
        <v>208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209</v>
      </c>
      <c r="AE52" s="37"/>
      <c r="AF52" s="37"/>
    </row>
    <row r="53" customFormat="false" ht="15" hidden="false" customHeight="false" outlineLevel="0" collapsed="false">
      <c r="B53" s="38" t="s">
        <v>210</v>
      </c>
      <c r="C53" s="38"/>
      <c r="D53" s="38"/>
      <c r="E53" s="38" t="s">
        <v>38</v>
      </c>
      <c r="F53" s="38"/>
      <c r="G53" s="38"/>
      <c r="H53" s="38"/>
      <c r="I53" s="38"/>
      <c r="J53" s="38"/>
      <c r="K53" s="38"/>
      <c r="L53" s="39" t="s">
        <v>211</v>
      </c>
      <c r="M53" s="40" t="s">
        <v>212</v>
      </c>
      <c r="N53" s="40"/>
      <c r="O53" s="40"/>
      <c r="P53" s="40"/>
      <c r="Q53" s="41"/>
      <c r="R53" s="42" t="s">
        <v>210</v>
      </c>
      <c r="S53" s="42"/>
      <c r="T53" s="42"/>
      <c r="U53" s="38" t="s">
        <v>38</v>
      </c>
      <c r="V53" s="38"/>
      <c r="W53" s="38"/>
      <c r="X53" s="38"/>
      <c r="Y53" s="38"/>
      <c r="Z53" s="38"/>
      <c r="AA53" s="38"/>
      <c r="AB53" s="39" t="s">
        <v>211</v>
      </c>
      <c r="AC53" s="40" t="s">
        <v>212</v>
      </c>
      <c r="AD53" s="40"/>
      <c r="AE53" s="40"/>
      <c r="AF53" s="40"/>
    </row>
    <row r="54" customFormat="false" ht="17.25" hidden="false" customHeight="true" outlineLevel="0" collapsed="false">
      <c r="B54" s="6" t="s">
        <v>213</v>
      </c>
      <c r="C54" s="6"/>
      <c r="D54" s="6"/>
      <c r="E54" s="25" t="s">
        <v>98</v>
      </c>
      <c r="F54" s="25"/>
      <c r="G54" s="25"/>
      <c r="H54" s="25"/>
      <c r="I54" s="25"/>
      <c r="J54" s="25"/>
      <c r="K54" s="25"/>
      <c r="L54" s="43" t="s">
        <v>214</v>
      </c>
      <c r="M54" s="32"/>
      <c r="N54" s="32"/>
      <c r="O54" s="32"/>
      <c r="P54" s="33" t="str">
        <f aca="false">IF(M54="","",IFERROR(IF(ABS(ABS(M54)-ABS('QFS.10 Ans'!M54))&lt;0.5,"✓","✗"),"✗"))</f>
        <v/>
      </c>
      <c r="R54" s="44" t="s">
        <v>213</v>
      </c>
      <c r="S54" s="44"/>
      <c r="T54" s="44"/>
      <c r="U54" s="25" t="s">
        <v>61</v>
      </c>
      <c r="V54" s="25"/>
      <c r="W54" s="25"/>
      <c r="X54" s="25"/>
      <c r="Y54" s="25"/>
      <c r="Z54" s="25"/>
      <c r="AA54" s="25"/>
      <c r="AB54" s="43" t="s">
        <v>215</v>
      </c>
      <c r="AC54" s="32"/>
      <c r="AD54" s="32"/>
      <c r="AE54" s="32"/>
      <c r="AF54" s="33" t="str">
        <f aca="false">IF(AC54="","",IFERROR(IF(ABS(ABS(AC54)-ABS('QFS.10 Ans'!AC54))&lt;0.5,"✓","✗"),"✗"))</f>
        <v/>
      </c>
    </row>
    <row r="55" customFormat="false" ht="17.25" hidden="false" customHeight="true" outlineLevel="0" collapsed="false">
      <c r="R55" s="44" t="s">
        <v>216</v>
      </c>
      <c r="S55" s="44"/>
      <c r="T55" s="44"/>
      <c r="U55" s="25" t="s">
        <v>217</v>
      </c>
      <c r="V55" s="25"/>
      <c r="W55" s="25"/>
      <c r="X55" s="25"/>
      <c r="Y55" s="25"/>
      <c r="Z55" s="25"/>
      <c r="AA55" s="25"/>
      <c r="AB55" s="43" t="s">
        <v>214</v>
      </c>
      <c r="AC55" s="32"/>
      <c r="AD55" s="32"/>
      <c r="AE55" s="32"/>
      <c r="AF55" s="33" t="str">
        <f aca="false">IF(AC55="","",IFERROR(IF(ABS(ABS(AC55)-ABS('QFS.10 Ans'!AC55))&lt;0.5,"✓","✗"),"✗"))</f>
        <v/>
      </c>
    </row>
    <row r="56" customFormat="false" ht="17.25" hidden="false" customHeight="true" outlineLevel="0" collapsed="false">
      <c r="R56" s="44" t="s">
        <v>216</v>
      </c>
      <c r="S56" s="44"/>
      <c r="T56" s="44"/>
      <c r="U56" s="25" t="s">
        <v>218</v>
      </c>
      <c r="V56" s="25"/>
      <c r="W56" s="25"/>
      <c r="X56" s="25"/>
      <c r="Y56" s="25"/>
      <c r="Z56" s="25"/>
      <c r="AA56" s="25"/>
      <c r="AB56" s="43" t="s">
        <v>219</v>
      </c>
      <c r="AC56" s="32"/>
      <c r="AD56" s="32"/>
      <c r="AE56" s="32"/>
      <c r="AF56" s="33" t="str">
        <f aca="false">IF(AC56="","",IFERROR(IF(ABS(ABS(AC56)-ABS('QFS.10 Ans'!AC56))&lt;0.5,"✓","✗"),"✗"))</f>
        <v/>
      </c>
    </row>
    <row r="57" customFormat="false" ht="16.5" hidden="false" customHeight="true" outlineLevel="0" collapsed="false">
      <c r="M57" s="35"/>
      <c r="N57" s="35"/>
      <c r="O57" s="35"/>
      <c r="P57" s="33" t="str">
        <f aca="false">IF(M57="","",IFERROR(IF(ABS(ABS(M57)-ABS('QFS.10 Ans'!M57))&lt;0.5,"✓","✗"),"✗"))</f>
        <v/>
      </c>
      <c r="R57" s="45"/>
      <c r="AC57" s="35"/>
      <c r="AD57" s="35"/>
      <c r="AE57" s="35"/>
      <c r="AF57" s="33" t="str">
        <f aca="false">IF(AC57="","",IFERROR(IF(ABS(ABS(AC57)-ABS('QFS.10 Ans'!AC57))&lt;0.5,"✓","✗"),"✗"))</f>
        <v/>
      </c>
    </row>
    <row r="59" customFormat="false" ht="18.75" hidden="false" customHeight="true" outlineLevel="0" collapsed="false">
      <c r="B59" s="3" t="s">
        <v>220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 customFormat="false" ht="15" hidden="false" customHeight="false" outlineLevel="0" collapsed="false">
      <c r="B60" s="15" t="s">
        <v>221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customFormat="false" ht="15" hidden="false" customHeight="false" outlineLevel="0" collapsed="false">
      <c r="B61" s="15" t="s">
        <v>222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23"/>
      <c r="C62" s="23"/>
      <c r="D62" s="23"/>
      <c r="E62" s="16" t="s">
        <v>38</v>
      </c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7" t="s">
        <v>77</v>
      </c>
      <c r="S62" s="17"/>
      <c r="T62" s="17"/>
      <c r="U62" s="17"/>
      <c r="V62" s="17"/>
      <c r="W62" s="17" t="s">
        <v>77</v>
      </c>
      <c r="X62" s="17"/>
      <c r="Y62" s="17"/>
      <c r="Z62" s="17"/>
      <c r="AA62" s="17"/>
      <c r="AB62" s="17" t="s">
        <v>77</v>
      </c>
      <c r="AC62" s="17"/>
      <c r="AD62" s="17"/>
      <c r="AE62" s="17"/>
      <c r="AF62" s="17"/>
    </row>
    <row r="63" customFormat="false" ht="17.25" hidden="false" customHeight="true" outlineLevel="0" collapsed="false">
      <c r="B63" s="24"/>
      <c r="C63" s="24"/>
      <c r="D63" s="24"/>
      <c r="E63" s="25" t="s">
        <v>41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AB63" s="32"/>
      <c r="AC63" s="32"/>
      <c r="AD63" s="32"/>
      <c r="AE63" s="32"/>
      <c r="AF63" s="33" t="str">
        <f aca="false">IF(AB63="","",IFERROR(IF(ABS(ABS(AB63)-ABS('QFS.10 Ans'!AB63))&lt;0.5,"✓","✗"),"✗"))</f>
        <v/>
      </c>
    </row>
    <row r="64" customFormat="false" ht="17.25" hidden="false" customHeight="true" outlineLevel="0" collapsed="false">
      <c r="B64" s="24" t="s">
        <v>78</v>
      </c>
      <c r="C64" s="24"/>
      <c r="D64" s="24"/>
      <c r="E64" s="25" t="s">
        <v>43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34"/>
      <c r="AC64" s="34"/>
      <c r="AD64" s="34"/>
      <c r="AE64" s="34"/>
      <c r="AF64" s="33" t="str">
        <f aca="false">IF(AB64="","",IFERROR(IF(ABS(ABS(AB64)-ABS('QFS.10 Ans'!AB64))&lt;0.5,"✓","✗"),"✗"))</f>
        <v/>
      </c>
    </row>
    <row r="65" customFormat="false" ht="17.25" hidden="false" customHeight="true" outlineLevel="0" collapsed="false">
      <c r="B65" s="24"/>
      <c r="C65" s="24"/>
      <c r="D65" s="24"/>
      <c r="E65" s="25" t="s">
        <v>79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32"/>
      <c r="AC65" s="32"/>
      <c r="AD65" s="32"/>
      <c r="AE65" s="32"/>
      <c r="AF65" s="33" t="str">
        <f aca="false">IF(AB65="","",IFERROR(IF(ABS(ABS(AB65)-ABS('QFS.10 Ans'!AB65))&lt;0.5,"✓","✗"),"✗"))</f>
        <v/>
      </c>
    </row>
    <row r="66" customFormat="false" ht="17.25" hidden="false" customHeight="true" outlineLevel="0" collapsed="false">
      <c r="B66" s="24" t="s">
        <v>78</v>
      </c>
      <c r="C66" s="24"/>
      <c r="D66" s="24"/>
      <c r="E66" s="27" t="s">
        <v>80</v>
      </c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</row>
    <row r="67" customFormat="false" ht="17.25" hidden="false" customHeight="true" outlineLevel="0" collapsed="false">
      <c r="B67" s="24"/>
      <c r="C67" s="24"/>
      <c r="D67" s="24"/>
      <c r="E67" s="25" t="s">
        <v>81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32"/>
      <c r="X67" s="32"/>
      <c r="Y67" s="32"/>
      <c r="Z67" s="32"/>
      <c r="AA67" s="33" t="str">
        <f aca="false">IF(W67="","",IFERROR(IF(ABS(ABS(W67)-ABS('QFS.10 Ans'!W67))&lt;0.5,"✓","✗"),"✗"))</f>
        <v/>
      </c>
    </row>
    <row r="68" customFormat="false" ht="17.25" hidden="false" customHeight="true" outlineLevel="0" collapsed="false">
      <c r="B68" s="24" t="s">
        <v>82</v>
      </c>
      <c r="C68" s="24"/>
      <c r="D68" s="24"/>
      <c r="E68" s="25" t="s">
        <v>42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32"/>
      <c r="S68" s="32"/>
      <c r="T68" s="32"/>
      <c r="U68" s="32"/>
      <c r="V68" s="33" t="str">
        <f aca="false">IF(R68="","",IFERROR(IF(ABS(ABS(R68)-ABS('QFS.10 Ans'!R68))&lt;0.5,"✓","✗"),"✗"))</f>
        <v/>
      </c>
    </row>
    <row r="69" customFormat="false" ht="17.25" hidden="false" customHeight="true" outlineLevel="0" collapsed="false">
      <c r="B69" s="24" t="s">
        <v>78</v>
      </c>
      <c r="C69" s="24"/>
      <c r="D69" s="24"/>
      <c r="E69" s="25" t="s">
        <v>44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32"/>
      <c r="S69" s="32"/>
      <c r="T69" s="32"/>
      <c r="U69" s="32"/>
      <c r="V69" s="33" t="str">
        <f aca="false">IF(R69="","",IFERROR(IF(ABS(ABS(R69)-ABS('QFS.10 Ans'!R69))&lt;0.5,"✓","✗"),"✗"))</f>
        <v/>
      </c>
    </row>
    <row r="70" customFormat="false" ht="17.25" hidden="false" customHeight="true" outlineLevel="0" collapsed="false">
      <c r="B70" s="24" t="s">
        <v>82</v>
      </c>
      <c r="C70" s="24"/>
      <c r="D70" s="24"/>
      <c r="E70" s="25" t="s">
        <v>45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34"/>
      <c r="S70" s="34"/>
      <c r="T70" s="34"/>
      <c r="U70" s="34"/>
      <c r="V70" s="33" t="str">
        <f aca="false">IF(R70="","",IFERROR(IF(ABS(ABS(R70)-ABS('QFS.10 Ans'!R70))&lt;0.5,"✓","✗"),"✗"))</f>
        <v/>
      </c>
      <c r="W70" s="34"/>
      <c r="X70" s="34"/>
      <c r="Y70" s="34"/>
      <c r="Z70" s="34"/>
      <c r="AA70" s="33" t="str">
        <f aca="false">IF(W70="","",IFERROR(IF(ABS(ABS(W70)-ABS('QFS.10 Ans'!W70))&lt;0.5,"✓","✗"),"✗"))</f>
        <v/>
      </c>
    </row>
    <row r="71" customFormat="false" ht="17.25" hidden="false" customHeight="true" outlineLevel="0" collapsed="false">
      <c r="B71" s="24"/>
      <c r="C71" s="24"/>
      <c r="D71" s="24"/>
      <c r="E71" s="25" t="s">
        <v>83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W71" s="32"/>
      <c r="X71" s="32"/>
      <c r="Y71" s="32"/>
      <c r="Z71" s="32"/>
      <c r="AA71" s="33" t="str">
        <f aca="false">IF(W71="","",IFERROR(IF(ABS(ABS(W71)-ABS('QFS.10 Ans'!W71))&lt;0.5,"✓","✗"),"✗"))</f>
        <v/>
      </c>
    </row>
    <row r="72" customFormat="false" ht="17.25" hidden="false" customHeight="true" outlineLevel="0" collapsed="false">
      <c r="B72" s="24" t="s">
        <v>78</v>
      </c>
      <c r="C72" s="24"/>
      <c r="D72" s="24"/>
      <c r="E72" s="25" t="s">
        <v>84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34"/>
      <c r="X72" s="34"/>
      <c r="Y72" s="34"/>
      <c r="Z72" s="34"/>
      <c r="AA72" s="33" t="str">
        <f aca="false">IF(W72="","",IFERROR(IF(ABS(ABS(W72)-ABS('QFS.10 Ans'!W72))&lt;0.5,"✓","✗"),"✗"))</f>
        <v/>
      </c>
      <c r="AB72" s="34"/>
      <c r="AC72" s="34"/>
      <c r="AD72" s="34"/>
      <c r="AE72" s="34"/>
      <c r="AF72" s="33" t="str">
        <f aca="false">IF(AB72="","",IFERROR(IF(ABS(ABS(AB72)-ABS('QFS.10 Ans'!AB72))&lt;0.5,"✓","✗"),"✗"))</f>
        <v/>
      </c>
    </row>
    <row r="73" customFormat="false" ht="17.25" hidden="false" customHeight="true" outlineLevel="0" collapsed="false">
      <c r="B73" s="24"/>
      <c r="C73" s="24"/>
      <c r="D73" s="24"/>
      <c r="E73" s="28" t="s">
        <v>85</v>
      </c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AB73" s="32"/>
      <c r="AC73" s="32"/>
      <c r="AD73" s="32"/>
      <c r="AE73" s="32"/>
      <c r="AF73" s="33" t="str">
        <f aca="false">IF(AB73="","",IFERROR(IF(ABS(ABS(AB73)-ABS('QFS.10 Ans'!AB73))&lt;0.5,"✓","✗"),"✗"))</f>
        <v/>
      </c>
    </row>
    <row r="74" customFormat="false" ht="17.25" hidden="false" customHeight="true" outlineLevel="0" collapsed="false">
      <c r="B74" s="24" t="s">
        <v>82</v>
      </c>
      <c r="C74" s="24"/>
      <c r="D74" s="24"/>
      <c r="E74" s="27" t="s">
        <v>86</v>
      </c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</row>
    <row r="75" customFormat="false" ht="17.25" hidden="false" customHeight="true" outlineLevel="0" collapsed="false">
      <c r="B75" s="24"/>
      <c r="C75" s="24"/>
      <c r="D75" s="24"/>
      <c r="E75" s="25" t="s">
        <v>53</v>
      </c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W75" s="32"/>
      <c r="X75" s="32"/>
      <c r="Y75" s="32"/>
      <c r="Z75" s="32"/>
      <c r="AA75" s="33" t="str">
        <f aca="false">IF(W75="","",IFERROR(IF(ABS(ABS(W75)-ABS('QFS.10 Ans'!W75))&lt;0.5,"✓","✗"),"✗"))</f>
        <v/>
      </c>
    </row>
    <row r="76" customFormat="false" ht="17.25" hidden="false" customHeight="true" outlineLevel="0" collapsed="false">
      <c r="B76" s="24"/>
      <c r="C76" s="24"/>
      <c r="D76" s="24"/>
      <c r="E76" s="25" t="s">
        <v>192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34"/>
      <c r="X76" s="34"/>
      <c r="Y76" s="34"/>
      <c r="Z76" s="34"/>
      <c r="AA76" s="33" t="str">
        <f aca="false">IF(W76="","",IFERROR(IF(ABS(ABS(W76)-ABS('QFS.10 Ans'!W76))&lt;0.5,"✓","✗"),"✗"))</f>
        <v/>
      </c>
      <c r="AB76" s="34"/>
      <c r="AC76" s="34"/>
      <c r="AD76" s="34"/>
      <c r="AE76" s="34"/>
      <c r="AF76" s="33" t="str">
        <f aca="false">IF(AB76="","",IFERROR(IF(ABS(ABS(AB76)-ABS('QFS.10 Ans'!AB76))&lt;0.5,"✓","✗"),"✗"))</f>
        <v/>
      </c>
    </row>
    <row r="77" customFormat="false" ht="17.25" hidden="false" customHeight="true" outlineLevel="0" collapsed="false">
      <c r="B77" s="24"/>
      <c r="C77" s="24"/>
      <c r="D77" s="24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AB77" s="32"/>
      <c r="AC77" s="32"/>
      <c r="AD77" s="32"/>
      <c r="AE77" s="32"/>
      <c r="AF77" s="33" t="str">
        <f aca="false">IF(AB77="","",IFERROR(IF(ABS(ABS(AB77)-ABS('QFS.10 Ans'!AB77))&lt;0.5,"✓","✗"),"✗"))</f>
        <v/>
      </c>
    </row>
    <row r="78" customFormat="false" ht="17.25" hidden="false" customHeight="true" outlineLevel="0" collapsed="false">
      <c r="B78" s="24" t="s">
        <v>78</v>
      </c>
      <c r="C78" s="24"/>
      <c r="D78" s="24"/>
      <c r="E78" s="27" t="s">
        <v>87</v>
      </c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</row>
    <row r="79" customFormat="false" ht="17.25" hidden="false" customHeight="true" outlineLevel="0" collapsed="false">
      <c r="B79" s="24"/>
      <c r="C79" s="24"/>
      <c r="D79" s="24"/>
      <c r="E79" s="25" t="s">
        <v>48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W79" s="32"/>
      <c r="X79" s="32"/>
      <c r="Y79" s="32"/>
      <c r="Z79" s="32"/>
      <c r="AA79" s="33" t="str">
        <f aca="false">IF(W79="","",IFERROR(IF(ABS(ABS(W79)-ABS('QFS.10 Ans'!W79))&lt;0.5,"✓","✗"),"✗"))</f>
        <v/>
      </c>
    </row>
    <row r="80" customFormat="false" ht="17.25" hidden="false" customHeight="true" outlineLevel="0" collapsed="false">
      <c r="B80" s="24"/>
      <c r="C80" s="24"/>
      <c r="D80" s="24"/>
      <c r="E80" s="25" t="s">
        <v>191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32"/>
      <c r="X80" s="32"/>
      <c r="Y80" s="32"/>
      <c r="Z80" s="32"/>
      <c r="AA80" s="33" t="str">
        <f aca="false">IF(W80="","",IFERROR(IF(ABS(ABS(W80)-ABS('QFS.10 Ans'!W80))&lt;0.5,"✓","✗"),"✗"))</f>
        <v/>
      </c>
    </row>
    <row r="81" customFormat="false" ht="17.25" hidden="false" customHeight="true" outlineLevel="0" collapsed="false">
      <c r="B81" s="24"/>
      <c r="C81" s="24"/>
      <c r="D81" s="24"/>
      <c r="E81" s="25" t="s">
        <v>167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32"/>
      <c r="X81" s="32"/>
      <c r="Y81" s="32"/>
      <c r="Z81" s="32"/>
      <c r="AA81" s="33" t="str">
        <f aca="false">IF(W81="","",IFERROR(IF(ABS(ABS(W81)-ABS('QFS.10 Ans'!W81))&lt;0.5,"✓","✗"),"✗"))</f>
        <v/>
      </c>
    </row>
    <row r="82" customFormat="false" ht="17.25" hidden="false" customHeight="true" outlineLevel="0" collapsed="false">
      <c r="B82" s="24"/>
      <c r="C82" s="24"/>
      <c r="D82" s="24"/>
      <c r="E82" s="25" t="s">
        <v>46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32"/>
      <c r="X82" s="32"/>
      <c r="Y82" s="32"/>
      <c r="Z82" s="32"/>
      <c r="AA82" s="33" t="str">
        <f aca="false">IF(W82="","",IFERROR(IF(ABS(ABS(W82)-ABS('QFS.10 Ans'!W82))&lt;0.5,"✓","✗"),"✗"))</f>
        <v/>
      </c>
    </row>
    <row r="83" customFormat="false" ht="17.25" hidden="false" customHeight="true" outlineLevel="0" collapsed="false">
      <c r="B83" s="24"/>
      <c r="C83" s="24"/>
      <c r="D83" s="24"/>
      <c r="E83" s="25" t="s">
        <v>52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32"/>
      <c r="X83" s="32"/>
      <c r="Y83" s="32"/>
      <c r="Z83" s="32"/>
      <c r="AA83" s="33" t="str">
        <f aca="false">IF(W83="","",IFERROR(IF(ABS(ABS(W83)-ABS('QFS.10 Ans'!W83))&lt;0.5,"✓","✗"),"✗"))</f>
        <v/>
      </c>
    </row>
    <row r="84" customFormat="false" ht="17.25" hidden="false" customHeight="true" outlineLevel="0" collapsed="false">
      <c r="B84" s="24"/>
      <c r="C84" s="24"/>
      <c r="D84" s="24"/>
      <c r="E84" s="25" t="s">
        <v>54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32"/>
      <c r="X84" s="32"/>
      <c r="Y84" s="32"/>
      <c r="Z84" s="32"/>
      <c r="AA84" s="33" t="str">
        <f aca="false">IF(W84="","",IFERROR(IF(ABS(ABS(W84)-ABS('QFS.10 Ans'!W84))&lt;0.5,"✓","✗"),"✗"))</f>
        <v/>
      </c>
    </row>
    <row r="85" customFormat="false" ht="17.25" hidden="false" customHeight="true" outlineLevel="0" collapsed="false">
      <c r="B85" s="24"/>
      <c r="C85" s="24"/>
      <c r="D85" s="24"/>
      <c r="E85" s="25" t="s">
        <v>88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32"/>
      <c r="X85" s="32"/>
      <c r="Y85" s="32"/>
      <c r="Z85" s="32"/>
      <c r="AA85" s="33" t="str">
        <f aca="false">IF(W85="","",IFERROR(IF(ABS(ABS(W85)-ABS('QFS.10 Ans'!W85))&lt;0.5,"✓","✗"),"✗"))</f>
        <v/>
      </c>
    </row>
    <row r="86" customFormat="false" ht="17.25" hidden="false" customHeight="true" outlineLevel="0" collapsed="false">
      <c r="B86" s="24"/>
      <c r="C86" s="24"/>
      <c r="D86" s="24"/>
      <c r="E86" s="25" t="s">
        <v>89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32"/>
      <c r="X86" s="32"/>
      <c r="Y86" s="32"/>
      <c r="Z86" s="32"/>
      <c r="AA86" s="33" t="str">
        <f aca="false">IF(W86="","",IFERROR(IF(ABS(ABS(W86)-ABS('QFS.10 Ans'!W86))&lt;0.5,"✓","✗"),"✗"))</f>
        <v/>
      </c>
    </row>
    <row r="87" customFormat="false" ht="17.25" hidden="false" customHeight="true" outlineLevel="0" collapsed="false">
      <c r="B87" s="24"/>
      <c r="C87" s="24"/>
      <c r="D87" s="24"/>
      <c r="E87" s="25" t="s">
        <v>223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32"/>
      <c r="X87" s="32"/>
      <c r="Y87" s="32"/>
      <c r="Z87" s="32"/>
      <c r="AA87" s="33" t="str">
        <f aca="false">IF(W87="","",IFERROR(IF(ABS(ABS(W87)-ABS('QFS.10 Ans'!W87))&lt;0.5,"✓","✗"),"✗"))</f>
        <v/>
      </c>
    </row>
    <row r="88" customFormat="false" ht="17.25" hidden="false" customHeight="true" outlineLevel="0" collapsed="false">
      <c r="B88" s="24"/>
      <c r="C88" s="24"/>
      <c r="D88" s="24"/>
      <c r="E88" s="25" t="s">
        <v>90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34"/>
      <c r="X88" s="34"/>
      <c r="Y88" s="34"/>
      <c r="Z88" s="34"/>
      <c r="AA88" s="33" t="str">
        <f aca="false">IF(W88="","",IFERROR(IF(ABS(ABS(W88)-ABS('QFS.10 Ans'!W88))&lt;0.5,"✓","✗"),"✗"))</f>
        <v/>
      </c>
      <c r="AB88" s="34"/>
      <c r="AC88" s="34"/>
      <c r="AD88" s="34"/>
      <c r="AE88" s="34"/>
      <c r="AF88" s="33" t="str">
        <f aca="false">IF(AB88="","",IFERROR(IF(ABS(ABS(AB88)-ABS('QFS.10 Ans'!AB88))&lt;0.5,"✓","✗"),"✗"))</f>
        <v/>
      </c>
    </row>
    <row r="89" customFormat="false" ht="17.25" hidden="false" customHeight="true" outlineLevel="0" collapsed="false">
      <c r="B89" s="24"/>
      <c r="C89" s="24"/>
      <c r="D89" s="24"/>
      <c r="E89" s="28" t="s">
        <v>91</v>
      </c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AB89" s="35"/>
      <c r="AC89" s="35"/>
      <c r="AD89" s="35"/>
      <c r="AE89" s="35"/>
      <c r="AF89" s="33" t="str">
        <f aca="false">IF(AB89="","",IFERROR(IF(ABS(ABS(AB89)-ABS('QFS.10 Ans'!AB89))&lt;0.5,"✓","✗"),"✗"))</f>
        <v/>
      </c>
    </row>
    <row r="91" customFormat="false" ht="18.75" hidden="false" customHeight="true" outlineLevel="0" collapsed="false">
      <c r="B91" s="3" t="s">
        <v>224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customFormat="false" ht="15" hidden="false" customHeight="false" outlineLevel="0" collapsed="false">
      <c r="B92" s="15" t="s">
        <v>221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</row>
    <row r="93" customFormat="false" ht="15" hidden="false" customHeight="false" outlineLevel="0" collapsed="false">
      <c r="B93" s="15" t="s">
        <v>225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23"/>
      <c r="C94" s="23"/>
      <c r="D94" s="23"/>
      <c r="E94" s="16" t="s">
        <v>38</v>
      </c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7" t="s">
        <v>77</v>
      </c>
      <c r="S94" s="17"/>
      <c r="T94" s="17"/>
      <c r="U94" s="17"/>
      <c r="V94" s="17"/>
      <c r="W94" s="17" t="s">
        <v>77</v>
      </c>
      <c r="X94" s="17"/>
      <c r="Y94" s="17"/>
      <c r="Z94" s="17"/>
      <c r="AA94" s="17"/>
      <c r="AB94" s="17" t="s">
        <v>77</v>
      </c>
      <c r="AC94" s="17"/>
      <c r="AD94" s="17"/>
      <c r="AE94" s="17"/>
      <c r="AF94" s="17"/>
    </row>
    <row r="95" customFormat="false" ht="30" hidden="false" customHeight="true" outlineLevel="0" collapsed="false"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11" t="s">
        <v>93</v>
      </c>
      <c r="S95" s="11"/>
      <c r="T95" s="11"/>
      <c r="U95" s="11"/>
      <c r="V95" s="11"/>
      <c r="W95" s="11" t="s">
        <v>94</v>
      </c>
      <c r="X95" s="11"/>
      <c r="Y95" s="11"/>
      <c r="Z95" s="11"/>
      <c r="AA95" s="11"/>
      <c r="AB95" s="11" t="s">
        <v>95</v>
      </c>
      <c r="AC95" s="11"/>
      <c r="AD95" s="11"/>
      <c r="AE95" s="11"/>
      <c r="AF95" s="11"/>
    </row>
    <row r="96" customFormat="false" ht="17.25" hidden="false" customHeight="true" outlineLevel="0" collapsed="false">
      <c r="B96" s="24"/>
      <c r="C96" s="24"/>
      <c r="D96" s="24"/>
      <c r="E96" s="27" t="s">
        <v>96</v>
      </c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</row>
    <row r="97" customFormat="false" ht="17.25" hidden="false" customHeight="true" outlineLevel="0" collapsed="false">
      <c r="B97" s="24"/>
      <c r="C97" s="24"/>
      <c r="D97" s="24"/>
      <c r="E97" s="25" t="s">
        <v>97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32"/>
      <c r="S97" s="32"/>
      <c r="T97" s="32"/>
      <c r="U97" s="32"/>
      <c r="V97" s="33" t="str">
        <f aca="false">IF(R97="","",IFERROR(IF(ABS(ABS(R97)-ABS('QFS.10 Ans'!R97))&lt;0.5,"✓","✗"),"✗"))</f>
        <v/>
      </c>
      <c r="W97" s="32"/>
      <c r="X97" s="32"/>
      <c r="Y97" s="32"/>
      <c r="Z97" s="32"/>
      <c r="AA97" s="33" t="str">
        <f aca="false">IF(W97="","",IFERROR(IF(ABS(ABS(W97)-ABS('QFS.10 Ans'!W97))&lt;0.5,"✓","✗"),"✗"))</f>
        <v/>
      </c>
      <c r="AB97" s="32"/>
      <c r="AC97" s="32"/>
      <c r="AD97" s="32"/>
      <c r="AE97" s="32"/>
      <c r="AF97" s="33" t="str">
        <f aca="false">IF(AB97="","",IFERROR(IF(ABS(ABS(AB97)-ABS('QFS.10 Ans'!AB97))&lt;0.5,"✓","✗"),"✗"))</f>
        <v/>
      </c>
    </row>
    <row r="98" customFormat="false" ht="17.25" hidden="false" customHeight="true" outlineLevel="0" collapsed="false">
      <c r="B98" s="24"/>
      <c r="C98" s="24"/>
      <c r="D98" s="24"/>
      <c r="E98" s="25" t="s">
        <v>98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34"/>
      <c r="S98" s="34"/>
      <c r="T98" s="34"/>
      <c r="U98" s="34"/>
      <c r="V98" s="33" t="str">
        <f aca="false">IF(R98="","",IFERROR(IF(ABS(ABS(R98)-ABS('QFS.10 Ans'!R98))&lt;0.5,"✓","✗"),"✗"))</f>
        <v/>
      </c>
      <c r="W98" s="34"/>
      <c r="X98" s="34"/>
      <c r="Y98" s="34"/>
      <c r="Z98" s="34"/>
      <c r="AA98" s="33" t="str">
        <f aca="false">IF(W98="","",IFERROR(IF(ABS(ABS(W98)-ABS('QFS.10 Ans'!W98))&lt;0.5,"✓","✗"),"✗"))</f>
        <v/>
      </c>
      <c r="AB98" s="34"/>
      <c r="AC98" s="34"/>
      <c r="AD98" s="34"/>
      <c r="AE98" s="34"/>
      <c r="AF98" s="33" t="str">
        <f aca="false">IF(AB98="","",IFERROR(IF(ABS(ABS(AB98)-ABS('QFS.10 Ans'!AB98))&lt;0.5,"✓","✗"),"✗"))</f>
        <v/>
      </c>
    </row>
    <row r="99" customFormat="false" ht="17.25" hidden="false" customHeight="true" outlineLevel="0" collapsed="false">
      <c r="B99" s="24"/>
      <c r="C99" s="24"/>
      <c r="D99" s="24"/>
      <c r="E99" s="28" t="s">
        <v>99</v>
      </c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32"/>
      <c r="S99" s="32"/>
      <c r="T99" s="32"/>
      <c r="U99" s="32"/>
      <c r="V99" s="33" t="str">
        <f aca="false">IF(R99="","",IFERROR(IF(ABS(ABS(R99)-ABS('QFS.10 Ans'!R99))&lt;0.5,"✓","✗"),"✗"))</f>
        <v/>
      </c>
      <c r="W99" s="32"/>
      <c r="X99" s="32"/>
      <c r="Y99" s="32"/>
      <c r="Z99" s="32"/>
      <c r="AA99" s="33" t="str">
        <f aca="false">IF(W99="","",IFERROR(IF(ABS(ABS(W99)-ABS('QFS.10 Ans'!W99))&lt;0.5,"✓","✗"),"✗"))</f>
        <v/>
      </c>
      <c r="AB99" s="32"/>
      <c r="AC99" s="32"/>
      <c r="AD99" s="32"/>
      <c r="AE99" s="32"/>
      <c r="AF99" s="33" t="str">
        <f aca="false">IF(AB99="","",IFERROR(IF(ABS(ABS(AB99)-ABS('QFS.10 Ans'!AB99))&lt;0.5,"✓","✗"),"✗"))</f>
        <v/>
      </c>
    </row>
    <row r="100" customFormat="false" ht="17.25" hidden="false" customHeight="true" outlineLevel="0" collapsed="false">
      <c r="B100" s="24"/>
      <c r="C100" s="24"/>
      <c r="D100" s="24"/>
      <c r="E100" s="27" t="s">
        <v>100</v>
      </c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</row>
    <row r="101" customFormat="false" ht="17.25" hidden="false" customHeight="true" outlineLevel="0" collapsed="false">
      <c r="B101" s="24"/>
      <c r="C101" s="24"/>
      <c r="D101" s="24"/>
      <c r="E101" s="25" t="s">
        <v>101</v>
      </c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W101" s="32"/>
      <c r="X101" s="32"/>
      <c r="Y101" s="32"/>
      <c r="Z101" s="32"/>
      <c r="AA101" s="33" t="str">
        <f aca="false">IF(W101="","",IFERROR(IF(ABS(ABS(W101)-ABS('QFS.10 Ans'!W101))&lt;0.5,"✓","✗"),"✗"))</f>
        <v/>
      </c>
    </row>
    <row r="102" customFormat="false" ht="17.25" hidden="false" customHeight="true" outlineLevel="0" collapsed="false">
      <c r="B102" s="24"/>
      <c r="C102" s="24"/>
      <c r="D102" s="24"/>
      <c r="E102" s="25" t="s">
        <v>58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32"/>
      <c r="S102" s="32"/>
      <c r="T102" s="32"/>
      <c r="U102" s="32"/>
      <c r="V102" s="33" t="str">
        <f aca="false">IF(R102="","",IFERROR(IF(ABS(ABS(R102)-ABS('QFS.10 Ans'!R102))&lt;0.5,"✓","✗"),"✗"))</f>
        <v/>
      </c>
    </row>
    <row r="103" customFormat="false" ht="17.25" hidden="false" customHeight="true" outlineLevel="0" collapsed="false">
      <c r="B103" s="24" t="s">
        <v>78</v>
      </c>
      <c r="C103" s="24"/>
      <c r="D103" s="24"/>
      <c r="E103" s="25" t="s">
        <v>59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34"/>
      <c r="S103" s="34"/>
      <c r="T103" s="34"/>
      <c r="U103" s="34"/>
      <c r="V103" s="33" t="str">
        <f aca="false">IF(R103="","",IFERROR(IF(ABS(ABS(R103)-ABS('QFS.10 Ans'!R103))&lt;0.5,"✓","✗"),"✗"))</f>
        <v/>
      </c>
      <c r="W103" s="32"/>
      <c r="X103" s="32"/>
      <c r="Y103" s="32"/>
      <c r="Z103" s="32"/>
      <c r="AA103" s="33" t="str">
        <f aca="false">IF(W103="","",IFERROR(IF(ABS(ABS(W103)-ABS('QFS.10 Ans'!W103))&lt;0.5,"✓","✗"),"✗"))</f>
        <v/>
      </c>
    </row>
    <row r="104" customFormat="false" ht="17.25" hidden="false" customHeight="true" outlineLevel="0" collapsed="false">
      <c r="B104" s="24"/>
      <c r="C104" s="24"/>
      <c r="D104" s="24"/>
      <c r="E104" s="25" t="s">
        <v>226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W104" s="32"/>
      <c r="X104" s="32"/>
      <c r="Y104" s="32"/>
      <c r="Z104" s="32"/>
      <c r="AA104" s="33" t="str">
        <f aca="false">IF(W104="","",IFERROR(IF(ABS(ABS(W104)-ABS('QFS.10 Ans'!W104))&lt;0.5,"✓","✗"),"✗"))</f>
        <v/>
      </c>
    </row>
    <row r="105" customFormat="false" ht="17.25" hidden="false" customHeight="true" outlineLevel="0" collapsed="false">
      <c r="B105" s="24"/>
      <c r="C105" s="24"/>
      <c r="D105" s="24"/>
      <c r="E105" s="25" t="s">
        <v>62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34"/>
      <c r="X105" s="34"/>
      <c r="Y105" s="34"/>
      <c r="Z105" s="34"/>
      <c r="AA105" s="33" t="str">
        <f aca="false">IF(W105="","",IFERROR(IF(ABS(ABS(W105)-ABS('QFS.10 Ans'!W105))&lt;0.5,"✓","✗"),"✗"))</f>
        <v/>
      </c>
    </row>
    <row r="106" customFormat="false" ht="17.25" hidden="false" customHeight="true" outlineLevel="0" collapsed="false">
      <c r="B106" s="24"/>
      <c r="C106" s="24"/>
      <c r="D106" s="24"/>
      <c r="E106" s="28" t="s">
        <v>103</v>
      </c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W106" s="32"/>
      <c r="X106" s="32"/>
      <c r="Y106" s="32"/>
      <c r="Z106" s="32"/>
      <c r="AA106" s="33" t="str">
        <f aca="false">IF(W106="","",IFERROR(IF(ABS(ABS(W106)-ABS('QFS.10 Ans'!W106))&lt;0.5,"✓","✗"),"✗"))</f>
        <v/>
      </c>
    </row>
    <row r="107" customFormat="false" ht="17.25" hidden="false" customHeight="true" outlineLevel="0" collapsed="false">
      <c r="B107" s="24" t="s">
        <v>78</v>
      </c>
      <c r="C107" s="24"/>
      <c r="D107" s="24"/>
      <c r="E107" s="27" t="s">
        <v>104</v>
      </c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</row>
    <row r="108" customFormat="false" ht="17.25" hidden="false" customHeight="true" outlineLevel="0" collapsed="false">
      <c r="B108" s="24"/>
      <c r="C108" s="24"/>
      <c r="D108" s="24"/>
      <c r="E108" s="25" t="s">
        <v>60</v>
      </c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W108" s="32"/>
      <c r="X108" s="32"/>
      <c r="Y108" s="32"/>
      <c r="Z108" s="32"/>
      <c r="AA108" s="33" t="str">
        <f aca="false">IF(W108="","",IFERROR(IF(ABS(ABS(W108)-ABS('QFS.10 Ans'!W108))&lt;0.5,"✓","✗"),"✗"))</f>
        <v/>
      </c>
    </row>
    <row r="109" customFormat="false" ht="17.25" hidden="false" customHeight="true" outlineLevel="0" collapsed="false">
      <c r="B109" s="24"/>
      <c r="C109" s="24"/>
      <c r="D109" s="24"/>
      <c r="E109" s="25" t="s">
        <v>227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32"/>
      <c r="X109" s="32"/>
      <c r="Y109" s="32"/>
      <c r="Z109" s="32"/>
      <c r="AA109" s="33" t="str">
        <f aca="false">IF(W109="","",IFERROR(IF(ABS(ABS(W109)-ABS('QFS.10 Ans'!W109))&lt;0.5,"✓","✗"),"✗"))</f>
        <v/>
      </c>
    </row>
    <row r="110" customFormat="false" ht="17.25" hidden="false" customHeight="true" outlineLevel="0" collapsed="false">
      <c r="B110" s="24"/>
      <c r="C110" s="24"/>
      <c r="D110" s="24"/>
      <c r="E110" s="25" t="s">
        <v>194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34"/>
      <c r="X110" s="34"/>
      <c r="Y110" s="34"/>
      <c r="Z110" s="34"/>
      <c r="AA110" s="33" t="str">
        <f aca="false">IF(W110="","",IFERROR(IF(ABS(ABS(W110)-ABS('QFS.10 Ans'!W110))&lt;0.5,"✓","✗"),"✗"))</f>
        <v/>
      </c>
    </row>
    <row r="111" customFormat="false" ht="17.25" hidden="false" customHeight="true" outlineLevel="0" collapsed="false">
      <c r="B111" s="24"/>
      <c r="C111" s="24"/>
      <c r="D111" s="24"/>
      <c r="E111" s="28" t="s">
        <v>106</v>
      </c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W111" s="34"/>
      <c r="X111" s="34"/>
      <c r="Y111" s="34"/>
      <c r="Z111" s="34"/>
      <c r="AA111" s="33" t="str">
        <f aca="false">IF(W111="","",IFERROR(IF(ABS(ABS(W111)-ABS('QFS.10 Ans'!W111))&lt;0.5,"✓","✗"),"✗"))</f>
        <v/>
      </c>
    </row>
    <row r="112" customFormat="false" ht="17.25" hidden="false" customHeight="true" outlineLevel="0" collapsed="false">
      <c r="B112" s="24"/>
      <c r="C112" s="24"/>
      <c r="D112" s="24"/>
      <c r="E112" s="25" t="s">
        <v>107</v>
      </c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AB112" s="34"/>
      <c r="AC112" s="34"/>
      <c r="AD112" s="34"/>
      <c r="AE112" s="34"/>
      <c r="AF112" s="33" t="str">
        <f aca="false">IF(AB112="","",IFERROR(IF(ABS(ABS(AB112)-ABS('QFS.10 Ans'!AB112))&lt;0.5,"✓","✗"),"✗"))</f>
        <v/>
      </c>
    </row>
    <row r="113" customFormat="false" ht="17.25" hidden="false" customHeight="true" outlineLevel="0" collapsed="false">
      <c r="B113" s="24"/>
      <c r="C113" s="24"/>
      <c r="D113" s="24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32"/>
      <c r="AC113" s="32"/>
      <c r="AD113" s="32"/>
      <c r="AE113" s="32"/>
      <c r="AF113" s="33" t="str">
        <f aca="false">IF(AB113="","",IFERROR(IF(ABS(ABS(AB113)-ABS('QFS.10 Ans'!AB113))&lt;0.5,"✓","✗"),"✗"))</f>
        <v/>
      </c>
    </row>
    <row r="114" customFormat="false" ht="17.25" hidden="false" customHeight="true" outlineLevel="0" collapsed="false">
      <c r="B114" s="24" t="s">
        <v>78</v>
      </c>
      <c r="C114" s="24"/>
      <c r="D114" s="24"/>
      <c r="E114" s="27" t="s">
        <v>108</v>
      </c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</row>
    <row r="115" customFormat="false" ht="17.25" hidden="false" customHeight="true" outlineLevel="0" collapsed="false">
      <c r="B115" s="24"/>
      <c r="C115" s="24"/>
      <c r="D115" s="24"/>
      <c r="E115" s="25" t="s">
        <v>147</v>
      </c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AB115" s="34"/>
      <c r="AC115" s="34"/>
      <c r="AD115" s="34"/>
      <c r="AE115" s="34"/>
      <c r="AF115" s="33" t="str">
        <f aca="false">IF(AB115="","",IFERROR(IF(ABS(ABS(AB115)-ABS('QFS.10 Ans'!AB115))&lt;0.5,"✓","✗"),"✗"))</f>
        <v/>
      </c>
    </row>
    <row r="116" customFormat="false" ht="17.25" hidden="false" customHeight="true" outlineLevel="0" collapsed="false">
      <c r="B116" s="24"/>
      <c r="C116" s="24"/>
      <c r="D116" s="24"/>
      <c r="E116" s="28" t="s">
        <v>109</v>
      </c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AB116" s="35"/>
      <c r="AC116" s="35"/>
      <c r="AD116" s="35"/>
      <c r="AE116" s="35"/>
      <c r="AF116" s="33" t="str">
        <f aca="false">IF(AB116="","",IFERROR(IF(ABS(ABS(AB116)-ABS('QFS.10 Ans'!AB116))&lt;0.5,"✓","✗"),"✗"))</f>
        <v/>
      </c>
    </row>
    <row r="117" customFormat="false" ht="17.25" hidden="false" customHeight="true" outlineLevel="0" collapsed="false">
      <c r="B117" s="24"/>
      <c r="C117" s="24"/>
      <c r="D117" s="24"/>
      <c r="E117" s="27" t="s">
        <v>110</v>
      </c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</row>
    <row r="118" customFormat="false" ht="17.25" hidden="false" customHeight="true" outlineLevel="0" collapsed="false">
      <c r="B118" s="24"/>
      <c r="C118" s="24"/>
      <c r="D118" s="24"/>
      <c r="E118" s="25" t="s">
        <v>111</v>
      </c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AB118" s="32"/>
      <c r="AC118" s="32"/>
      <c r="AD118" s="32"/>
      <c r="AE118" s="32"/>
      <c r="AF118" s="33" t="str">
        <f aca="false">IF(AB118="","",IFERROR(IF(ABS(ABS(AB118)-ABS('QFS.10 Ans'!AB118))&lt;0.5,"✓","✗"),"✗"))</f>
        <v/>
      </c>
    </row>
    <row r="119" customFormat="false" ht="17.25" hidden="false" customHeight="true" outlineLevel="0" collapsed="false">
      <c r="B119" s="24" t="s">
        <v>82</v>
      </c>
      <c r="C119" s="24"/>
      <c r="D119" s="24"/>
      <c r="E119" s="25" t="s">
        <v>91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34"/>
      <c r="AC119" s="34"/>
      <c r="AD119" s="34"/>
      <c r="AE119" s="34"/>
      <c r="AF119" s="33" t="str">
        <f aca="false">IF(AB119="","",IFERROR(IF(ABS(ABS(AB119)-ABS('QFS.10 Ans'!AB119))&lt;0.5,"✓","✗"),"✗"))</f>
        <v/>
      </c>
    </row>
    <row r="120" customFormat="false" ht="17.25" hidden="false" customHeight="true" outlineLevel="0" collapsed="false">
      <c r="B120" s="24"/>
      <c r="C120" s="24"/>
      <c r="D120" s="24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32"/>
      <c r="AC120" s="32"/>
      <c r="AD120" s="32"/>
      <c r="AE120" s="32"/>
      <c r="AF120" s="33" t="str">
        <f aca="false">IF(AB120="","",IFERROR(IF(ABS(ABS(AB120)-ABS('QFS.10 Ans'!AB120))&lt;0.5,"✓","✗"),"✗"))</f>
        <v/>
      </c>
    </row>
    <row r="121" customFormat="false" ht="17.25" hidden="false" customHeight="true" outlineLevel="0" collapsed="false">
      <c r="B121" s="24" t="s">
        <v>78</v>
      </c>
      <c r="C121" s="24"/>
      <c r="D121" s="24"/>
      <c r="E121" s="25" t="s">
        <v>65</v>
      </c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34"/>
      <c r="AC121" s="34"/>
      <c r="AD121" s="34"/>
      <c r="AE121" s="34"/>
      <c r="AF121" s="33" t="str">
        <f aca="false">IF(AB121="","",IFERROR(IF(ABS(ABS(AB121)-ABS('QFS.10 Ans'!AB121))&lt;0.5,"✓","✗"),"✗"))</f>
        <v/>
      </c>
    </row>
    <row r="122" customFormat="false" ht="17.25" hidden="false" customHeight="true" outlineLevel="0" collapsed="false">
      <c r="B122" s="24"/>
      <c r="C122" s="24"/>
      <c r="D122" s="24"/>
      <c r="E122" s="28" t="s">
        <v>112</v>
      </c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AB122" s="35"/>
      <c r="AC122" s="35"/>
      <c r="AD122" s="35"/>
      <c r="AE122" s="35"/>
      <c r="AF122" s="33" t="str">
        <f aca="false">IF(AB122="","",IFERROR(IF(ABS(ABS(AB122)-ABS('QFS.10 Ans'!AB122))&lt;0.5,"✓","✗"),"✗"))</f>
        <v/>
      </c>
    </row>
  </sheetData>
  <mergeCells count="325">
    <mergeCell ref="B1:AF1"/>
    <mergeCell ref="B2:AF2"/>
    <mergeCell ref="B3:G3"/>
    <mergeCell ref="H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E54:K54"/>
    <mergeCell ref="M54:O54"/>
    <mergeCell ref="R54:T54"/>
    <mergeCell ref="U54:AA54"/>
    <mergeCell ref="AC54:AE54"/>
    <mergeCell ref="R55:T55"/>
    <mergeCell ref="U55:AA55"/>
    <mergeCell ref="AC55:AE55"/>
    <mergeCell ref="R56:T56"/>
    <mergeCell ref="U56:AA56"/>
    <mergeCell ref="AC56:AE56"/>
    <mergeCell ref="M57:O57"/>
    <mergeCell ref="AC57:AE57"/>
    <mergeCell ref="B59:AF59"/>
    <mergeCell ref="B60:AF60"/>
    <mergeCell ref="B61:AF61"/>
    <mergeCell ref="B62:D62"/>
    <mergeCell ref="E62:Q62"/>
    <mergeCell ref="R62:V62"/>
    <mergeCell ref="W62:AA62"/>
    <mergeCell ref="AB62:AF62"/>
    <mergeCell ref="B63:D63"/>
    <mergeCell ref="E63:Q63"/>
    <mergeCell ref="AB63:AE63"/>
    <mergeCell ref="B64:D64"/>
    <mergeCell ref="E64:Q64"/>
    <mergeCell ref="AB64:AE64"/>
    <mergeCell ref="B65:D65"/>
    <mergeCell ref="E65:Q65"/>
    <mergeCell ref="AB65:AE65"/>
    <mergeCell ref="B66:D66"/>
    <mergeCell ref="E66:Q66"/>
    <mergeCell ref="B67:D67"/>
    <mergeCell ref="E67:Q67"/>
    <mergeCell ref="W67:Z67"/>
    <mergeCell ref="B68:D68"/>
    <mergeCell ref="E68:Q68"/>
    <mergeCell ref="R68:U68"/>
    <mergeCell ref="B69:D69"/>
    <mergeCell ref="E69:Q69"/>
    <mergeCell ref="R69:U69"/>
    <mergeCell ref="B70:D70"/>
    <mergeCell ref="E70:Q70"/>
    <mergeCell ref="R70:U70"/>
    <mergeCell ref="W70:Z70"/>
    <mergeCell ref="B71:D71"/>
    <mergeCell ref="E71:Q71"/>
    <mergeCell ref="W71:Z71"/>
    <mergeCell ref="B72:D72"/>
    <mergeCell ref="E72:Q72"/>
    <mergeCell ref="W72:Z72"/>
    <mergeCell ref="AB72:AE72"/>
    <mergeCell ref="B73:D73"/>
    <mergeCell ref="E73:Q73"/>
    <mergeCell ref="AB73:AE73"/>
    <mergeCell ref="B74:D74"/>
    <mergeCell ref="E74:Q74"/>
    <mergeCell ref="B75:D75"/>
    <mergeCell ref="E75:Q75"/>
    <mergeCell ref="W75:Z75"/>
    <mergeCell ref="B76:D76"/>
    <mergeCell ref="E76:Q76"/>
    <mergeCell ref="W76:Z76"/>
    <mergeCell ref="AB76:AE76"/>
    <mergeCell ref="B77:D77"/>
    <mergeCell ref="E77:Q77"/>
    <mergeCell ref="AB77:AE77"/>
    <mergeCell ref="B78:D78"/>
    <mergeCell ref="E78:Q78"/>
    <mergeCell ref="B79:D79"/>
    <mergeCell ref="E79:Q79"/>
    <mergeCell ref="W79:Z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AB88:AE88"/>
    <mergeCell ref="B89:D89"/>
    <mergeCell ref="E89:Q89"/>
    <mergeCell ref="AB89:AE89"/>
    <mergeCell ref="B91:AF91"/>
    <mergeCell ref="B92:AF92"/>
    <mergeCell ref="B93:AF93"/>
    <mergeCell ref="B94:D94"/>
    <mergeCell ref="E94:Q94"/>
    <mergeCell ref="R94:V94"/>
    <mergeCell ref="W94:AA94"/>
    <mergeCell ref="AB94:AF94"/>
    <mergeCell ref="B95:D95"/>
    <mergeCell ref="E95:Q95"/>
    <mergeCell ref="R95:V95"/>
    <mergeCell ref="W95:AA95"/>
    <mergeCell ref="AB95:AF95"/>
    <mergeCell ref="B96:D96"/>
    <mergeCell ref="E96:Q96"/>
    <mergeCell ref="B97:D97"/>
    <mergeCell ref="E97:Q97"/>
    <mergeCell ref="R97:U97"/>
    <mergeCell ref="W97:Z97"/>
    <mergeCell ref="AB97:AE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B101:D101"/>
    <mergeCell ref="E101:Q101"/>
    <mergeCell ref="W101:Z101"/>
    <mergeCell ref="B102:D102"/>
    <mergeCell ref="E102:Q102"/>
    <mergeCell ref="R102:U102"/>
    <mergeCell ref="B103:D103"/>
    <mergeCell ref="E103:Q103"/>
    <mergeCell ref="R103:U103"/>
    <mergeCell ref="W103:Z103"/>
    <mergeCell ref="B104:D104"/>
    <mergeCell ref="E104:Q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B108:D108"/>
    <mergeCell ref="E108:Q108"/>
    <mergeCell ref="W108:Z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AB112:AE112"/>
    <mergeCell ref="B113:D113"/>
    <mergeCell ref="E113:Q113"/>
    <mergeCell ref="AB113:AE113"/>
    <mergeCell ref="B114:D114"/>
    <mergeCell ref="E114:Q114"/>
    <mergeCell ref="B115:D115"/>
    <mergeCell ref="E115:Q115"/>
    <mergeCell ref="AB115:AE115"/>
    <mergeCell ref="B116:D116"/>
    <mergeCell ref="E116:Q116"/>
    <mergeCell ref="AB116:AE116"/>
    <mergeCell ref="B117:D117"/>
    <mergeCell ref="E117:Q117"/>
    <mergeCell ref="B118:D118"/>
    <mergeCell ref="E118:Q118"/>
    <mergeCell ref="AB118:AE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</mergeCells>
  <conditionalFormatting sqref="B4:AG12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117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119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46" t="n">
        <f aca="false">'QFS.6'!X7</f>
        <v>60000</v>
      </c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120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6" t="n">
        <f aca="false">'QFS.6'!X8</f>
        <v>1000</v>
      </c>
      <c r="Y8" s="46"/>
      <c r="Z8" s="46"/>
      <c r="AA8" s="46"/>
      <c r="AB8" s="46"/>
      <c r="AC8" s="46"/>
    </row>
    <row r="9" customFormat="false" ht="16.5" hidden="false" customHeight="true" outlineLevel="0" collapsed="false">
      <c r="B9" s="12" t="s">
        <v>121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'QFS.6'!X9</f>
        <v>38000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122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'QFS.6'!X10</f>
        <v>800</v>
      </c>
      <c r="Y10" s="46"/>
      <c r="Z10" s="46"/>
      <c r="AA10" s="46"/>
      <c r="AB10" s="46"/>
      <c r="AC10" s="46"/>
    </row>
    <row r="11" customFormat="false" ht="16.5" hidden="false" customHeight="true" outlineLevel="0" collapsed="false">
      <c r="B11" s="12" t="s">
        <v>123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6" t="n">
        <f aca="false">'QFS.6'!X11</f>
        <v>500</v>
      </c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124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'QFS.6'!X12</f>
        <v>4500</v>
      </c>
      <c r="Y12" s="46"/>
      <c r="Z12" s="46"/>
      <c r="AA12" s="46"/>
      <c r="AB12" s="46"/>
      <c r="AC12" s="46"/>
    </row>
    <row r="13" customFormat="false" ht="16.5" hidden="false" customHeight="true" outlineLevel="0" collapsed="false">
      <c r="B13" s="12" t="s">
        <v>125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6" t="n">
        <f aca="false">'QFS.6'!X13</f>
        <v>5200</v>
      </c>
      <c r="Y13" s="46"/>
      <c r="Z13" s="46"/>
      <c r="AA13" s="46"/>
      <c r="AB13" s="46"/>
      <c r="AC13" s="46"/>
    </row>
    <row r="16" customFormat="false" ht="18.75" hidden="false" customHeight="true" outlineLevel="0" collapsed="false">
      <c r="B16" s="3" t="s">
        <v>126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5" hidden="false" customHeight="false" outlineLevel="0" collapsed="false">
      <c r="B17" s="15" t="s">
        <v>127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</row>
    <row r="18" customFormat="false" ht="15" hidden="false" customHeight="false" outlineLevel="0" collapsed="false">
      <c r="B18" s="15" t="s">
        <v>128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</row>
    <row r="19" customFormat="false" ht="15" hidden="false" customHeight="false" outlineLevel="0" collapsed="false">
      <c r="B19" s="23"/>
      <c r="C19" s="23"/>
      <c r="D19" s="23"/>
      <c r="E19" s="16" t="s">
        <v>38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 t="s">
        <v>77</v>
      </c>
      <c r="S19" s="17"/>
      <c r="T19" s="17"/>
      <c r="U19" s="17"/>
      <c r="V19" s="17"/>
      <c r="W19" s="17" t="s">
        <v>77</v>
      </c>
      <c r="X19" s="17"/>
      <c r="Y19" s="17"/>
      <c r="Z19" s="17"/>
      <c r="AA19" s="17"/>
      <c r="AB19" s="17" t="s">
        <v>77</v>
      </c>
      <c r="AC19" s="17"/>
      <c r="AD19" s="17"/>
      <c r="AE19" s="17"/>
      <c r="AF19" s="17"/>
    </row>
    <row r="20" customFormat="false" ht="17.25" hidden="false" customHeight="true" outlineLevel="0" collapsed="false">
      <c r="B20" s="24"/>
      <c r="C20" s="24"/>
      <c r="D20" s="24"/>
      <c r="E20" s="25" t="s">
        <v>41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AB20" s="47" t="n">
        <f aca="false">$X$7</f>
        <v>60000</v>
      </c>
      <c r="AC20" s="47"/>
      <c r="AD20" s="47"/>
      <c r="AE20" s="47"/>
    </row>
    <row r="21" customFormat="false" ht="17.25" hidden="false" customHeight="true" outlineLevel="0" collapsed="false">
      <c r="B21" s="24" t="s">
        <v>78</v>
      </c>
      <c r="C21" s="24"/>
      <c r="D21" s="24"/>
      <c r="E21" s="25" t="s">
        <v>43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AB21" s="48" t="n">
        <f aca="false">-($X$8)</f>
        <v>-1000</v>
      </c>
      <c r="AC21" s="48"/>
      <c r="AD21" s="48"/>
      <c r="AE21" s="48"/>
    </row>
    <row r="22" customFormat="false" ht="17.25" hidden="false" customHeight="true" outlineLevel="0" collapsed="false">
      <c r="B22" s="24"/>
      <c r="C22" s="24"/>
      <c r="D22" s="24"/>
      <c r="E22" s="25" t="s">
        <v>79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AB22" s="47" t="n">
        <f aca="false">$AB$20+$AB$21</f>
        <v>59000</v>
      </c>
      <c r="AC22" s="47"/>
      <c r="AD22" s="47"/>
      <c r="AE22" s="47"/>
    </row>
    <row r="23" customFormat="false" ht="17.25" hidden="false" customHeight="true" outlineLevel="0" collapsed="false">
      <c r="B23" s="24" t="s">
        <v>78</v>
      </c>
      <c r="C23" s="24"/>
      <c r="D23" s="24"/>
      <c r="E23" s="27" t="s">
        <v>80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customFormat="false" ht="17.25" hidden="false" customHeight="true" outlineLevel="0" collapsed="false">
      <c r="B24" s="24"/>
      <c r="C24" s="24"/>
      <c r="D24" s="24"/>
      <c r="E24" s="25" t="s">
        <v>81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W24" s="47" t="n">
        <f aca="false">$X$12</f>
        <v>4500</v>
      </c>
      <c r="X24" s="47"/>
      <c r="Y24" s="47"/>
      <c r="Z24" s="47"/>
    </row>
    <row r="25" customFormat="false" ht="17.25" hidden="false" customHeight="true" outlineLevel="0" collapsed="false">
      <c r="B25" s="24" t="s">
        <v>82</v>
      </c>
      <c r="C25" s="24"/>
      <c r="D25" s="24"/>
      <c r="E25" s="25" t="s">
        <v>42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47" t="n">
        <f aca="false">$X$9</f>
        <v>38000</v>
      </c>
      <c r="S25" s="47"/>
      <c r="T25" s="47"/>
      <c r="U25" s="47"/>
    </row>
    <row r="26" customFormat="false" ht="17.25" hidden="false" customHeight="true" outlineLevel="0" collapsed="false">
      <c r="B26" s="24" t="s">
        <v>78</v>
      </c>
      <c r="C26" s="24"/>
      <c r="D26" s="24"/>
      <c r="E26" s="25" t="s">
        <v>44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47" t="n">
        <f aca="false">-($X$10)</f>
        <v>-800</v>
      </c>
      <c r="S26" s="47"/>
      <c r="T26" s="47"/>
      <c r="U26" s="47"/>
    </row>
    <row r="27" customFormat="false" ht="17.25" hidden="false" customHeight="true" outlineLevel="0" collapsed="false">
      <c r="B27" s="24" t="s">
        <v>82</v>
      </c>
      <c r="C27" s="24"/>
      <c r="D27" s="24"/>
      <c r="E27" s="25" t="s">
        <v>45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48" t="n">
        <f aca="false">$X$11</f>
        <v>500</v>
      </c>
      <c r="S27" s="48"/>
      <c r="T27" s="48"/>
      <c r="U27" s="48"/>
      <c r="W27" s="48" t="n">
        <f aca="false">$R$25+$R$26+$R$27</f>
        <v>37700</v>
      </c>
      <c r="X27" s="48"/>
      <c r="Y27" s="48"/>
      <c r="Z27" s="48"/>
    </row>
    <row r="28" customFormat="false" ht="17.25" hidden="false" customHeight="true" outlineLevel="0" collapsed="false">
      <c r="B28" s="24"/>
      <c r="C28" s="24"/>
      <c r="D28" s="24"/>
      <c r="E28" s="25" t="s">
        <v>83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W28" s="47" t="n">
        <f aca="false">$W$24+$W$27</f>
        <v>42200</v>
      </c>
      <c r="X28" s="47"/>
      <c r="Y28" s="47"/>
      <c r="Z28" s="47"/>
    </row>
    <row r="29" customFormat="false" ht="17.25" hidden="false" customHeight="true" outlineLevel="0" collapsed="false">
      <c r="B29" s="24" t="s">
        <v>78</v>
      </c>
      <c r="C29" s="24"/>
      <c r="D29" s="24"/>
      <c r="E29" s="25" t="s">
        <v>84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W29" s="48" t="n">
        <f aca="false">-($X$13)</f>
        <v>-5200</v>
      </c>
      <c r="X29" s="48"/>
      <c r="Y29" s="48"/>
      <c r="Z29" s="48"/>
      <c r="AB29" s="48" t="n">
        <f aca="false">-($W$28+$W$29)</f>
        <v>-37000</v>
      </c>
      <c r="AC29" s="48"/>
      <c r="AD29" s="48"/>
      <c r="AE29" s="48"/>
    </row>
    <row r="30" customFormat="false" ht="17.25" hidden="false" customHeight="true" outlineLevel="0" collapsed="false">
      <c r="B30" s="24"/>
      <c r="C30" s="24"/>
      <c r="D30" s="24"/>
      <c r="E30" s="28" t="s">
        <v>85</v>
      </c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AB30" s="49" t="n">
        <f aca="false">$AB$22+$AB$29</f>
        <v>22000</v>
      </c>
      <c r="AC30" s="49"/>
      <c r="AD30" s="49"/>
      <c r="AE30" s="49"/>
    </row>
    <row r="32" customFormat="false" ht="18.75" hidden="false" customHeight="true" outlineLevel="0" collapsed="false">
      <c r="B32" s="3" t="s">
        <v>129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6.5" hidden="false" customHeight="true" outlineLevel="0" collapsed="false">
      <c r="B33" s="50" t="s">
        <v>231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</row>
    <row r="34" customFormat="false" ht="16.5" hidden="false" customHeight="true" outlineLevel="0" collapsed="false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</row>
  </sheetData>
  <mergeCells count="64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AF17"/>
    <mergeCell ref="B18:AF18"/>
    <mergeCell ref="B19:D19"/>
    <mergeCell ref="E19:Q19"/>
    <mergeCell ref="R19:V19"/>
    <mergeCell ref="W19:AA19"/>
    <mergeCell ref="AB19:AF19"/>
    <mergeCell ref="B20:D20"/>
    <mergeCell ref="E20:Q20"/>
    <mergeCell ref="AB20:AE20"/>
    <mergeCell ref="B21:D21"/>
    <mergeCell ref="E21:Q21"/>
    <mergeCell ref="AB21:AE21"/>
    <mergeCell ref="B22:D22"/>
    <mergeCell ref="E22:Q22"/>
    <mergeCell ref="AB22:AE22"/>
    <mergeCell ref="B23:D23"/>
    <mergeCell ref="E23:Q23"/>
    <mergeCell ref="B24:D24"/>
    <mergeCell ref="E24:Q24"/>
    <mergeCell ref="W24:Z24"/>
    <mergeCell ref="B25:D25"/>
    <mergeCell ref="E25:Q25"/>
    <mergeCell ref="R25:U25"/>
    <mergeCell ref="B26:D26"/>
    <mergeCell ref="E26:Q26"/>
    <mergeCell ref="R26:U26"/>
    <mergeCell ref="B27:D27"/>
    <mergeCell ref="E27:Q27"/>
    <mergeCell ref="R27:U27"/>
    <mergeCell ref="W27:Z27"/>
    <mergeCell ref="B28:D28"/>
    <mergeCell ref="E28:Q28"/>
    <mergeCell ref="W28:Z28"/>
    <mergeCell ref="B29:D29"/>
    <mergeCell ref="E29:Q29"/>
    <mergeCell ref="W29:Z29"/>
    <mergeCell ref="AB29:AE29"/>
    <mergeCell ref="B30:D30"/>
    <mergeCell ref="E30:Q30"/>
    <mergeCell ref="AB30:AE30"/>
    <mergeCell ref="B32:AF32"/>
    <mergeCell ref="B33:AF34"/>
  </mergeCells>
  <conditionalFormatting sqref="B1:AG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131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6" t="s">
        <v>118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 t="s">
        <v>68</v>
      </c>
      <c r="Y6" s="17"/>
      <c r="Z6" s="17"/>
      <c r="AA6" s="17"/>
      <c r="AB6" s="17"/>
      <c r="AC6" s="17"/>
    </row>
    <row r="7" customFormat="false" ht="16.5" hidden="false" customHeight="true" outlineLevel="0" collapsed="false">
      <c r="B7" s="12" t="s">
        <v>132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46" t="n">
        <f aca="false">'QFS.7'!X7</f>
        <v>50000</v>
      </c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133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6" t="n">
        <f aca="false">'QFS.7'!X8</f>
        <v>15000</v>
      </c>
      <c r="Y8" s="46"/>
      <c r="Z8" s="46"/>
      <c r="AA8" s="46"/>
      <c r="AB8" s="46"/>
      <c r="AC8" s="46"/>
    </row>
    <row r="9" customFormat="false" ht="16.5" hidden="false" customHeight="true" outlineLevel="0" collapsed="false">
      <c r="B9" s="12" t="s">
        <v>134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6" t="n">
        <f aca="false">'QFS.7'!X9</f>
        <v>5000</v>
      </c>
      <c r="Y9" s="46"/>
      <c r="Z9" s="46"/>
      <c r="AA9" s="46"/>
      <c r="AB9" s="46"/>
      <c r="AC9" s="46"/>
    </row>
    <row r="10" customFormat="false" ht="16.5" hidden="false" customHeight="true" outlineLevel="0" collapsed="false">
      <c r="B10" s="12" t="s">
        <v>135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6" t="n">
        <f aca="false">'QFS.7'!X10</f>
        <v>6000</v>
      </c>
      <c r="Y10" s="46"/>
      <c r="Z10" s="46"/>
      <c r="AA10" s="46"/>
      <c r="AB10" s="46"/>
      <c r="AC10" s="46"/>
    </row>
    <row r="11" customFormat="false" ht="16.5" hidden="false" customHeight="true" outlineLevel="0" collapsed="false">
      <c r="B11" s="12" t="s">
        <v>136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6" t="n">
        <f aca="false">'QFS.7'!X11</f>
        <v>7500</v>
      </c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137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6" t="n">
        <f aca="false">'QFS.7'!X12</f>
        <v>2300</v>
      </c>
      <c r="Y12" s="46"/>
      <c r="Z12" s="46"/>
      <c r="AA12" s="46"/>
      <c r="AB12" s="46"/>
      <c r="AC12" s="46"/>
    </row>
    <row r="13" customFormat="false" ht="16.5" hidden="false" customHeight="true" outlineLevel="0" collapsed="false">
      <c r="B13" s="12" t="s">
        <v>138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6" t="n">
        <f aca="false">'QFS.7'!X13</f>
        <v>200</v>
      </c>
      <c r="Y13" s="46"/>
      <c r="Z13" s="46"/>
      <c r="AA13" s="46"/>
      <c r="AB13" s="46"/>
      <c r="AC13" s="46"/>
    </row>
    <row r="14" customFormat="false" ht="16.5" hidden="false" customHeight="true" outlineLevel="0" collapsed="false">
      <c r="B14" s="12" t="s">
        <v>139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6" t="n">
        <f aca="false">'QFS.7'!X14</f>
        <v>4800</v>
      </c>
      <c r="Y14" s="46"/>
      <c r="Z14" s="46"/>
      <c r="AA14" s="46"/>
      <c r="AB14" s="46"/>
      <c r="AC14" s="46"/>
    </row>
    <row r="15" customFormat="false" ht="16.5" hidden="false" customHeight="true" outlineLevel="0" collapsed="false">
      <c r="B15" s="12" t="s">
        <v>140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46" t="n">
        <f aca="false">'QFS.7'!X15</f>
        <v>10000</v>
      </c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141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6" t="n">
        <f aca="false">'QFS.7'!X16</f>
        <v>55000</v>
      </c>
      <c r="Y16" s="46"/>
      <c r="Z16" s="46"/>
      <c r="AA16" s="46"/>
      <c r="AB16" s="46"/>
      <c r="AC16" s="46"/>
    </row>
    <row r="17" customFormat="false" ht="16.5" hidden="false" customHeight="true" outlineLevel="0" collapsed="false">
      <c r="B17" s="12" t="s">
        <v>142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6" t="n">
        <f aca="false">'QFS.7'!X17</f>
        <v>14200</v>
      </c>
      <c r="Y17" s="46"/>
      <c r="Z17" s="46"/>
      <c r="AA17" s="46"/>
      <c r="AB17" s="46"/>
      <c r="AC17" s="46"/>
    </row>
    <row r="18" customFormat="false" ht="16.5" hidden="false" customHeight="true" outlineLevel="0" collapsed="false">
      <c r="B18" s="12" t="s">
        <v>143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46" t="n">
        <f aca="false">'QFS.7'!X18</f>
        <v>8000</v>
      </c>
      <c r="Y18" s="46"/>
      <c r="Z18" s="46"/>
      <c r="AA18" s="46"/>
      <c r="AB18" s="46"/>
      <c r="AC18" s="46"/>
    </row>
    <row r="21" customFormat="false" ht="18.75" hidden="false" customHeight="true" outlineLevel="0" collapsed="false">
      <c r="B21" s="3" t="s">
        <v>144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customFormat="false" ht="15" hidden="false" customHeight="false" outlineLevel="0" collapsed="false">
      <c r="B22" s="15" t="s">
        <v>145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</row>
    <row r="23" customFormat="false" ht="15" hidden="false" customHeight="false" outlineLevel="0" collapsed="false">
      <c r="B23" s="15" t="s">
        <v>92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customFormat="false" ht="15" hidden="false" customHeight="false" outlineLevel="0" collapsed="false">
      <c r="B24" s="23"/>
      <c r="C24" s="23"/>
      <c r="D24" s="23"/>
      <c r="E24" s="16" t="s">
        <v>38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 t="s">
        <v>77</v>
      </c>
      <c r="S24" s="17"/>
      <c r="T24" s="17"/>
      <c r="U24" s="17"/>
      <c r="V24" s="17"/>
      <c r="W24" s="17" t="s">
        <v>77</v>
      </c>
      <c r="X24" s="17"/>
      <c r="Y24" s="17"/>
      <c r="Z24" s="17"/>
      <c r="AA24" s="17"/>
      <c r="AB24" s="17" t="s">
        <v>77</v>
      </c>
      <c r="AC24" s="17"/>
      <c r="AD24" s="17"/>
      <c r="AE24" s="17"/>
      <c r="AF24" s="17"/>
    </row>
    <row r="25" customFormat="false" ht="30" hidden="false" customHeight="true" outlineLevel="0" collapsed="false"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11" t="s">
        <v>93</v>
      </c>
      <c r="S25" s="11"/>
      <c r="T25" s="11"/>
      <c r="U25" s="11"/>
      <c r="V25" s="11"/>
      <c r="W25" s="11" t="s">
        <v>94</v>
      </c>
      <c r="X25" s="11"/>
      <c r="Y25" s="11"/>
      <c r="Z25" s="11"/>
      <c r="AA25" s="11"/>
      <c r="AB25" s="11" t="s">
        <v>95</v>
      </c>
      <c r="AC25" s="11"/>
      <c r="AD25" s="11"/>
      <c r="AE25" s="11"/>
      <c r="AF25" s="11"/>
    </row>
    <row r="26" customFormat="false" ht="17.25" hidden="false" customHeight="true" outlineLevel="0" collapsed="false">
      <c r="B26" s="24"/>
      <c r="C26" s="24"/>
      <c r="D26" s="24"/>
      <c r="E26" s="27" t="s">
        <v>96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customFormat="false" ht="17.25" hidden="false" customHeight="true" outlineLevel="0" collapsed="false">
      <c r="B27" s="24"/>
      <c r="C27" s="24"/>
      <c r="D27" s="24"/>
      <c r="E27" s="25" t="s">
        <v>97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47" t="n">
        <f aca="false">$X$7</f>
        <v>50000</v>
      </c>
      <c r="S27" s="47"/>
      <c r="T27" s="47"/>
      <c r="U27" s="47"/>
      <c r="W27" s="47" t="n">
        <f aca="false">0</f>
        <v>0</v>
      </c>
      <c r="X27" s="47"/>
      <c r="Y27" s="47"/>
      <c r="Z27" s="47"/>
      <c r="AB27" s="47" t="n">
        <f aca="false">$R$27-$W$27</f>
        <v>50000</v>
      </c>
      <c r="AC27" s="47"/>
      <c r="AD27" s="47"/>
      <c r="AE27" s="47"/>
    </row>
    <row r="28" customFormat="false" ht="17.25" hidden="false" customHeight="true" outlineLevel="0" collapsed="false">
      <c r="B28" s="24"/>
      <c r="C28" s="24"/>
      <c r="D28" s="24"/>
      <c r="E28" s="25" t="s">
        <v>146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48" t="n">
        <f aca="false">$X$8</f>
        <v>15000</v>
      </c>
      <c r="S28" s="48"/>
      <c r="T28" s="48"/>
      <c r="U28" s="48"/>
      <c r="W28" s="48" t="n">
        <f aca="false">$X$9</f>
        <v>5000</v>
      </c>
      <c r="X28" s="48"/>
      <c r="Y28" s="48"/>
      <c r="Z28" s="48"/>
      <c r="AB28" s="48" t="n">
        <f aca="false">$R$28-$W$28</f>
        <v>10000</v>
      </c>
      <c r="AC28" s="48"/>
      <c r="AD28" s="48"/>
      <c r="AE28" s="48"/>
    </row>
    <row r="29" customFormat="false" ht="17.25" hidden="false" customHeight="true" outlineLevel="0" collapsed="false">
      <c r="B29" s="24"/>
      <c r="C29" s="24"/>
      <c r="D29" s="24"/>
      <c r="E29" s="28" t="s">
        <v>99</v>
      </c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47" t="n">
        <f aca="false">$R$27+$R$28</f>
        <v>65000</v>
      </c>
      <c r="S29" s="47"/>
      <c r="T29" s="47"/>
      <c r="U29" s="47"/>
      <c r="W29" s="47" t="n">
        <f aca="false">$W$27+$W$28</f>
        <v>5000</v>
      </c>
      <c r="X29" s="47"/>
      <c r="Y29" s="47"/>
      <c r="Z29" s="47"/>
      <c r="AB29" s="47" t="n">
        <f aca="false">$AB$27+$AB$28</f>
        <v>60000</v>
      </c>
      <c r="AC29" s="47"/>
      <c r="AD29" s="47"/>
      <c r="AE29" s="47"/>
    </row>
    <row r="30" customFormat="false" ht="17.25" hidden="false" customHeight="true" outlineLevel="0" collapsed="false">
      <c r="B30" s="24"/>
      <c r="C30" s="24"/>
      <c r="D30" s="24"/>
      <c r="E30" s="27" t="s">
        <v>100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customFormat="false" ht="17.25" hidden="false" customHeight="true" outlineLevel="0" collapsed="false">
      <c r="B31" s="24"/>
      <c r="C31" s="24"/>
      <c r="D31" s="24"/>
      <c r="E31" s="25" t="s">
        <v>101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W31" s="47" t="n">
        <f aca="false">$X$10</f>
        <v>6000</v>
      </c>
      <c r="X31" s="47"/>
      <c r="Y31" s="47"/>
      <c r="Z31" s="47"/>
    </row>
    <row r="32" customFormat="false" ht="17.25" hidden="false" customHeight="true" outlineLevel="0" collapsed="false">
      <c r="B32" s="24"/>
      <c r="C32" s="24"/>
      <c r="D32" s="24"/>
      <c r="E32" s="25" t="s">
        <v>58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W32" s="47" t="n">
        <f aca="false">$X$11</f>
        <v>7500</v>
      </c>
      <c r="X32" s="47"/>
      <c r="Y32" s="47"/>
      <c r="Z32" s="47"/>
    </row>
    <row r="33" customFormat="false" ht="17.25" hidden="false" customHeight="true" outlineLevel="0" collapsed="false">
      <c r="B33" s="24"/>
      <c r="C33" s="24"/>
      <c r="D33" s="24"/>
      <c r="E33" s="25" t="s">
        <v>61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W33" s="47" t="n">
        <f aca="false">$X$12</f>
        <v>2300</v>
      </c>
      <c r="X33" s="47"/>
      <c r="Y33" s="47"/>
      <c r="Z33" s="47"/>
    </row>
    <row r="34" customFormat="false" ht="17.25" hidden="false" customHeight="true" outlineLevel="0" collapsed="false">
      <c r="B34" s="24"/>
      <c r="C34" s="24"/>
      <c r="D34" s="24"/>
      <c r="E34" s="25" t="s">
        <v>62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W34" s="48" t="n">
        <f aca="false">$X$13</f>
        <v>200</v>
      </c>
      <c r="X34" s="48"/>
      <c r="Y34" s="48"/>
      <c r="Z34" s="48"/>
    </row>
    <row r="35" customFormat="false" ht="17.25" hidden="false" customHeight="true" outlineLevel="0" collapsed="false">
      <c r="B35" s="24"/>
      <c r="C35" s="24"/>
      <c r="D35" s="24"/>
      <c r="E35" s="28" t="s">
        <v>103</v>
      </c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W35" s="47" t="n">
        <f aca="false">$W$31+$W$32+$W$33+$W$34</f>
        <v>16000</v>
      </c>
      <c r="X35" s="47"/>
      <c r="Y35" s="47"/>
      <c r="Z35" s="47"/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104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60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48" t="n">
        <f aca="false">$X$14</f>
        <v>4800</v>
      </c>
      <c r="X37" s="48"/>
      <c r="Y37" s="48"/>
      <c r="Z37" s="48"/>
    </row>
    <row r="38" customFormat="false" ht="17.25" hidden="false" customHeight="true" outlineLevel="0" collapsed="false">
      <c r="B38" s="24"/>
      <c r="C38" s="24"/>
      <c r="D38" s="24"/>
      <c r="E38" s="28" t="s">
        <v>106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W38" s="48" t="n">
        <f aca="false">$W$37</f>
        <v>4800</v>
      </c>
      <c r="X38" s="48"/>
      <c r="Y38" s="48"/>
      <c r="Z38" s="48"/>
    </row>
    <row r="39" customFormat="false" ht="17.25" hidden="false" customHeight="true" outlineLevel="0" collapsed="false">
      <c r="B39" s="24"/>
      <c r="C39" s="24"/>
      <c r="D39" s="24"/>
      <c r="E39" s="25" t="s">
        <v>107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AB39" s="48" t="n">
        <f aca="false">$W$35-$W$38</f>
        <v>11200</v>
      </c>
      <c r="AC39" s="48"/>
      <c r="AD39" s="48"/>
      <c r="AE39" s="48"/>
    </row>
    <row r="40" customFormat="false" ht="17.25" hidden="false" customHeight="true" outlineLevel="0" collapsed="false"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AB40" s="47" t="n">
        <f aca="false">$AB$29+$AB$39</f>
        <v>71200</v>
      </c>
      <c r="AC40" s="47"/>
      <c r="AD40" s="47"/>
      <c r="AE40" s="47"/>
    </row>
    <row r="41" customFormat="false" ht="17.25" hidden="false" customHeight="true" outlineLevel="0" collapsed="false">
      <c r="B41" s="24" t="s">
        <v>78</v>
      </c>
      <c r="C41" s="24"/>
      <c r="D41" s="24"/>
      <c r="E41" s="27" t="s">
        <v>108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</row>
    <row r="42" customFormat="false" ht="17.25" hidden="false" customHeight="true" outlineLevel="0" collapsed="false">
      <c r="B42" s="24"/>
      <c r="C42" s="24"/>
      <c r="D42" s="24"/>
      <c r="E42" s="25" t="s">
        <v>147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AB42" s="48" t="n">
        <f aca="false">-($X$15)</f>
        <v>-10000</v>
      </c>
      <c r="AC42" s="48"/>
      <c r="AD42" s="48"/>
      <c r="AE42" s="48"/>
    </row>
    <row r="43" customFormat="false" ht="17.25" hidden="false" customHeight="true" outlineLevel="0" collapsed="false">
      <c r="B43" s="24"/>
      <c r="C43" s="24"/>
      <c r="D43" s="24"/>
      <c r="E43" s="28" t="s">
        <v>109</v>
      </c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AB43" s="49" t="n">
        <f aca="false">$AB$40+$AB$42</f>
        <v>61200</v>
      </c>
      <c r="AC43" s="49"/>
      <c r="AD43" s="49"/>
      <c r="AE43" s="49"/>
    </row>
    <row r="44" customFormat="false" ht="17.25" hidden="false" customHeight="true" outlineLevel="0" collapsed="false">
      <c r="B44" s="24"/>
      <c r="C44" s="24"/>
      <c r="D44" s="24"/>
      <c r="E44" s="27" t="s">
        <v>110</v>
      </c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</row>
    <row r="45" customFormat="false" ht="17.25" hidden="false" customHeight="true" outlineLevel="0" collapsed="false">
      <c r="B45" s="24"/>
      <c r="C45" s="24"/>
      <c r="D45" s="24"/>
      <c r="E45" s="25" t="s">
        <v>111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AB45" s="47" t="n">
        <f aca="false">$X$16</f>
        <v>55000</v>
      </c>
      <c r="AC45" s="47"/>
      <c r="AD45" s="47"/>
      <c r="AE45" s="47"/>
    </row>
    <row r="46" customFormat="false" ht="17.25" hidden="false" customHeight="true" outlineLevel="0" collapsed="false">
      <c r="B46" s="24" t="s">
        <v>82</v>
      </c>
      <c r="C46" s="24"/>
      <c r="D46" s="24"/>
      <c r="E46" s="25" t="s">
        <v>91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48" t="n">
        <f aca="false">$X$17</f>
        <v>14200</v>
      </c>
      <c r="AC46" s="48"/>
      <c r="AD46" s="48"/>
      <c r="AE46" s="48"/>
    </row>
    <row r="47" customFormat="false" ht="17.25" hidden="false" customHeight="true" outlineLevel="0" collapsed="false">
      <c r="B47" s="24"/>
      <c r="C47" s="24"/>
      <c r="D47" s="24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47" t="n">
        <f aca="false">$AB$45+$AB$46</f>
        <v>69200</v>
      </c>
      <c r="AC47" s="47"/>
      <c r="AD47" s="47"/>
      <c r="AE47" s="47"/>
    </row>
    <row r="48" customFormat="false" ht="17.25" hidden="false" customHeight="true" outlineLevel="0" collapsed="false">
      <c r="B48" s="24" t="s">
        <v>78</v>
      </c>
      <c r="C48" s="24"/>
      <c r="D48" s="24"/>
      <c r="E48" s="25" t="s">
        <v>65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48" t="n">
        <f aca="false">-($X$18)</f>
        <v>-8000</v>
      </c>
      <c r="AC48" s="48"/>
      <c r="AD48" s="48"/>
      <c r="AE48" s="48"/>
    </row>
    <row r="49" customFormat="false" ht="17.25" hidden="false" customHeight="true" outlineLevel="0" collapsed="false">
      <c r="B49" s="24"/>
      <c r="C49" s="24"/>
      <c r="D49" s="24"/>
      <c r="E49" s="28" t="s">
        <v>112</v>
      </c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AB49" s="49" t="n">
        <f aca="false">$AB$47+$AB$48</f>
        <v>61200</v>
      </c>
      <c r="AC49" s="49"/>
      <c r="AD49" s="49"/>
      <c r="AE49" s="49"/>
    </row>
    <row r="51" customFormat="false" ht="18.75" hidden="false" customHeight="true" outlineLevel="0" collapsed="false">
      <c r="B51" s="3" t="s">
        <v>148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7.25" hidden="false" customHeight="true" outlineLevel="0" collapsed="false">
      <c r="B52" s="30" t="s">
        <v>149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47" t="n">
        <f aca="false">$X$10+$X$11+$X$12+$X$13-$X$14</f>
        <v>11200</v>
      </c>
      <c r="Y52" s="47"/>
      <c r="Z52" s="47"/>
      <c r="AA52" s="47"/>
      <c r="AB52" s="47"/>
    </row>
    <row r="54" customFormat="false" ht="18.75" hidden="false" customHeight="true" outlineLevel="0" collapsed="false">
      <c r="B54" s="3" t="s">
        <v>150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customFormat="false" ht="17.25" hidden="false" customHeight="true" outlineLevel="0" collapsed="false">
      <c r="B55" s="50" t="s">
        <v>233</v>
      </c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</row>
    <row r="56" customFormat="false" ht="17.25" hidden="false" customHeight="true" outlineLevel="0" collapsed="false"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</row>
  </sheetData>
  <mergeCells count="121">
    <mergeCell ref="B1:AF1"/>
    <mergeCell ref="B2:AF2"/>
    <mergeCell ref="B3:AF3"/>
    <mergeCell ref="B5:AF5"/>
    <mergeCell ref="B6:W6"/>
    <mergeCell ref="X6:AC6"/>
    <mergeCell ref="B7:W7"/>
    <mergeCell ref="X7:AC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21:AF21"/>
    <mergeCell ref="B22:AF22"/>
    <mergeCell ref="B23:AF23"/>
    <mergeCell ref="B24:D24"/>
    <mergeCell ref="E24:Q24"/>
    <mergeCell ref="R24:V24"/>
    <mergeCell ref="W24:AA24"/>
    <mergeCell ref="AB24:AF24"/>
    <mergeCell ref="B25:D25"/>
    <mergeCell ref="E25:Q25"/>
    <mergeCell ref="R25:V25"/>
    <mergeCell ref="W25:AA25"/>
    <mergeCell ref="AB25:AF25"/>
    <mergeCell ref="B26:D26"/>
    <mergeCell ref="E26:Q26"/>
    <mergeCell ref="B27:D27"/>
    <mergeCell ref="E27:Q27"/>
    <mergeCell ref="R27:U27"/>
    <mergeCell ref="W27:Z27"/>
    <mergeCell ref="AB27:AE27"/>
    <mergeCell ref="B28:D28"/>
    <mergeCell ref="E28:Q28"/>
    <mergeCell ref="R28:U28"/>
    <mergeCell ref="W28:Z28"/>
    <mergeCell ref="AB28:AE28"/>
    <mergeCell ref="B29:D29"/>
    <mergeCell ref="E29:Q29"/>
    <mergeCell ref="R29:U29"/>
    <mergeCell ref="W29:Z29"/>
    <mergeCell ref="AB29:AE29"/>
    <mergeCell ref="B30:D30"/>
    <mergeCell ref="E30:Q30"/>
    <mergeCell ref="B31:D31"/>
    <mergeCell ref="E31:Q31"/>
    <mergeCell ref="W31:Z31"/>
    <mergeCell ref="B32:D32"/>
    <mergeCell ref="E32:Q32"/>
    <mergeCell ref="W32:Z32"/>
    <mergeCell ref="B33:D33"/>
    <mergeCell ref="E33:Q33"/>
    <mergeCell ref="W33:Z33"/>
    <mergeCell ref="B34:D34"/>
    <mergeCell ref="E34:Q34"/>
    <mergeCell ref="W34:Z34"/>
    <mergeCell ref="B35:D35"/>
    <mergeCell ref="E35:Q35"/>
    <mergeCell ref="W35:Z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AB39:AE39"/>
    <mergeCell ref="B40:D40"/>
    <mergeCell ref="E40:Q40"/>
    <mergeCell ref="AB40:AE40"/>
    <mergeCell ref="B41:D41"/>
    <mergeCell ref="E41:Q41"/>
    <mergeCell ref="B42:D42"/>
    <mergeCell ref="E42:Q42"/>
    <mergeCell ref="AB42:AE42"/>
    <mergeCell ref="B43:D43"/>
    <mergeCell ref="E43:Q43"/>
    <mergeCell ref="AB43:AE43"/>
    <mergeCell ref="B44:D44"/>
    <mergeCell ref="E44:Q44"/>
    <mergeCell ref="B45:D45"/>
    <mergeCell ref="E45:Q45"/>
    <mergeCell ref="AB45:AE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AB49:AE49"/>
    <mergeCell ref="B51:AF51"/>
    <mergeCell ref="B52:W52"/>
    <mergeCell ref="X52:AB52"/>
    <mergeCell ref="B54:AF54"/>
    <mergeCell ref="B55:AF56"/>
  </mergeCells>
  <conditionalFormatting sqref="B1:AG5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7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152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153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6" t="n">
        <f aca="false">'QFS.8'!AA8</f>
        <v>52000</v>
      </c>
      <c r="AB8" s="46"/>
      <c r="AC8" s="46"/>
      <c r="AD8" s="46"/>
      <c r="AE8" s="46"/>
      <c r="AF8" s="46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6" t="n">
        <f aca="false">'QFS.8'!U9</f>
        <v>30000</v>
      </c>
      <c r="V9" s="46"/>
      <c r="W9" s="46"/>
      <c r="X9" s="46"/>
      <c r="Y9" s="46"/>
      <c r="Z9" s="46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6" t="n">
        <f aca="false">'QFS.8'!U10</f>
        <v>3000</v>
      </c>
      <c r="V10" s="46"/>
      <c r="W10" s="46"/>
      <c r="X10" s="46"/>
      <c r="Y10" s="46"/>
      <c r="Z10" s="46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48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46" t="n">
        <f aca="false">'QFS.8'!U11</f>
        <v>8000</v>
      </c>
      <c r="V11" s="46"/>
      <c r="W11" s="46"/>
      <c r="X11" s="46"/>
      <c r="Y11" s="46"/>
      <c r="Z11" s="46"/>
      <c r="AA11" s="18"/>
      <c r="AB11" s="18"/>
      <c r="AC11" s="18"/>
      <c r="AD11" s="18"/>
      <c r="AE11" s="18"/>
      <c r="AF11" s="18"/>
    </row>
    <row r="12" customFormat="false" ht="15" hidden="false" customHeight="false" outlineLevel="0" collapsed="false">
      <c r="B12" s="18" t="s">
        <v>49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6" t="n">
        <f aca="false">'QFS.8'!U12</f>
        <v>4400</v>
      </c>
      <c r="V12" s="46"/>
      <c r="W12" s="46"/>
      <c r="X12" s="46"/>
      <c r="Y12" s="46"/>
      <c r="Z12" s="46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50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6" t="n">
        <f aca="false">'QFS.8'!U13</f>
        <v>1200</v>
      </c>
      <c r="V13" s="46"/>
      <c r="W13" s="46"/>
      <c r="X13" s="46"/>
      <c r="Y13" s="46"/>
      <c r="Z13" s="46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51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6" t="n">
        <f aca="false">'QFS.8'!U14</f>
        <v>900</v>
      </c>
      <c r="V14" s="46"/>
      <c r="W14" s="46"/>
      <c r="X14" s="46"/>
      <c r="Y14" s="46"/>
      <c r="Z14" s="46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154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6" t="n">
        <f aca="false">'QFS.8'!U15</f>
        <v>10000</v>
      </c>
      <c r="V15" s="46"/>
      <c r="W15" s="46"/>
      <c r="X15" s="46"/>
      <c r="Y15" s="46"/>
      <c r="Z15" s="46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155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46" t="n">
        <f aca="false">'QFS.8'!AA16</f>
        <v>2000</v>
      </c>
      <c r="AB16" s="46"/>
      <c r="AC16" s="46"/>
      <c r="AD16" s="46"/>
      <c r="AE16" s="46"/>
      <c r="AF16" s="46"/>
    </row>
    <row r="17" customFormat="false" ht="15" hidden="false" customHeight="false" outlineLevel="0" collapsed="false">
      <c r="B17" s="18" t="s">
        <v>58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6" t="n">
        <f aca="false">'QFS.8'!U17</f>
        <v>5000</v>
      </c>
      <c r="V17" s="46"/>
      <c r="W17" s="46"/>
      <c r="X17" s="46"/>
      <c r="Y17" s="46"/>
      <c r="Z17" s="46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60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46" t="n">
        <f aca="false">'QFS.8'!AA18</f>
        <v>3100</v>
      </c>
      <c r="AB18" s="46"/>
      <c r="AC18" s="46"/>
      <c r="AD18" s="46"/>
      <c r="AE18" s="46"/>
      <c r="AF18" s="46"/>
    </row>
    <row r="19" customFormat="false" ht="15" hidden="false" customHeight="false" outlineLevel="0" collapsed="false">
      <c r="B19" s="18" t="s">
        <v>61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46" t="n">
        <f aca="false">'QFS.8'!U19</f>
        <v>2600</v>
      </c>
      <c r="V19" s="46"/>
      <c r="W19" s="46"/>
      <c r="X19" s="46"/>
      <c r="Y19" s="46"/>
      <c r="Z19" s="46"/>
      <c r="AA19" s="18"/>
      <c r="AB19" s="18"/>
      <c r="AC19" s="18"/>
      <c r="AD19" s="18"/>
      <c r="AE19" s="18"/>
      <c r="AF19" s="18"/>
    </row>
    <row r="20" customFormat="false" ht="15" hidden="false" customHeight="false" outlineLevel="0" collapsed="false">
      <c r="B20" s="18" t="s">
        <v>64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46" t="n">
        <f aca="false">'QFS.8'!AA20</f>
        <v>14000</v>
      </c>
      <c r="AB20" s="46"/>
      <c r="AC20" s="46"/>
      <c r="AD20" s="46"/>
      <c r="AE20" s="46"/>
      <c r="AF20" s="46"/>
    </row>
    <row r="21" customFormat="false" ht="15" hidden="false" customHeight="false" outlineLevel="0" collapsed="false">
      <c r="B21" s="18" t="s">
        <v>65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6" t="n">
        <f aca="false">'QFS.8'!U21</f>
        <v>6000</v>
      </c>
      <c r="V21" s="46"/>
      <c r="W21" s="46"/>
      <c r="X21" s="46"/>
      <c r="Y21" s="46"/>
      <c r="Z21" s="46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20" t="s">
        <v>66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1" t="n">
        <f aca="false">SUM(U8:U21)</f>
        <v>71100</v>
      </c>
      <c r="V22" s="21"/>
      <c r="W22" s="21"/>
      <c r="X22" s="21"/>
      <c r="Y22" s="21"/>
      <c r="Z22" s="21"/>
      <c r="AA22" s="21" t="n">
        <f aca="false">SUM(AA8:AA21)</f>
        <v>71100</v>
      </c>
      <c r="AB22" s="21"/>
      <c r="AC22" s="21"/>
      <c r="AD22" s="21"/>
      <c r="AE22" s="21"/>
      <c r="AF22" s="21"/>
    </row>
    <row r="24" customFormat="false" ht="15" hidden="false" customHeight="false" outlineLevel="0" collapsed="false">
      <c r="B24" s="16" t="s">
        <v>67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 t="s">
        <v>68</v>
      </c>
      <c r="Y24" s="17"/>
      <c r="Z24" s="17"/>
      <c r="AA24" s="17"/>
      <c r="AB24" s="17"/>
      <c r="AC24" s="17"/>
    </row>
    <row r="25" customFormat="false" ht="16.5" hidden="false" customHeight="true" outlineLevel="0" collapsed="false">
      <c r="B25" s="12" t="s">
        <v>69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46" t="n">
        <f aca="false">'QFS.8'!X25</f>
        <v>3500</v>
      </c>
      <c r="Y25" s="46"/>
      <c r="Z25" s="46"/>
      <c r="AA25" s="46"/>
      <c r="AB25" s="46"/>
      <c r="AC25" s="46"/>
    </row>
    <row r="26" customFormat="false" ht="16.5" hidden="false" customHeight="true" outlineLevel="0" collapsed="false">
      <c r="B26" s="12" t="s">
        <v>70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46" t="n">
        <f aca="false">'QFS.8'!X26</f>
        <v>400</v>
      </c>
      <c r="Y26" s="46"/>
      <c r="Z26" s="46"/>
      <c r="AA26" s="46"/>
      <c r="AB26" s="46"/>
      <c r="AC26" s="46"/>
    </row>
    <row r="27" customFormat="false" ht="16.5" hidden="false" customHeight="true" outlineLevel="0" collapsed="false">
      <c r="B27" s="12" t="s">
        <v>71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46" t="n">
        <f aca="false">'QFS.8'!X27</f>
        <v>200</v>
      </c>
      <c r="Y27" s="46"/>
      <c r="Z27" s="46"/>
      <c r="AA27" s="46"/>
      <c r="AB27" s="46"/>
      <c r="AC27" s="46"/>
    </row>
    <row r="28" customFormat="false" ht="16.5" hidden="false" customHeight="true" outlineLevel="0" collapsed="false">
      <c r="B28" s="12" t="s">
        <v>156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51" t="n">
        <f aca="false">'QFS.8'!X28</f>
        <v>0.1</v>
      </c>
      <c r="Y28" s="51"/>
      <c r="Z28" s="51"/>
      <c r="AA28" s="51"/>
      <c r="AB28" s="51"/>
      <c r="AC28" s="51"/>
    </row>
    <row r="31" customFormat="false" ht="18.75" hidden="false" customHeight="true" outlineLevel="0" collapsed="false">
      <c r="B31" s="3" t="s">
        <v>157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customFormat="false" ht="15" hidden="false" customHeight="false" outlineLevel="0" collapsed="false">
      <c r="B32" s="15" t="s">
        <v>158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customFormat="false" ht="15" hidden="false" customHeight="false" outlineLevel="0" collapsed="false">
      <c r="B33" s="15" t="s">
        <v>76</v>
      </c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Format="false" ht="15" hidden="false" customHeight="false" outlineLevel="0" collapsed="false">
      <c r="B34" s="23"/>
      <c r="C34" s="23"/>
      <c r="D34" s="23"/>
      <c r="E34" s="16" t="s">
        <v>38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7" t="s">
        <v>77</v>
      </c>
      <c r="S34" s="17"/>
      <c r="T34" s="17"/>
      <c r="U34" s="17"/>
      <c r="V34" s="17"/>
      <c r="W34" s="17" t="s">
        <v>77</v>
      </c>
      <c r="X34" s="17"/>
      <c r="Y34" s="17"/>
      <c r="Z34" s="17"/>
      <c r="AA34" s="17"/>
      <c r="AB34" s="17" t="s">
        <v>77</v>
      </c>
      <c r="AC34" s="17"/>
      <c r="AD34" s="17"/>
      <c r="AE34" s="17"/>
      <c r="AF34" s="17"/>
    </row>
    <row r="35" customFormat="false" ht="17.25" hidden="false" customHeight="true" outlineLevel="0" collapsed="false">
      <c r="B35" s="24"/>
      <c r="C35" s="24"/>
      <c r="D35" s="24"/>
      <c r="E35" s="25" t="s">
        <v>41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AB35" s="47" t="n">
        <f aca="false">$AA$8</f>
        <v>52000</v>
      </c>
      <c r="AC35" s="47"/>
      <c r="AD35" s="47"/>
      <c r="AE35" s="47"/>
    </row>
    <row r="36" customFormat="false" ht="17.25" hidden="false" customHeight="true" outlineLevel="0" collapsed="false">
      <c r="B36" s="24" t="s">
        <v>78</v>
      </c>
      <c r="C36" s="24"/>
      <c r="D36" s="24"/>
      <c r="E36" s="27" t="s">
        <v>80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</row>
    <row r="37" customFormat="false" ht="17.25" hidden="false" customHeight="true" outlineLevel="0" collapsed="false">
      <c r="B37" s="24"/>
      <c r="C37" s="24"/>
      <c r="D37" s="24"/>
      <c r="E37" s="25" t="s">
        <v>81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W37" s="47" t="n">
        <f aca="false">$U$10</f>
        <v>3000</v>
      </c>
      <c r="X37" s="47"/>
      <c r="Y37" s="47"/>
      <c r="Z37" s="47"/>
    </row>
    <row r="38" customFormat="false" ht="17.25" hidden="false" customHeight="true" outlineLevel="0" collapsed="false">
      <c r="B38" s="24" t="s">
        <v>82</v>
      </c>
      <c r="C38" s="24"/>
      <c r="D38" s="24"/>
      <c r="E38" s="25" t="s">
        <v>42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W38" s="48" t="n">
        <f aca="false">$U$9</f>
        <v>30000</v>
      </c>
      <c r="X38" s="48"/>
      <c r="Y38" s="48"/>
      <c r="Z38" s="48"/>
    </row>
    <row r="39" customFormat="false" ht="17.25" hidden="false" customHeight="true" outlineLevel="0" collapsed="false">
      <c r="B39" s="24"/>
      <c r="C39" s="24"/>
      <c r="D39" s="24"/>
      <c r="E39" s="25" t="s">
        <v>83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W39" s="47" t="n">
        <f aca="false">$W$37+$W$38</f>
        <v>33000</v>
      </c>
      <c r="X39" s="47"/>
      <c r="Y39" s="47"/>
      <c r="Z39" s="47"/>
    </row>
    <row r="40" customFormat="false" ht="17.25" hidden="false" customHeight="true" outlineLevel="0" collapsed="false">
      <c r="B40" s="24" t="s">
        <v>78</v>
      </c>
      <c r="C40" s="24"/>
      <c r="D40" s="24"/>
      <c r="E40" s="25" t="s">
        <v>84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W40" s="48" t="n">
        <f aca="false">-($X$25)</f>
        <v>-3500</v>
      </c>
      <c r="X40" s="48"/>
      <c r="Y40" s="48"/>
      <c r="Z40" s="48"/>
      <c r="AB40" s="48" t="n">
        <f aca="false">-($W$39+$W$40)</f>
        <v>-29500</v>
      </c>
      <c r="AC40" s="48"/>
      <c r="AD40" s="48"/>
      <c r="AE40" s="48"/>
    </row>
    <row r="41" customFormat="false" ht="17.25" hidden="false" customHeight="true" outlineLevel="0" collapsed="false">
      <c r="B41" s="24"/>
      <c r="C41" s="24"/>
      <c r="D41" s="24"/>
      <c r="E41" s="28" t="s">
        <v>85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47" t="n">
        <f aca="false">$AB$35+$AB$40</f>
        <v>22500</v>
      </c>
      <c r="AC41" s="47"/>
      <c r="AD41" s="47"/>
      <c r="AE41" s="47"/>
    </row>
    <row r="42" customFormat="false" ht="17.25" hidden="false" customHeight="true" outlineLevel="0" collapsed="false">
      <c r="B42" s="24" t="s">
        <v>78</v>
      </c>
      <c r="C42" s="24"/>
      <c r="D42" s="24"/>
      <c r="E42" s="27" t="s">
        <v>87</v>
      </c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customFormat="false" ht="17.25" hidden="false" customHeight="true" outlineLevel="0" collapsed="false">
      <c r="B43" s="24"/>
      <c r="C43" s="24"/>
      <c r="D43" s="24"/>
      <c r="E43" s="25" t="s">
        <v>48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W43" s="47" t="n">
        <f aca="false">$U$11</f>
        <v>8000</v>
      </c>
      <c r="X43" s="47"/>
      <c r="Y43" s="47"/>
      <c r="Z43" s="47"/>
    </row>
    <row r="44" customFormat="false" ht="17.25" hidden="false" customHeight="true" outlineLevel="0" collapsed="false">
      <c r="B44" s="24"/>
      <c r="C44" s="24"/>
      <c r="D44" s="24"/>
      <c r="E44" s="25" t="s">
        <v>49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W44" s="47" t="n">
        <f aca="false">$U$12+$X$26</f>
        <v>4800</v>
      </c>
      <c r="X44" s="47"/>
      <c r="Y44" s="47"/>
      <c r="Z44" s="47"/>
    </row>
    <row r="45" customFormat="false" ht="17.25" hidden="false" customHeight="true" outlineLevel="0" collapsed="false">
      <c r="B45" s="24"/>
      <c r="C45" s="24"/>
      <c r="D45" s="24"/>
      <c r="E45" s="25" t="s">
        <v>50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W45" s="47" t="n">
        <f aca="false">$U$13-$X$27</f>
        <v>1000</v>
      </c>
      <c r="X45" s="47"/>
      <c r="Y45" s="47"/>
      <c r="Z45" s="47"/>
    </row>
    <row r="46" customFormat="false" ht="17.25" hidden="false" customHeight="true" outlineLevel="0" collapsed="false">
      <c r="B46" s="24"/>
      <c r="C46" s="24"/>
      <c r="D46" s="24"/>
      <c r="E46" s="25" t="s">
        <v>51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W46" s="47" t="n">
        <f aca="false">$U$14</f>
        <v>900</v>
      </c>
      <c r="X46" s="47"/>
      <c r="Y46" s="47"/>
      <c r="Z46" s="47"/>
    </row>
    <row r="47" customFormat="false" ht="17.25" hidden="false" customHeight="true" outlineLevel="0" collapsed="false">
      <c r="B47" s="24"/>
      <c r="C47" s="24"/>
      <c r="D47" s="24"/>
      <c r="E47" s="25" t="s">
        <v>159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W47" s="48" t="n">
        <f aca="false">$U$15*$X$28</f>
        <v>1000</v>
      </c>
      <c r="X47" s="48"/>
      <c r="Y47" s="48"/>
      <c r="Z47" s="48"/>
      <c r="AB47" s="48" t="n">
        <f aca="false">-($W$43+$W$44+$W$45+$W$46+$W$47)</f>
        <v>-15700</v>
      </c>
      <c r="AC47" s="48"/>
      <c r="AD47" s="48"/>
      <c r="AE47" s="48"/>
    </row>
    <row r="48" customFormat="false" ht="17.25" hidden="false" customHeight="true" outlineLevel="0" collapsed="false">
      <c r="B48" s="24"/>
      <c r="C48" s="24"/>
      <c r="D48" s="24"/>
      <c r="E48" s="28" t="s">
        <v>91</v>
      </c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AB48" s="49" t="n">
        <f aca="false">$AB$41+$AB$47</f>
        <v>6800</v>
      </c>
      <c r="AC48" s="49"/>
      <c r="AD48" s="49"/>
      <c r="AE48" s="49"/>
    </row>
    <row r="50" customFormat="false" ht="18.75" hidden="false" customHeight="true" outlineLevel="0" collapsed="false">
      <c r="B50" s="3" t="s">
        <v>160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 customFormat="false" ht="15" hidden="false" customHeight="false" outlineLevel="0" collapsed="false">
      <c r="B51" s="15" t="s">
        <v>158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customFormat="false" ht="15" hidden="false" customHeight="false" outlineLevel="0" collapsed="false">
      <c r="B52" s="15" t="s">
        <v>92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customFormat="false" ht="15" hidden="false" customHeight="false" outlineLevel="0" collapsed="false">
      <c r="B53" s="23"/>
      <c r="C53" s="23"/>
      <c r="D53" s="23"/>
      <c r="E53" s="16" t="s">
        <v>38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7" t="s">
        <v>77</v>
      </c>
      <c r="S53" s="17"/>
      <c r="T53" s="17"/>
      <c r="U53" s="17"/>
      <c r="V53" s="17"/>
      <c r="W53" s="17" t="s">
        <v>77</v>
      </c>
      <c r="X53" s="17"/>
      <c r="Y53" s="17"/>
      <c r="Z53" s="17"/>
      <c r="AA53" s="17"/>
      <c r="AB53" s="17" t="s">
        <v>77</v>
      </c>
      <c r="AC53" s="17"/>
      <c r="AD53" s="17"/>
      <c r="AE53" s="17"/>
      <c r="AF53" s="17"/>
    </row>
    <row r="54" customFormat="false" ht="30" hidden="false" customHeight="true" outlineLevel="0" collapsed="false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11" t="s">
        <v>93</v>
      </c>
      <c r="S54" s="11"/>
      <c r="T54" s="11"/>
      <c r="U54" s="11"/>
      <c r="V54" s="11"/>
      <c r="W54" s="11" t="s">
        <v>94</v>
      </c>
      <c r="X54" s="11"/>
      <c r="Y54" s="11"/>
      <c r="Z54" s="11"/>
      <c r="AA54" s="11"/>
      <c r="AB54" s="11" t="s">
        <v>95</v>
      </c>
      <c r="AC54" s="11"/>
      <c r="AD54" s="11"/>
      <c r="AE54" s="11"/>
      <c r="AF54" s="11"/>
    </row>
    <row r="55" customFormat="false" ht="17.25" hidden="false" customHeight="true" outlineLevel="0" collapsed="false">
      <c r="B55" s="24"/>
      <c r="C55" s="24"/>
      <c r="D55" s="24"/>
      <c r="E55" s="27" t="s">
        <v>96</v>
      </c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</row>
    <row r="56" customFormat="false" ht="17.25" hidden="false" customHeight="true" outlineLevel="0" collapsed="false">
      <c r="B56" s="24"/>
      <c r="C56" s="24"/>
      <c r="D56" s="24"/>
      <c r="E56" s="25" t="s">
        <v>161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47" t="n">
        <f aca="false">$U$15</f>
        <v>10000</v>
      </c>
      <c r="S56" s="47"/>
      <c r="T56" s="47"/>
      <c r="U56" s="47"/>
      <c r="W56" s="47" t="n">
        <f aca="false">$AA$16+$U$15*$X$28</f>
        <v>3000</v>
      </c>
      <c r="X56" s="47"/>
      <c r="Y56" s="47"/>
      <c r="Z56" s="47"/>
      <c r="AB56" s="47" t="n">
        <f aca="false">$R$56-$W$56</f>
        <v>7000</v>
      </c>
      <c r="AC56" s="47"/>
      <c r="AD56" s="47"/>
      <c r="AE56" s="47"/>
    </row>
    <row r="57" customFormat="false" ht="17.25" hidden="false" customHeight="true" outlineLevel="0" collapsed="false">
      <c r="B57" s="24"/>
      <c r="C57" s="24"/>
      <c r="D57" s="24"/>
      <c r="E57" s="27" t="s">
        <v>100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101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47" t="n">
        <f aca="false">$X$25</f>
        <v>3500</v>
      </c>
      <c r="X58" s="47"/>
      <c r="Y58" s="47"/>
      <c r="Z58" s="47"/>
    </row>
    <row r="59" customFormat="false" ht="17.25" hidden="false" customHeight="true" outlineLevel="0" collapsed="false">
      <c r="B59" s="24"/>
      <c r="C59" s="24"/>
      <c r="D59" s="24"/>
      <c r="E59" s="25" t="s">
        <v>58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47" t="n">
        <f aca="false">$U$17</f>
        <v>5000</v>
      </c>
      <c r="X59" s="47"/>
      <c r="Y59" s="47"/>
      <c r="Z59" s="47"/>
    </row>
    <row r="60" customFormat="false" ht="17.25" hidden="false" customHeight="true" outlineLevel="0" collapsed="false">
      <c r="B60" s="24"/>
      <c r="C60" s="24"/>
      <c r="D60" s="24"/>
      <c r="E60" s="25" t="s">
        <v>102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W60" s="47" t="n">
        <f aca="false">$X$27</f>
        <v>200</v>
      </c>
      <c r="X60" s="47"/>
      <c r="Y60" s="47"/>
      <c r="Z60" s="47"/>
    </row>
    <row r="61" customFormat="false" ht="17.25" hidden="false" customHeight="true" outlineLevel="0" collapsed="false">
      <c r="B61" s="24"/>
      <c r="C61" s="24"/>
      <c r="D61" s="24"/>
      <c r="E61" s="25" t="s">
        <v>61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W61" s="48" t="n">
        <f aca="false">$U$19</f>
        <v>2600</v>
      </c>
      <c r="X61" s="48"/>
      <c r="Y61" s="48"/>
      <c r="Z61" s="48"/>
    </row>
    <row r="62" customFormat="false" ht="17.25" hidden="false" customHeight="true" outlineLevel="0" collapsed="false">
      <c r="B62" s="24"/>
      <c r="C62" s="24"/>
      <c r="D62" s="24"/>
      <c r="E62" s="28" t="s">
        <v>103</v>
      </c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W62" s="47" t="n">
        <f aca="false">$W$58+$W$59+$W$60+$W$61</f>
        <v>11300</v>
      </c>
      <c r="X62" s="47"/>
      <c r="Y62" s="47"/>
      <c r="Z62" s="47"/>
    </row>
    <row r="63" customFormat="false" ht="17.25" hidden="false" customHeight="true" outlineLevel="0" collapsed="false">
      <c r="B63" s="24" t="s">
        <v>78</v>
      </c>
      <c r="C63" s="24"/>
      <c r="D63" s="24"/>
      <c r="E63" s="27" t="s">
        <v>104</v>
      </c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</row>
    <row r="64" customFormat="false" ht="17.25" hidden="false" customHeight="true" outlineLevel="0" collapsed="false">
      <c r="B64" s="24"/>
      <c r="C64" s="24"/>
      <c r="D64" s="24"/>
      <c r="E64" s="25" t="s">
        <v>60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47" t="n">
        <f aca="false">$AA$18</f>
        <v>3100</v>
      </c>
      <c r="X64" s="47"/>
      <c r="Y64" s="47"/>
      <c r="Z64" s="47"/>
    </row>
    <row r="65" customFormat="false" ht="17.25" hidden="false" customHeight="true" outlineLevel="0" collapsed="false">
      <c r="B65" s="24"/>
      <c r="C65" s="24"/>
      <c r="D65" s="24"/>
      <c r="E65" s="25" t="s">
        <v>162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48" t="n">
        <f aca="false">$X$26</f>
        <v>400</v>
      </c>
      <c r="X65" s="48"/>
      <c r="Y65" s="48"/>
      <c r="Z65" s="48"/>
    </row>
    <row r="66" customFormat="false" ht="17.25" hidden="false" customHeight="true" outlineLevel="0" collapsed="false">
      <c r="B66" s="24"/>
      <c r="C66" s="24"/>
      <c r="D66" s="24"/>
      <c r="E66" s="28" t="s">
        <v>106</v>
      </c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W66" s="48" t="n">
        <f aca="false">$W$64+$W$65</f>
        <v>3500</v>
      </c>
      <c r="X66" s="48"/>
      <c r="Y66" s="48"/>
      <c r="Z66" s="48"/>
    </row>
    <row r="67" customFormat="false" ht="17.25" hidden="false" customHeight="true" outlineLevel="0" collapsed="false">
      <c r="B67" s="24"/>
      <c r="C67" s="24"/>
      <c r="D67" s="24"/>
      <c r="E67" s="25" t="s">
        <v>107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AB67" s="48" t="n">
        <f aca="false">$W$62-$W$66</f>
        <v>7800</v>
      </c>
      <c r="AC67" s="48"/>
      <c r="AD67" s="48"/>
      <c r="AE67" s="48"/>
    </row>
    <row r="68" customFormat="false" ht="17.25" hidden="false" customHeight="true" outlineLevel="0" collapsed="false">
      <c r="B68" s="24"/>
      <c r="C68" s="24"/>
      <c r="D68" s="24"/>
      <c r="E68" s="28" t="s">
        <v>109</v>
      </c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AB68" s="49" t="n">
        <f aca="false">$AB$56+$AB$67</f>
        <v>14800</v>
      </c>
      <c r="AC68" s="49"/>
      <c r="AD68" s="49"/>
      <c r="AE68" s="49"/>
    </row>
    <row r="69" customFormat="false" ht="17.25" hidden="false" customHeight="true" outlineLevel="0" collapsed="false">
      <c r="B69" s="24"/>
      <c r="C69" s="24"/>
      <c r="D69" s="24"/>
      <c r="E69" s="27" t="s">
        <v>110</v>
      </c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</row>
    <row r="70" customFormat="false" ht="17.25" hidden="false" customHeight="true" outlineLevel="0" collapsed="false">
      <c r="B70" s="24"/>
      <c r="C70" s="24"/>
      <c r="D70" s="24"/>
      <c r="E70" s="25" t="s">
        <v>111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AB70" s="47" t="n">
        <f aca="false">$AA$20</f>
        <v>14000</v>
      </c>
      <c r="AC70" s="47"/>
      <c r="AD70" s="47"/>
      <c r="AE70" s="47"/>
    </row>
    <row r="71" customFormat="false" ht="17.25" hidden="false" customHeight="true" outlineLevel="0" collapsed="false">
      <c r="B71" s="24" t="s">
        <v>82</v>
      </c>
      <c r="C71" s="24"/>
      <c r="D71" s="24"/>
      <c r="E71" s="25" t="s">
        <v>91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AB71" s="48" t="n">
        <f aca="false">$AB$48</f>
        <v>6800</v>
      </c>
      <c r="AC71" s="48"/>
      <c r="AD71" s="48"/>
      <c r="AE71" s="48"/>
    </row>
    <row r="72" customFormat="false" ht="17.25" hidden="false" customHeight="true" outlineLevel="0" collapsed="false">
      <c r="B72" s="24"/>
      <c r="C72" s="24"/>
      <c r="D72" s="24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AB72" s="47" t="n">
        <f aca="false">$AB$70+$AB$71</f>
        <v>20800</v>
      </c>
      <c r="AC72" s="47"/>
      <c r="AD72" s="47"/>
      <c r="AE72" s="47"/>
    </row>
    <row r="73" customFormat="false" ht="17.25" hidden="false" customHeight="true" outlineLevel="0" collapsed="false">
      <c r="B73" s="24" t="s">
        <v>78</v>
      </c>
      <c r="C73" s="24"/>
      <c r="D73" s="24"/>
      <c r="E73" s="25" t="s">
        <v>65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AB73" s="48" t="n">
        <f aca="false">-($U$21)</f>
        <v>-6000</v>
      </c>
      <c r="AC73" s="48"/>
      <c r="AD73" s="48"/>
      <c r="AE73" s="48"/>
    </row>
    <row r="74" customFormat="false" ht="17.25" hidden="false" customHeight="true" outlineLevel="0" collapsed="false">
      <c r="B74" s="24"/>
      <c r="C74" s="24"/>
      <c r="D74" s="24"/>
      <c r="E74" s="28" t="s">
        <v>112</v>
      </c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AB74" s="49" t="n">
        <f aca="false">$AB$72+$AB$73</f>
        <v>14800</v>
      </c>
      <c r="AC74" s="49"/>
      <c r="AD74" s="49"/>
      <c r="AE74" s="49"/>
    </row>
  </sheetData>
  <mergeCells count="184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4:W24"/>
    <mergeCell ref="X24:AC24"/>
    <mergeCell ref="B25:W25"/>
    <mergeCell ref="X25:AC25"/>
    <mergeCell ref="B26:W26"/>
    <mergeCell ref="X26:AC26"/>
    <mergeCell ref="B27:W27"/>
    <mergeCell ref="X27:AC27"/>
    <mergeCell ref="B28:W28"/>
    <mergeCell ref="X28:AC28"/>
    <mergeCell ref="B31:AF31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AB35:AE35"/>
    <mergeCell ref="B36:D36"/>
    <mergeCell ref="E36:Q36"/>
    <mergeCell ref="B37:D37"/>
    <mergeCell ref="E37:Q37"/>
    <mergeCell ref="W37:Z37"/>
    <mergeCell ref="B38:D38"/>
    <mergeCell ref="E38:Q38"/>
    <mergeCell ref="W38:Z38"/>
    <mergeCell ref="B39:D39"/>
    <mergeCell ref="E39:Q39"/>
    <mergeCell ref="W39:Z39"/>
    <mergeCell ref="B40:D40"/>
    <mergeCell ref="E40:Q40"/>
    <mergeCell ref="W40:Z40"/>
    <mergeCell ref="AB40:AE40"/>
    <mergeCell ref="B41:D41"/>
    <mergeCell ref="E41:Q41"/>
    <mergeCell ref="AB41:AE41"/>
    <mergeCell ref="B42:D42"/>
    <mergeCell ref="E42:Q42"/>
    <mergeCell ref="B43:D43"/>
    <mergeCell ref="E43:Q43"/>
    <mergeCell ref="W43:Z43"/>
    <mergeCell ref="B44:D44"/>
    <mergeCell ref="E44:Q44"/>
    <mergeCell ref="W44:Z44"/>
    <mergeCell ref="B45:D45"/>
    <mergeCell ref="E45:Q45"/>
    <mergeCell ref="W45:Z45"/>
    <mergeCell ref="B46:D46"/>
    <mergeCell ref="E46:Q46"/>
    <mergeCell ref="W46:Z46"/>
    <mergeCell ref="B47:D47"/>
    <mergeCell ref="E47:Q47"/>
    <mergeCell ref="W47:Z47"/>
    <mergeCell ref="AB47:AE47"/>
    <mergeCell ref="B48:D48"/>
    <mergeCell ref="E48:Q48"/>
    <mergeCell ref="AB48:AE48"/>
    <mergeCell ref="B50:AF50"/>
    <mergeCell ref="B51:AF51"/>
    <mergeCell ref="B52:AF52"/>
    <mergeCell ref="B53:D53"/>
    <mergeCell ref="E53:Q53"/>
    <mergeCell ref="R53:V53"/>
    <mergeCell ref="W53:AA53"/>
    <mergeCell ref="AB53:AF53"/>
    <mergeCell ref="B54:D54"/>
    <mergeCell ref="E54:Q54"/>
    <mergeCell ref="R54:V54"/>
    <mergeCell ref="W54:AA54"/>
    <mergeCell ref="AB54:AF54"/>
    <mergeCell ref="B55:D55"/>
    <mergeCell ref="E55:Q55"/>
    <mergeCell ref="B56:D56"/>
    <mergeCell ref="E56:Q56"/>
    <mergeCell ref="R56:U56"/>
    <mergeCell ref="W56:Z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B60:D60"/>
    <mergeCell ref="E60:Q60"/>
    <mergeCell ref="W60:Z60"/>
    <mergeCell ref="B61:D61"/>
    <mergeCell ref="E61:Q61"/>
    <mergeCell ref="W61:Z61"/>
    <mergeCell ref="B62:D62"/>
    <mergeCell ref="E62:Q62"/>
    <mergeCell ref="W62:Z62"/>
    <mergeCell ref="B63:D63"/>
    <mergeCell ref="E63:Q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AB67:AE67"/>
    <mergeCell ref="B68:D68"/>
    <mergeCell ref="E68:Q68"/>
    <mergeCell ref="AB68:AE68"/>
    <mergeCell ref="B69:D69"/>
    <mergeCell ref="E69:Q69"/>
    <mergeCell ref="B70:D70"/>
    <mergeCell ref="E70:Q70"/>
    <mergeCell ref="AB70:AE70"/>
    <mergeCell ref="B71:D71"/>
    <mergeCell ref="E71:Q71"/>
    <mergeCell ref="AB71:AE71"/>
    <mergeCell ref="B72:D72"/>
    <mergeCell ref="E72:Q72"/>
    <mergeCell ref="AB72:AE72"/>
    <mergeCell ref="B73:D73"/>
    <mergeCell ref="E73:Q73"/>
    <mergeCell ref="AB73:AE73"/>
    <mergeCell ref="B74:D74"/>
    <mergeCell ref="E74:Q74"/>
    <mergeCell ref="AB74:AE74"/>
  </mergeCells>
  <conditionalFormatting sqref="B1:AG7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9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165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6" t="n">
        <f aca="false">'QFS.9'!AA8</f>
        <v>82000</v>
      </c>
      <c r="AB8" s="46"/>
      <c r="AC8" s="46"/>
      <c r="AD8" s="46"/>
      <c r="AE8" s="46"/>
      <c r="AF8" s="46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6" t="n">
        <f aca="false">'QFS.9'!U9</f>
        <v>45000</v>
      </c>
      <c r="V9" s="46"/>
      <c r="W9" s="46"/>
      <c r="X9" s="46"/>
      <c r="Y9" s="46"/>
      <c r="Z9" s="46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6" t="n">
        <f aca="false">'QFS.9'!U10</f>
        <v>800</v>
      </c>
      <c r="V10" s="46"/>
      <c r="W10" s="46"/>
      <c r="X10" s="46"/>
      <c r="Y10" s="46"/>
      <c r="Z10" s="46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46" t="n">
        <f aca="false">'QFS.9'!AA11</f>
        <v>900</v>
      </c>
      <c r="AB11" s="46"/>
      <c r="AC11" s="46"/>
      <c r="AD11" s="46"/>
      <c r="AE11" s="46"/>
      <c r="AF11" s="46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6" t="n">
        <f aca="false">'QFS.9'!U12</f>
        <v>400</v>
      </c>
      <c r="V12" s="46"/>
      <c r="W12" s="46"/>
      <c r="X12" s="46"/>
      <c r="Y12" s="46"/>
      <c r="Z12" s="46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166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6" t="n">
        <f aca="false">'QFS.9'!U13</f>
        <v>6200</v>
      </c>
      <c r="V13" s="46"/>
      <c r="W13" s="46"/>
      <c r="X13" s="46"/>
      <c r="Y13" s="46"/>
      <c r="Z13" s="46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48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6" t="n">
        <f aca="false">'QFS.9'!U14</f>
        <v>12600</v>
      </c>
      <c r="V14" s="46"/>
      <c r="W14" s="46"/>
      <c r="X14" s="46"/>
      <c r="Y14" s="46"/>
      <c r="Z14" s="46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167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6" t="n">
        <f aca="false">'QFS.9'!U15</f>
        <v>2300</v>
      </c>
      <c r="V15" s="46"/>
      <c r="W15" s="46"/>
      <c r="X15" s="46"/>
      <c r="Y15" s="46"/>
      <c r="Z15" s="46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50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46" t="n">
        <f aca="false">'QFS.9'!U16</f>
        <v>1600</v>
      </c>
      <c r="V16" s="46"/>
      <c r="W16" s="46"/>
      <c r="X16" s="46"/>
      <c r="Y16" s="46"/>
      <c r="Z16" s="46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6" t="n">
        <f aca="false">'QFS.9'!U17</f>
        <v>1200</v>
      </c>
      <c r="V17" s="46"/>
      <c r="W17" s="46"/>
      <c r="X17" s="46"/>
      <c r="Y17" s="46"/>
      <c r="Z17" s="46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54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46" t="n">
        <f aca="false">'QFS.9'!U18</f>
        <v>350</v>
      </c>
      <c r="V18" s="46"/>
      <c r="W18" s="46"/>
      <c r="X18" s="46"/>
      <c r="Y18" s="46"/>
      <c r="Z18" s="46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169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46" t="n">
        <f aca="false">'QFS.9'!AA19</f>
        <v>2400</v>
      </c>
      <c r="AB19" s="46"/>
      <c r="AC19" s="46"/>
      <c r="AD19" s="46"/>
      <c r="AE19" s="46"/>
      <c r="AF19" s="46"/>
    </row>
    <row r="20" customFormat="false" ht="15" hidden="false" customHeight="false" outlineLevel="0" collapsed="false">
      <c r="B20" s="18" t="s">
        <v>170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46" t="n">
        <f aca="false">'QFS.9'!U20</f>
        <v>24000</v>
      </c>
      <c r="V20" s="46"/>
      <c r="W20" s="46"/>
      <c r="X20" s="46"/>
      <c r="Y20" s="46"/>
      <c r="Z20" s="46"/>
      <c r="AA20" s="18"/>
      <c r="AB20" s="18"/>
      <c r="AC20" s="18"/>
      <c r="AD20" s="18"/>
      <c r="AE20" s="18"/>
      <c r="AF20" s="18"/>
    </row>
    <row r="21" customFormat="false" ht="15" hidden="false" customHeight="false" outlineLevel="0" collapsed="false">
      <c r="B21" s="18" t="s">
        <v>171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46" t="n">
        <f aca="false">'QFS.9'!AA21</f>
        <v>6000</v>
      </c>
      <c r="AB21" s="46"/>
      <c r="AC21" s="46"/>
      <c r="AD21" s="46"/>
      <c r="AE21" s="46"/>
      <c r="AF21" s="46"/>
    </row>
    <row r="22" customFormat="false" ht="15" hidden="false" customHeight="false" outlineLevel="0" collapsed="false">
      <c r="B22" s="18" t="s">
        <v>154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46" t="n">
        <f aca="false">'QFS.9'!U22</f>
        <v>8000</v>
      </c>
      <c r="V22" s="46"/>
      <c r="W22" s="46"/>
      <c r="X22" s="46"/>
      <c r="Y22" s="46"/>
      <c r="Z22" s="46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155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46" t="n">
        <f aca="false">'QFS.9'!AA23</f>
        <v>2000</v>
      </c>
      <c r="AB23" s="46"/>
      <c r="AC23" s="46"/>
      <c r="AD23" s="46"/>
      <c r="AE23" s="46"/>
      <c r="AF23" s="46"/>
    </row>
    <row r="24" customFormat="false" ht="15" hidden="false" customHeight="false" outlineLevel="0" collapsed="false">
      <c r="B24" s="18" t="s">
        <v>58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46" t="n">
        <f aca="false">'QFS.9'!U24</f>
        <v>9000</v>
      </c>
      <c r="V24" s="46"/>
      <c r="W24" s="46"/>
      <c r="X24" s="46"/>
      <c r="Y24" s="46"/>
      <c r="Z24" s="46"/>
      <c r="AA24" s="18"/>
      <c r="AB24" s="18"/>
      <c r="AC24" s="18"/>
      <c r="AD24" s="18"/>
      <c r="AE24" s="18"/>
      <c r="AF24" s="18"/>
    </row>
    <row r="25" customFormat="false" ht="15" hidden="false" customHeight="false" outlineLevel="0" collapsed="false">
      <c r="B25" s="18" t="s">
        <v>59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46" t="n">
        <f aca="false">'QFS.9'!AA25</f>
        <v>500</v>
      </c>
      <c r="AB25" s="46"/>
      <c r="AC25" s="46"/>
      <c r="AD25" s="46"/>
      <c r="AE25" s="46"/>
      <c r="AF25" s="46"/>
    </row>
    <row r="26" customFormat="false" ht="15" hidden="false" customHeight="false" outlineLevel="0" collapsed="false">
      <c r="B26" s="18" t="s">
        <v>60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46" t="n">
        <f aca="false">'QFS.9'!AA26</f>
        <v>5300</v>
      </c>
      <c r="AB26" s="46"/>
      <c r="AC26" s="46"/>
      <c r="AD26" s="46"/>
      <c r="AE26" s="46"/>
      <c r="AF26" s="46"/>
    </row>
    <row r="27" customFormat="false" ht="15" hidden="false" customHeight="false" outlineLevel="0" collapsed="false">
      <c r="B27" s="18" t="s">
        <v>61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46" t="n">
        <f aca="false">'QFS.9'!U27</f>
        <v>3150</v>
      </c>
      <c r="V27" s="46"/>
      <c r="W27" s="46"/>
      <c r="X27" s="46"/>
      <c r="Y27" s="46"/>
      <c r="Z27" s="46"/>
      <c r="AA27" s="18"/>
      <c r="AB27" s="18"/>
      <c r="AC27" s="18"/>
      <c r="AD27" s="18"/>
      <c r="AE27" s="18"/>
      <c r="AF27" s="18"/>
    </row>
    <row r="28" customFormat="false" ht="15" hidden="false" customHeight="false" outlineLevel="0" collapsed="false">
      <c r="B28" s="18" t="s">
        <v>64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46" t="n">
        <f aca="false">'QFS.9'!AA28</f>
        <v>23000</v>
      </c>
      <c r="AB28" s="46"/>
      <c r="AC28" s="46"/>
      <c r="AD28" s="46"/>
      <c r="AE28" s="46"/>
      <c r="AF28" s="46"/>
    </row>
    <row r="29" customFormat="false" ht="15" hidden="false" customHeight="false" outlineLevel="0" collapsed="false">
      <c r="B29" s="18" t="s">
        <v>65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46" t="n">
        <f aca="false">'QFS.9'!U29</f>
        <v>7500</v>
      </c>
      <c r="V29" s="46"/>
      <c r="W29" s="46"/>
      <c r="X29" s="46"/>
      <c r="Y29" s="46"/>
      <c r="Z29" s="46"/>
      <c r="AA29" s="18"/>
      <c r="AB29" s="18"/>
      <c r="AC29" s="18"/>
      <c r="AD29" s="18"/>
      <c r="AE29" s="18"/>
      <c r="AF29" s="18"/>
    </row>
    <row r="30" customFormat="false" ht="15" hidden="false" customHeight="false" outlineLevel="0" collapsed="false">
      <c r="B30" s="20" t="s">
        <v>66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1" t="n">
        <f aca="false">SUM(U8:U29)</f>
        <v>122100</v>
      </c>
      <c r="V30" s="21"/>
      <c r="W30" s="21"/>
      <c r="X30" s="21"/>
      <c r="Y30" s="21"/>
      <c r="Z30" s="21"/>
      <c r="AA30" s="21" t="n">
        <f aca="false">SUM(AA8:AA29)</f>
        <v>122100</v>
      </c>
      <c r="AB30" s="21"/>
      <c r="AC30" s="21"/>
      <c r="AD30" s="21"/>
      <c r="AE30" s="21"/>
      <c r="AF30" s="21"/>
    </row>
    <row r="32" customFormat="false" ht="15" hidden="false" customHeight="false" outlineLevel="0" collapsed="false">
      <c r="B32" s="16" t="s">
        <v>172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7" t="s">
        <v>68</v>
      </c>
      <c r="Y32" s="17"/>
      <c r="Z32" s="17"/>
      <c r="AA32" s="17"/>
      <c r="AB32" s="17"/>
      <c r="AC32" s="17"/>
    </row>
    <row r="33" customFormat="false" ht="16.5" hidden="false" customHeight="true" outlineLevel="0" collapsed="false">
      <c r="B33" s="12" t="s">
        <v>69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46" t="n">
        <f aca="false">'QFS.9'!X33</f>
        <v>7100</v>
      </c>
      <c r="Y33" s="46"/>
      <c r="Z33" s="46"/>
      <c r="AA33" s="46"/>
      <c r="AB33" s="46"/>
      <c r="AC33" s="46"/>
    </row>
    <row r="34" customFormat="false" ht="16.5" hidden="false" customHeight="true" outlineLevel="0" collapsed="false">
      <c r="B34" s="12" t="s">
        <v>173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46" t="n">
        <f aca="false">'QFS.9'!X34</f>
        <v>250</v>
      </c>
      <c r="Y34" s="46"/>
      <c r="Z34" s="46"/>
      <c r="AA34" s="46"/>
      <c r="AB34" s="46"/>
      <c r="AC34" s="46"/>
    </row>
    <row r="35" customFormat="false" ht="16.5" hidden="false" customHeight="true" outlineLevel="0" collapsed="false">
      <c r="B35" s="12" t="s">
        <v>71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46" t="n">
        <f aca="false">'QFS.9'!X35</f>
        <v>400</v>
      </c>
      <c r="Y35" s="46"/>
      <c r="Z35" s="46"/>
      <c r="AA35" s="46"/>
      <c r="AB35" s="46"/>
      <c r="AC35" s="46"/>
    </row>
    <row r="36" customFormat="false" ht="16.5" hidden="false" customHeight="true" outlineLevel="0" collapsed="false">
      <c r="B36" s="12" t="s">
        <v>174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46" t="n">
        <f aca="false">'QFS.9'!X36</f>
        <v>200</v>
      </c>
      <c r="Y36" s="46"/>
      <c r="Z36" s="46"/>
      <c r="AA36" s="46"/>
      <c r="AB36" s="46"/>
      <c r="AC36" s="46"/>
    </row>
    <row r="37" customFormat="false" ht="16.5" hidden="false" customHeight="true" outlineLevel="0" collapsed="false">
      <c r="B37" s="12" t="s">
        <v>175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51" t="n">
        <f aca="false">'QFS.9'!X37</f>
        <v>0.04</v>
      </c>
      <c r="Y37" s="51"/>
      <c r="Z37" s="51"/>
      <c r="AA37" s="51"/>
      <c r="AB37" s="51"/>
      <c r="AC37" s="51"/>
    </row>
    <row r="38" customFormat="false" ht="16.5" hidden="false" customHeight="true" outlineLevel="0" collapsed="false">
      <c r="B38" s="12" t="s">
        <v>176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51" t="n">
        <f aca="false">'QFS.9'!X38</f>
        <v>0.2</v>
      </c>
      <c r="Y38" s="51"/>
      <c r="Z38" s="51"/>
      <c r="AA38" s="51"/>
      <c r="AB38" s="51"/>
      <c r="AC38" s="51"/>
    </row>
    <row r="39" customFormat="false" ht="16.5" hidden="false" customHeight="true" outlineLevel="0" collapsed="false">
      <c r="B39" s="12" t="s">
        <v>177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51" t="n">
        <f aca="false">'QFS.9'!X39</f>
        <v>0.1</v>
      </c>
      <c r="Y39" s="51"/>
      <c r="Z39" s="51"/>
      <c r="AA39" s="51"/>
      <c r="AB39" s="51"/>
      <c r="AC39" s="51"/>
    </row>
    <row r="42" customFormat="false" ht="18.75" hidden="false" customHeight="true" outlineLevel="0" collapsed="false">
      <c r="B42" s="3" t="s">
        <v>178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customFormat="false" ht="15" hidden="false" customHeight="false" outlineLevel="0" collapsed="false">
      <c r="B43" s="15" t="s">
        <v>179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Format="false" ht="15" hidden="false" customHeight="false" outlineLevel="0" collapsed="false">
      <c r="B44" s="15" t="s">
        <v>180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customFormat="false" ht="15" hidden="false" customHeight="false" outlineLevel="0" collapsed="false">
      <c r="B45" s="23"/>
      <c r="C45" s="23"/>
      <c r="D45" s="23"/>
      <c r="E45" s="16" t="s">
        <v>38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7" t="s">
        <v>77</v>
      </c>
      <c r="S45" s="17"/>
      <c r="T45" s="17"/>
      <c r="U45" s="17"/>
      <c r="V45" s="17"/>
      <c r="W45" s="17" t="s">
        <v>77</v>
      </c>
      <c r="X45" s="17"/>
      <c r="Y45" s="17"/>
      <c r="Z45" s="17"/>
      <c r="AA45" s="17"/>
      <c r="AB45" s="17" t="s">
        <v>77</v>
      </c>
      <c r="AC45" s="17"/>
      <c r="AD45" s="17"/>
      <c r="AE45" s="17"/>
      <c r="AF45" s="17"/>
    </row>
    <row r="46" customFormat="false" ht="17.25" hidden="false" customHeight="true" outlineLevel="0" collapsed="false">
      <c r="B46" s="24"/>
      <c r="C46" s="24"/>
      <c r="D46" s="24"/>
      <c r="E46" s="25" t="s">
        <v>41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AB46" s="47" t="n">
        <f aca="false">$AA$8</f>
        <v>82000</v>
      </c>
      <c r="AC46" s="47"/>
      <c r="AD46" s="47"/>
      <c r="AE46" s="47"/>
    </row>
    <row r="47" customFormat="false" ht="17.25" hidden="false" customHeight="true" outlineLevel="0" collapsed="false">
      <c r="B47" s="24" t="s">
        <v>78</v>
      </c>
      <c r="C47" s="24"/>
      <c r="D47" s="24"/>
      <c r="E47" s="25" t="s">
        <v>43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AB47" s="48" t="n">
        <f aca="false">-($U$10)</f>
        <v>-800</v>
      </c>
      <c r="AC47" s="48"/>
      <c r="AD47" s="48"/>
      <c r="AE47" s="48"/>
    </row>
    <row r="48" customFormat="false" ht="17.25" hidden="false" customHeight="true" outlineLevel="0" collapsed="false">
      <c r="B48" s="24"/>
      <c r="C48" s="24"/>
      <c r="D48" s="24"/>
      <c r="E48" s="25" t="s">
        <v>79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AB48" s="47" t="n">
        <f aca="false">$AB$46+$AB$47</f>
        <v>81200</v>
      </c>
      <c r="AC48" s="47"/>
      <c r="AD48" s="47"/>
      <c r="AE48" s="47"/>
    </row>
    <row r="49" customFormat="false" ht="17.25" hidden="false" customHeight="true" outlineLevel="0" collapsed="false">
      <c r="B49" s="24" t="s">
        <v>78</v>
      </c>
      <c r="C49" s="24"/>
      <c r="D49" s="24"/>
      <c r="E49" s="27" t="s">
        <v>80</v>
      </c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</row>
    <row r="50" customFormat="false" ht="17.25" hidden="false" customHeight="true" outlineLevel="0" collapsed="false">
      <c r="B50" s="24"/>
      <c r="C50" s="24"/>
      <c r="D50" s="24"/>
      <c r="E50" s="25" t="s">
        <v>81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W50" s="47" t="n">
        <f aca="false">$U$13</f>
        <v>6200</v>
      </c>
      <c r="X50" s="47"/>
      <c r="Y50" s="47"/>
      <c r="Z50" s="47"/>
    </row>
    <row r="51" customFormat="false" ht="17.25" hidden="false" customHeight="true" outlineLevel="0" collapsed="false">
      <c r="B51" s="24" t="s">
        <v>82</v>
      </c>
      <c r="C51" s="24"/>
      <c r="D51" s="24"/>
      <c r="E51" s="25" t="s">
        <v>42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47" t="n">
        <f aca="false">$U$9</f>
        <v>45000</v>
      </c>
      <c r="S51" s="47"/>
      <c r="T51" s="47"/>
      <c r="U51" s="47"/>
    </row>
    <row r="52" customFormat="false" ht="17.25" hidden="false" customHeight="true" outlineLevel="0" collapsed="false">
      <c r="B52" s="24" t="s">
        <v>78</v>
      </c>
      <c r="C52" s="24"/>
      <c r="D52" s="24"/>
      <c r="E52" s="25" t="s">
        <v>44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47" t="n">
        <f aca="false">-($AA$11)</f>
        <v>-900</v>
      </c>
      <c r="S52" s="47"/>
      <c r="T52" s="47"/>
      <c r="U52" s="47"/>
    </row>
    <row r="53" customFormat="false" ht="17.25" hidden="false" customHeight="true" outlineLevel="0" collapsed="false">
      <c r="B53" s="24" t="s">
        <v>82</v>
      </c>
      <c r="C53" s="24"/>
      <c r="D53" s="24"/>
      <c r="E53" s="25" t="s">
        <v>45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48" t="n">
        <f aca="false">$U$12</f>
        <v>400</v>
      </c>
      <c r="S53" s="48"/>
      <c r="T53" s="48"/>
      <c r="U53" s="48"/>
      <c r="W53" s="48" t="n">
        <f aca="false">$R$51+$R$52+$R$53</f>
        <v>44500</v>
      </c>
      <c r="X53" s="48"/>
      <c r="Y53" s="48"/>
      <c r="Z53" s="48"/>
    </row>
    <row r="54" customFormat="false" ht="17.25" hidden="false" customHeight="true" outlineLevel="0" collapsed="false">
      <c r="B54" s="24"/>
      <c r="C54" s="24"/>
      <c r="D54" s="24"/>
      <c r="E54" s="25" t="s">
        <v>83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W54" s="47" t="n">
        <f aca="false">$W$50+$W$53</f>
        <v>50700</v>
      </c>
      <c r="X54" s="47"/>
      <c r="Y54" s="47"/>
      <c r="Z54" s="47"/>
    </row>
    <row r="55" customFormat="false" ht="17.25" hidden="false" customHeight="true" outlineLevel="0" collapsed="false">
      <c r="B55" s="24" t="s">
        <v>78</v>
      </c>
      <c r="C55" s="24"/>
      <c r="D55" s="24"/>
      <c r="E55" s="25" t="s">
        <v>84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W55" s="48" t="n">
        <f aca="false">-($X$33)</f>
        <v>-7100</v>
      </c>
      <c r="X55" s="48"/>
      <c r="Y55" s="48"/>
      <c r="Z55" s="48"/>
      <c r="AB55" s="48" t="n">
        <f aca="false">-($W$54+$W$55)</f>
        <v>-43600</v>
      </c>
      <c r="AC55" s="48"/>
      <c r="AD55" s="48"/>
      <c r="AE55" s="48"/>
    </row>
    <row r="56" customFormat="false" ht="17.25" hidden="false" customHeight="true" outlineLevel="0" collapsed="false">
      <c r="B56" s="24"/>
      <c r="C56" s="24"/>
      <c r="D56" s="24"/>
      <c r="E56" s="28" t="s">
        <v>85</v>
      </c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AB56" s="47" t="n">
        <f aca="false">$AB$48+$AB$55</f>
        <v>37600</v>
      </c>
      <c r="AC56" s="47"/>
      <c r="AD56" s="47"/>
      <c r="AE56" s="47"/>
    </row>
    <row r="57" customFormat="false" ht="17.25" hidden="false" customHeight="true" outlineLevel="0" collapsed="false">
      <c r="B57" s="24" t="s">
        <v>82</v>
      </c>
      <c r="C57" s="24"/>
      <c r="D57" s="24"/>
      <c r="E57" s="27" t="s">
        <v>86</v>
      </c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</row>
    <row r="58" customFormat="false" ht="17.25" hidden="false" customHeight="true" outlineLevel="0" collapsed="false">
      <c r="B58" s="24"/>
      <c r="C58" s="24"/>
      <c r="D58" s="24"/>
      <c r="E58" s="25" t="s">
        <v>169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W58" s="47" t="n">
        <f aca="false">$AA$19-$X$36</f>
        <v>2200</v>
      </c>
      <c r="X58" s="47"/>
      <c r="Y58" s="47"/>
      <c r="Z58" s="47"/>
    </row>
    <row r="59" customFormat="false" ht="17.25" hidden="false" customHeight="true" outlineLevel="0" collapsed="false">
      <c r="B59" s="24"/>
      <c r="C59" s="24"/>
      <c r="D59" s="24"/>
      <c r="E59" s="25" t="s">
        <v>181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W59" s="48" t="n">
        <f aca="false">$AA$25-ROUND($U$24*$X$37,2)</f>
        <v>140</v>
      </c>
      <c r="X59" s="48"/>
      <c r="Y59" s="48"/>
      <c r="Z59" s="48"/>
      <c r="AB59" s="48" t="n">
        <f aca="false">$W$58+$W$59</f>
        <v>2340</v>
      </c>
      <c r="AC59" s="48"/>
      <c r="AD59" s="48"/>
      <c r="AE59" s="48"/>
    </row>
    <row r="60" customFormat="false" ht="17.25" hidden="false" customHeight="true" outlineLevel="0" collapsed="false">
      <c r="B60" s="24"/>
      <c r="C60" s="24"/>
      <c r="D60" s="24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AB60" s="47" t="n">
        <f aca="false">$AB$56+$AB$59</f>
        <v>39940</v>
      </c>
      <c r="AC60" s="47"/>
      <c r="AD60" s="47"/>
      <c r="AE60" s="47"/>
    </row>
    <row r="61" customFormat="false" ht="17.25" hidden="false" customHeight="true" outlineLevel="0" collapsed="false">
      <c r="B61" s="24" t="s">
        <v>78</v>
      </c>
      <c r="C61" s="24"/>
      <c r="D61" s="24"/>
      <c r="E61" s="27" t="s">
        <v>87</v>
      </c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customFormat="false" ht="17.25" hidden="false" customHeight="true" outlineLevel="0" collapsed="false">
      <c r="B62" s="24"/>
      <c r="C62" s="24"/>
      <c r="D62" s="24"/>
      <c r="E62" s="25" t="s">
        <v>48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W62" s="47" t="n">
        <f aca="false">$U$14</f>
        <v>12600</v>
      </c>
      <c r="X62" s="47"/>
      <c r="Y62" s="47"/>
      <c r="Z62" s="47"/>
    </row>
    <row r="63" customFormat="false" ht="17.25" hidden="false" customHeight="true" outlineLevel="0" collapsed="false">
      <c r="B63" s="24"/>
      <c r="C63" s="24"/>
      <c r="D63" s="24"/>
      <c r="E63" s="25" t="s">
        <v>167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W63" s="47" t="n">
        <f aca="false">$U$15+$X$34</f>
        <v>2550</v>
      </c>
      <c r="X63" s="47"/>
      <c r="Y63" s="47"/>
      <c r="Z63" s="47"/>
    </row>
    <row r="64" customFormat="false" ht="17.25" hidden="false" customHeight="true" outlineLevel="0" collapsed="false">
      <c r="B64" s="24"/>
      <c r="C64" s="24"/>
      <c r="D64" s="24"/>
      <c r="E64" s="25" t="s">
        <v>50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W64" s="47" t="n">
        <f aca="false">$U$16-$X$35</f>
        <v>1200</v>
      </c>
      <c r="X64" s="47"/>
      <c r="Y64" s="47"/>
      <c r="Z64" s="47"/>
    </row>
    <row r="65" customFormat="false" ht="17.25" hidden="false" customHeight="true" outlineLevel="0" collapsed="false">
      <c r="B65" s="24"/>
      <c r="C65" s="24"/>
      <c r="D65" s="24"/>
      <c r="E65" s="25" t="s">
        <v>168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W65" s="47" t="n">
        <f aca="false">$U$17</f>
        <v>1200</v>
      </c>
      <c r="X65" s="47"/>
      <c r="Y65" s="47"/>
      <c r="Z65" s="47"/>
    </row>
    <row r="66" customFormat="false" ht="17.25" hidden="false" customHeight="true" outlineLevel="0" collapsed="false">
      <c r="B66" s="24"/>
      <c r="C66" s="24"/>
      <c r="D66" s="24"/>
      <c r="E66" s="25" t="s">
        <v>54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W66" s="47" t="n">
        <f aca="false">$U$18</f>
        <v>350</v>
      </c>
      <c r="X66" s="47"/>
      <c r="Y66" s="47"/>
      <c r="Z66" s="47"/>
    </row>
    <row r="67" customFormat="false" ht="17.25" hidden="false" customHeight="true" outlineLevel="0" collapsed="false">
      <c r="B67" s="24"/>
      <c r="C67" s="24"/>
      <c r="D67" s="24"/>
      <c r="E67" s="25" t="s">
        <v>182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47" t="n">
        <f aca="false">ROUND(($U$20-$AA$21)*$X$38,2)</f>
        <v>3600</v>
      </c>
      <c r="X67" s="47"/>
      <c r="Y67" s="47"/>
      <c r="Z67" s="47"/>
    </row>
    <row r="68" customFormat="false" ht="17.25" hidden="false" customHeight="true" outlineLevel="0" collapsed="false">
      <c r="B68" s="24"/>
      <c r="C68" s="24"/>
      <c r="D68" s="24"/>
      <c r="E68" s="25" t="s">
        <v>159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W68" s="48" t="n">
        <f aca="false">$U$22*$X$39</f>
        <v>800</v>
      </c>
      <c r="X68" s="48"/>
      <c r="Y68" s="48"/>
      <c r="Z68" s="48"/>
      <c r="AB68" s="48" t="n">
        <f aca="false">-($W$62+$W$63+$W$64+$W$65+$W$66+$W$67+$W$68)</f>
        <v>-22300</v>
      </c>
      <c r="AC68" s="48"/>
      <c r="AD68" s="48"/>
      <c r="AE68" s="48"/>
    </row>
    <row r="69" customFormat="false" ht="17.25" hidden="false" customHeight="true" outlineLevel="0" collapsed="false">
      <c r="B69" s="24"/>
      <c r="C69" s="24"/>
      <c r="D69" s="24"/>
      <c r="E69" s="28" t="s">
        <v>91</v>
      </c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AB69" s="49" t="n">
        <f aca="false">$AB$60+$AB$68</f>
        <v>17640</v>
      </c>
      <c r="AC69" s="49"/>
      <c r="AD69" s="49"/>
      <c r="AE69" s="49"/>
    </row>
    <row r="71" customFormat="false" ht="18.75" hidden="false" customHeight="true" outlineLevel="0" collapsed="false">
      <c r="B71" s="3" t="s">
        <v>183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 customFormat="false" ht="15" hidden="false" customHeight="false" outlineLevel="0" collapsed="false">
      <c r="B72" s="15" t="s">
        <v>179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customFormat="false" ht="15" hidden="false" customHeight="false" outlineLevel="0" collapsed="false">
      <c r="B73" s="15" t="s">
        <v>184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customFormat="false" ht="15" hidden="false" customHeight="false" outlineLevel="0" collapsed="false">
      <c r="B74" s="23"/>
      <c r="C74" s="23"/>
      <c r="D74" s="23"/>
      <c r="E74" s="16" t="s">
        <v>38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7" t="s">
        <v>77</v>
      </c>
      <c r="S74" s="17"/>
      <c r="T74" s="17"/>
      <c r="U74" s="17"/>
      <c r="V74" s="17"/>
      <c r="W74" s="17" t="s">
        <v>77</v>
      </c>
      <c r="X74" s="17"/>
      <c r="Y74" s="17"/>
      <c r="Z74" s="17"/>
      <c r="AA74" s="17"/>
      <c r="AB74" s="17" t="s">
        <v>77</v>
      </c>
      <c r="AC74" s="17"/>
      <c r="AD74" s="17"/>
      <c r="AE74" s="17"/>
      <c r="AF74" s="17"/>
    </row>
    <row r="75" customFormat="false" ht="30" hidden="false" customHeight="true" outlineLevel="0" collapsed="false"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11" t="s">
        <v>93</v>
      </c>
      <c r="S75" s="11"/>
      <c r="T75" s="11"/>
      <c r="U75" s="11"/>
      <c r="V75" s="11"/>
      <c r="W75" s="11" t="s">
        <v>94</v>
      </c>
      <c r="X75" s="11"/>
      <c r="Y75" s="11"/>
      <c r="Z75" s="11"/>
      <c r="AA75" s="11"/>
      <c r="AB75" s="11" t="s">
        <v>95</v>
      </c>
      <c r="AC75" s="11"/>
      <c r="AD75" s="11"/>
      <c r="AE75" s="11"/>
      <c r="AF75" s="11"/>
    </row>
    <row r="76" customFormat="false" ht="17.25" hidden="false" customHeight="true" outlineLevel="0" collapsed="false">
      <c r="B76" s="24"/>
      <c r="C76" s="24"/>
      <c r="D76" s="24"/>
      <c r="E76" s="27" t="s">
        <v>96</v>
      </c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</row>
    <row r="77" customFormat="false" ht="17.25" hidden="false" customHeight="true" outlineLevel="0" collapsed="false">
      <c r="B77" s="24"/>
      <c r="C77" s="24"/>
      <c r="D77" s="24"/>
      <c r="E77" s="25" t="s">
        <v>185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47" t="n">
        <f aca="false">$U$20</f>
        <v>24000</v>
      </c>
      <c r="S77" s="47"/>
      <c r="T77" s="47"/>
      <c r="U77" s="47"/>
      <c r="W77" s="47" t="n">
        <f aca="false">$AA$21+ROUND(($U$20-$AA$21)*$X$38,2)</f>
        <v>9600</v>
      </c>
      <c r="X77" s="47"/>
      <c r="Y77" s="47"/>
      <c r="Z77" s="47"/>
      <c r="AB77" s="47" t="n">
        <f aca="false">$R$77-$W$77</f>
        <v>14400</v>
      </c>
      <c r="AC77" s="47"/>
      <c r="AD77" s="47"/>
      <c r="AE77" s="47"/>
    </row>
    <row r="78" customFormat="false" ht="17.25" hidden="false" customHeight="true" outlineLevel="0" collapsed="false">
      <c r="B78" s="24"/>
      <c r="C78" s="24"/>
      <c r="D78" s="24"/>
      <c r="E78" s="25" t="s">
        <v>161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48" t="n">
        <f aca="false">$U$22</f>
        <v>8000</v>
      </c>
      <c r="S78" s="48"/>
      <c r="T78" s="48"/>
      <c r="U78" s="48"/>
      <c r="W78" s="48" t="n">
        <f aca="false">$AA$23+$U$22*$X$39</f>
        <v>2800</v>
      </c>
      <c r="X78" s="48"/>
      <c r="Y78" s="48"/>
      <c r="Z78" s="48"/>
      <c r="AB78" s="48" t="n">
        <f aca="false">$R$78-$W$78</f>
        <v>5200</v>
      </c>
      <c r="AC78" s="48"/>
      <c r="AD78" s="48"/>
      <c r="AE78" s="48"/>
    </row>
    <row r="79" customFormat="false" ht="17.25" hidden="false" customHeight="true" outlineLevel="0" collapsed="false">
      <c r="B79" s="24"/>
      <c r="C79" s="24"/>
      <c r="D79" s="24"/>
      <c r="E79" s="28" t="s">
        <v>99</v>
      </c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47" t="n">
        <f aca="false">$R$77+$R$78</f>
        <v>32000</v>
      </c>
      <c r="S79" s="47"/>
      <c r="T79" s="47"/>
      <c r="U79" s="47"/>
      <c r="W79" s="47" t="n">
        <f aca="false">$W$77+$W$78</f>
        <v>12400</v>
      </c>
      <c r="X79" s="47"/>
      <c r="Y79" s="47"/>
      <c r="Z79" s="47"/>
      <c r="AB79" s="47" t="n">
        <f aca="false">$AB$77+$AB$78</f>
        <v>19600</v>
      </c>
      <c r="AC79" s="47"/>
      <c r="AD79" s="47"/>
      <c r="AE79" s="47"/>
    </row>
    <row r="80" customFormat="false" ht="17.25" hidden="false" customHeight="true" outlineLevel="0" collapsed="false">
      <c r="B80" s="24"/>
      <c r="C80" s="24"/>
      <c r="D80" s="24"/>
      <c r="E80" s="27" t="s">
        <v>100</v>
      </c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customFormat="false" ht="17.25" hidden="false" customHeight="true" outlineLevel="0" collapsed="false">
      <c r="B81" s="24"/>
      <c r="C81" s="24"/>
      <c r="D81" s="24"/>
      <c r="E81" s="25" t="s">
        <v>101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47" t="n">
        <f aca="false">$X$33</f>
        <v>7100</v>
      </c>
      <c r="X81" s="47"/>
      <c r="Y81" s="47"/>
      <c r="Z81" s="47"/>
    </row>
    <row r="82" customFormat="false" ht="17.25" hidden="false" customHeight="true" outlineLevel="0" collapsed="false">
      <c r="B82" s="24"/>
      <c r="C82" s="24"/>
      <c r="D82" s="24"/>
      <c r="E82" s="25" t="s">
        <v>58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47" t="n">
        <f aca="false">$U$24</f>
        <v>9000</v>
      </c>
      <c r="S82" s="47"/>
      <c r="T82" s="47"/>
      <c r="U82" s="47"/>
    </row>
    <row r="83" customFormat="false" ht="17.25" hidden="false" customHeight="true" outlineLevel="0" collapsed="false">
      <c r="B83" s="24" t="s">
        <v>78</v>
      </c>
      <c r="C83" s="24"/>
      <c r="D83" s="24"/>
      <c r="E83" s="25" t="s">
        <v>59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48" t="n">
        <f aca="false">-(ROUND($U$24*$X$37,2))</f>
        <v>-360</v>
      </c>
      <c r="S83" s="48"/>
      <c r="T83" s="48"/>
      <c r="U83" s="48"/>
      <c r="W83" s="47" t="n">
        <f aca="false">$R$82+$R$83</f>
        <v>8640</v>
      </c>
      <c r="X83" s="47"/>
      <c r="Y83" s="47"/>
      <c r="Z83" s="47"/>
    </row>
    <row r="84" customFormat="false" ht="17.25" hidden="false" customHeight="true" outlineLevel="0" collapsed="false">
      <c r="B84" s="24"/>
      <c r="C84" s="24"/>
      <c r="D84" s="24"/>
      <c r="E84" s="25" t="s">
        <v>102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47" t="n">
        <f aca="false">$X$35</f>
        <v>400</v>
      </c>
      <c r="X84" s="47"/>
      <c r="Y84" s="47"/>
      <c r="Z84" s="47"/>
    </row>
    <row r="85" customFormat="false" ht="17.25" hidden="false" customHeight="true" outlineLevel="0" collapsed="false">
      <c r="B85" s="24"/>
      <c r="C85" s="24"/>
      <c r="D85" s="24"/>
      <c r="E85" s="25" t="s">
        <v>61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48" t="n">
        <f aca="false">$U$27</f>
        <v>3150</v>
      </c>
      <c r="X85" s="48"/>
      <c r="Y85" s="48"/>
      <c r="Z85" s="48"/>
    </row>
    <row r="86" customFormat="false" ht="17.25" hidden="false" customHeight="true" outlineLevel="0" collapsed="false">
      <c r="B86" s="24"/>
      <c r="C86" s="24"/>
      <c r="D86" s="24"/>
      <c r="E86" s="28" t="s">
        <v>103</v>
      </c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W86" s="47" t="n">
        <f aca="false">$W$81+$W$83+$W$84+$W$85</f>
        <v>19290</v>
      </c>
      <c r="X86" s="47"/>
      <c r="Y86" s="47"/>
      <c r="Z86" s="47"/>
    </row>
    <row r="87" customFormat="false" ht="17.25" hidden="false" customHeight="true" outlineLevel="0" collapsed="false">
      <c r="B87" s="24" t="s">
        <v>78</v>
      </c>
      <c r="C87" s="24"/>
      <c r="D87" s="24"/>
      <c r="E87" s="27" t="s">
        <v>104</v>
      </c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</row>
    <row r="88" customFormat="false" ht="17.25" hidden="false" customHeight="true" outlineLevel="0" collapsed="false">
      <c r="B88" s="24"/>
      <c r="C88" s="24"/>
      <c r="D88" s="24"/>
      <c r="E88" s="25" t="s">
        <v>60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47" t="n">
        <f aca="false">$AA$26</f>
        <v>5300</v>
      </c>
      <c r="X88" s="47"/>
      <c r="Y88" s="47"/>
      <c r="Z88" s="47"/>
    </row>
    <row r="89" customFormat="false" ht="17.25" hidden="false" customHeight="true" outlineLevel="0" collapsed="false">
      <c r="B89" s="24"/>
      <c r="C89" s="24"/>
      <c r="D89" s="24"/>
      <c r="E89" s="25" t="s">
        <v>186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W89" s="48" t="n">
        <f aca="false">$X$34+$X$36</f>
        <v>450</v>
      </c>
      <c r="X89" s="48"/>
      <c r="Y89" s="48"/>
      <c r="Z89" s="48"/>
    </row>
    <row r="90" customFormat="false" ht="17.25" hidden="false" customHeight="true" outlineLevel="0" collapsed="false">
      <c r="B90" s="24"/>
      <c r="C90" s="24"/>
      <c r="D90" s="24"/>
      <c r="E90" s="28" t="s">
        <v>106</v>
      </c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W90" s="48" t="n">
        <f aca="false">$W$88+$W$89</f>
        <v>5750</v>
      </c>
      <c r="X90" s="48"/>
      <c r="Y90" s="48"/>
      <c r="Z90" s="48"/>
    </row>
    <row r="91" customFormat="false" ht="17.25" hidden="false" customHeight="true" outlineLevel="0" collapsed="false">
      <c r="B91" s="24"/>
      <c r="C91" s="24"/>
      <c r="D91" s="24"/>
      <c r="E91" s="25" t="s">
        <v>107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AB91" s="48" t="n">
        <f aca="false">$W$86-$W$90</f>
        <v>13540</v>
      </c>
      <c r="AC91" s="48"/>
      <c r="AD91" s="48"/>
      <c r="AE91" s="48"/>
    </row>
    <row r="92" customFormat="false" ht="17.25" hidden="false" customHeight="true" outlineLevel="0" collapsed="false">
      <c r="B92" s="24"/>
      <c r="C92" s="24"/>
      <c r="D92" s="24"/>
      <c r="E92" s="28" t="s">
        <v>109</v>
      </c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AB92" s="49" t="n">
        <f aca="false">$AB$79+$AB$91</f>
        <v>33140</v>
      </c>
      <c r="AC92" s="49"/>
      <c r="AD92" s="49"/>
      <c r="AE92" s="49"/>
    </row>
    <row r="93" customFormat="false" ht="17.25" hidden="false" customHeight="true" outlineLevel="0" collapsed="false">
      <c r="B93" s="24"/>
      <c r="C93" s="24"/>
      <c r="D93" s="24"/>
      <c r="E93" s="27" t="s">
        <v>110</v>
      </c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</row>
    <row r="94" customFormat="false" ht="17.25" hidden="false" customHeight="true" outlineLevel="0" collapsed="false">
      <c r="B94" s="24"/>
      <c r="C94" s="24"/>
      <c r="D94" s="24"/>
      <c r="E94" s="25" t="s">
        <v>111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AB94" s="47" t="n">
        <f aca="false">$AA$28</f>
        <v>23000</v>
      </c>
      <c r="AC94" s="47"/>
      <c r="AD94" s="47"/>
      <c r="AE94" s="47"/>
    </row>
    <row r="95" customFormat="false" ht="17.25" hidden="false" customHeight="true" outlineLevel="0" collapsed="false">
      <c r="B95" s="24" t="s">
        <v>82</v>
      </c>
      <c r="C95" s="24"/>
      <c r="D95" s="24"/>
      <c r="E95" s="25" t="s">
        <v>91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AB95" s="48" t="n">
        <f aca="false">$AB$69</f>
        <v>17640</v>
      </c>
      <c r="AC95" s="48"/>
      <c r="AD95" s="48"/>
      <c r="AE95" s="48"/>
    </row>
    <row r="96" customFormat="false" ht="17.25" hidden="false" customHeight="true" outlineLevel="0" collapsed="false">
      <c r="B96" s="24"/>
      <c r="C96" s="24"/>
      <c r="D96" s="24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AB96" s="47" t="n">
        <f aca="false">$AB$94+$AB$95</f>
        <v>40640</v>
      </c>
      <c r="AC96" s="47"/>
      <c r="AD96" s="47"/>
      <c r="AE96" s="47"/>
    </row>
    <row r="97" customFormat="false" ht="17.25" hidden="false" customHeight="true" outlineLevel="0" collapsed="false">
      <c r="B97" s="24" t="s">
        <v>78</v>
      </c>
      <c r="C97" s="24"/>
      <c r="D97" s="24"/>
      <c r="E97" s="25" t="s">
        <v>65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AB97" s="48" t="n">
        <f aca="false">-($U$29)</f>
        <v>-7500</v>
      </c>
      <c r="AC97" s="48"/>
      <c r="AD97" s="48"/>
      <c r="AE97" s="48"/>
    </row>
    <row r="98" customFormat="false" ht="17.25" hidden="false" customHeight="true" outlineLevel="0" collapsed="false">
      <c r="B98" s="24"/>
      <c r="C98" s="24"/>
      <c r="D98" s="24"/>
      <c r="E98" s="28" t="s">
        <v>112</v>
      </c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AB98" s="49" t="n">
        <f aca="false">$AB$96+$AB$97</f>
        <v>33140</v>
      </c>
      <c r="AC98" s="49"/>
      <c r="AD98" s="49"/>
      <c r="AE98" s="49"/>
    </row>
  </sheetData>
  <mergeCells count="259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2:W32"/>
    <mergeCell ref="X32:AC32"/>
    <mergeCell ref="B33:W33"/>
    <mergeCell ref="X33:AC33"/>
    <mergeCell ref="B34:W34"/>
    <mergeCell ref="X34:AC34"/>
    <mergeCell ref="B35:W35"/>
    <mergeCell ref="X35:AC35"/>
    <mergeCell ref="B36:W36"/>
    <mergeCell ref="X36:AC36"/>
    <mergeCell ref="B37:W37"/>
    <mergeCell ref="X37:AC37"/>
    <mergeCell ref="B38:W38"/>
    <mergeCell ref="X38:AC38"/>
    <mergeCell ref="B39:W39"/>
    <mergeCell ref="X39:AC39"/>
    <mergeCell ref="B42:AF42"/>
    <mergeCell ref="B43:AF43"/>
    <mergeCell ref="B44:AF44"/>
    <mergeCell ref="B45:D45"/>
    <mergeCell ref="E45:Q45"/>
    <mergeCell ref="R45:V45"/>
    <mergeCell ref="W45:AA45"/>
    <mergeCell ref="AB45:AF45"/>
    <mergeCell ref="B46:D46"/>
    <mergeCell ref="E46:Q46"/>
    <mergeCell ref="AB46:AE46"/>
    <mergeCell ref="B47:D47"/>
    <mergeCell ref="E47:Q47"/>
    <mergeCell ref="AB47:AE47"/>
    <mergeCell ref="B48:D48"/>
    <mergeCell ref="E48:Q48"/>
    <mergeCell ref="AB48:AE48"/>
    <mergeCell ref="B49:D49"/>
    <mergeCell ref="E49:Q49"/>
    <mergeCell ref="B50:D50"/>
    <mergeCell ref="E50:Q50"/>
    <mergeCell ref="W50:Z50"/>
    <mergeCell ref="B51:D51"/>
    <mergeCell ref="E51:Q51"/>
    <mergeCell ref="R51:U51"/>
    <mergeCell ref="B52:D52"/>
    <mergeCell ref="E52:Q52"/>
    <mergeCell ref="R52:U52"/>
    <mergeCell ref="B53:D53"/>
    <mergeCell ref="E53:Q53"/>
    <mergeCell ref="R53:U53"/>
    <mergeCell ref="W53:Z53"/>
    <mergeCell ref="B54:D54"/>
    <mergeCell ref="E54:Q54"/>
    <mergeCell ref="W54:Z54"/>
    <mergeCell ref="B55:D55"/>
    <mergeCell ref="E55:Q55"/>
    <mergeCell ref="W55:Z55"/>
    <mergeCell ref="AB55:AE55"/>
    <mergeCell ref="B56:D56"/>
    <mergeCell ref="E56:Q56"/>
    <mergeCell ref="AB56:AE56"/>
    <mergeCell ref="B57:D57"/>
    <mergeCell ref="E57:Q57"/>
    <mergeCell ref="B58:D58"/>
    <mergeCell ref="E58:Q58"/>
    <mergeCell ref="W58:Z58"/>
    <mergeCell ref="B59:D59"/>
    <mergeCell ref="E59:Q59"/>
    <mergeCell ref="W59:Z59"/>
    <mergeCell ref="AB59:AE59"/>
    <mergeCell ref="B60:D60"/>
    <mergeCell ref="E60:Q60"/>
    <mergeCell ref="AB60:AE60"/>
    <mergeCell ref="B61:D61"/>
    <mergeCell ref="E61:Q61"/>
    <mergeCell ref="B62:D62"/>
    <mergeCell ref="E62:Q62"/>
    <mergeCell ref="W62:Z62"/>
    <mergeCell ref="B63:D63"/>
    <mergeCell ref="E63:Q63"/>
    <mergeCell ref="W63:Z63"/>
    <mergeCell ref="B64:D64"/>
    <mergeCell ref="E64:Q64"/>
    <mergeCell ref="W64:Z64"/>
    <mergeCell ref="B65:D65"/>
    <mergeCell ref="E65:Q65"/>
    <mergeCell ref="W65:Z65"/>
    <mergeCell ref="B66:D66"/>
    <mergeCell ref="E66:Q66"/>
    <mergeCell ref="W66:Z66"/>
    <mergeCell ref="B67:D67"/>
    <mergeCell ref="E67:Q67"/>
    <mergeCell ref="W67:Z67"/>
    <mergeCell ref="B68:D68"/>
    <mergeCell ref="E68:Q68"/>
    <mergeCell ref="W68:Z68"/>
    <mergeCell ref="AB68:AE68"/>
    <mergeCell ref="B69:D69"/>
    <mergeCell ref="E69:Q69"/>
    <mergeCell ref="AB69:AE69"/>
    <mergeCell ref="B71:AF71"/>
    <mergeCell ref="B72:AF72"/>
    <mergeCell ref="B73:AF73"/>
    <mergeCell ref="B74:D74"/>
    <mergeCell ref="E74:Q74"/>
    <mergeCell ref="R74:V74"/>
    <mergeCell ref="W74:AA74"/>
    <mergeCell ref="AB74:AF74"/>
    <mergeCell ref="B75:D75"/>
    <mergeCell ref="E75:Q75"/>
    <mergeCell ref="R75:V75"/>
    <mergeCell ref="W75:AA75"/>
    <mergeCell ref="AB75:AF75"/>
    <mergeCell ref="B76:D76"/>
    <mergeCell ref="E76:Q76"/>
    <mergeCell ref="B77:D77"/>
    <mergeCell ref="E77:Q77"/>
    <mergeCell ref="R77:U77"/>
    <mergeCell ref="W77:Z77"/>
    <mergeCell ref="AB77:AE77"/>
    <mergeCell ref="B78:D78"/>
    <mergeCell ref="E78:Q78"/>
    <mergeCell ref="R78:U78"/>
    <mergeCell ref="W78:Z78"/>
    <mergeCell ref="AB78:AE78"/>
    <mergeCell ref="B79:D79"/>
    <mergeCell ref="E79:Q79"/>
    <mergeCell ref="R79:U79"/>
    <mergeCell ref="W79:Z79"/>
    <mergeCell ref="AB79:AE79"/>
    <mergeCell ref="B80:D80"/>
    <mergeCell ref="E80:Q80"/>
    <mergeCell ref="B81:D81"/>
    <mergeCell ref="E81:Q81"/>
    <mergeCell ref="W81:Z81"/>
    <mergeCell ref="B82:D82"/>
    <mergeCell ref="E82:Q82"/>
    <mergeCell ref="R82:U82"/>
    <mergeCell ref="B83:D83"/>
    <mergeCell ref="E83:Q83"/>
    <mergeCell ref="R83:U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B88:D88"/>
    <mergeCell ref="E88:Q88"/>
    <mergeCell ref="W88:Z88"/>
    <mergeCell ref="B89:D89"/>
    <mergeCell ref="E89:Q89"/>
    <mergeCell ref="W89:Z89"/>
    <mergeCell ref="B90:D90"/>
    <mergeCell ref="E90:Q90"/>
    <mergeCell ref="W90:Z90"/>
    <mergeCell ref="B91:D91"/>
    <mergeCell ref="E91:Q91"/>
    <mergeCell ref="AB91:AE91"/>
    <mergeCell ref="B92:D92"/>
    <mergeCell ref="E92:Q92"/>
    <mergeCell ref="AB92:AE92"/>
    <mergeCell ref="B93:D93"/>
    <mergeCell ref="E93:Q93"/>
    <mergeCell ref="B94:D94"/>
    <mergeCell ref="E94:Q94"/>
    <mergeCell ref="AB94:AE94"/>
    <mergeCell ref="B95:D95"/>
    <mergeCell ref="E95:Q95"/>
    <mergeCell ref="AB95:AE95"/>
    <mergeCell ref="B96:D96"/>
    <mergeCell ref="E96:Q96"/>
    <mergeCell ref="AB96:AE96"/>
    <mergeCell ref="B97:D97"/>
    <mergeCell ref="E97:Q97"/>
    <mergeCell ref="AB97:AE97"/>
    <mergeCell ref="B98:D98"/>
    <mergeCell ref="E98:Q98"/>
    <mergeCell ref="AB98:AE98"/>
  </mergeCells>
  <conditionalFormatting sqref="B1:AG9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1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229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188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15" t="s">
        <v>189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</row>
    <row r="7" customFormat="false" ht="15" hidden="false" customHeight="false" outlineLevel="0" collapsed="false">
      <c r="B7" s="16" t="s">
        <v>38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 t="s">
        <v>39</v>
      </c>
      <c r="V7" s="17"/>
      <c r="W7" s="17"/>
      <c r="X7" s="17"/>
      <c r="Y7" s="17"/>
      <c r="Z7" s="17"/>
      <c r="AA7" s="17" t="s">
        <v>40</v>
      </c>
      <c r="AB7" s="17"/>
      <c r="AC7" s="17"/>
      <c r="AD7" s="17"/>
      <c r="AE7" s="17"/>
      <c r="AF7" s="17"/>
    </row>
    <row r="8" customFormat="false" ht="15" hidden="false" customHeight="false" outlineLevel="0" collapsed="false">
      <c r="B8" s="18" t="s">
        <v>41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46" t="n">
        <f aca="false">'QFS.10'!AA8</f>
        <v>98000</v>
      </c>
      <c r="AB8" s="46"/>
      <c r="AC8" s="46"/>
      <c r="AD8" s="46"/>
      <c r="AE8" s="46"/>
      <c r="AF8" s="46"/>
    </row>
    <row r="9" customFormat="false" ht="15" hidden="false" customHeight="false" outlineLevel="0" collapsed="false">
      <c r="B9" s="18" t="s">
        <v>42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46" t="n">
        <f aca="false">'QFS.10'!U9</f>
        <v>54000</v>
      </c>
      <c r="V9" s="46"/>
      <c r="W9" s="46"/>
      <c r="X9" s="46"/>
      <c r="Y9" s="46"/>
      <c r="Z9" s="46"/>
      <c r="AA9" s="18"/>
      <c r="AB9" s="18"/>
      <c r="AC9" s="18"/>
      <c r="AD9" s="18"/>
      <c r="AE9" s="18"/>
      <c r="AF9" s="18"/>
    </row>
    <row r="10" customFormat="false" ht="15" hidden="false" customHeight="false" outlineLevel="0" collapsed="false">
      <c r="B10" s="18" t="s">
        <v>43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46" t="n">
        <f aca="false">'QFS.10'!U10</f>
        <v>1200</v>
      </c>
      <c r="V10" s="46"/>
      <c r="W10" s="46"/>
      <c r="X10" s="46"/>
      <c r="Y10" s="46"/>
      <c r="Z10" s="46"/>
      <c r="AA10" s="18"/>
      <c r="AB10" s="18"/>
      <c r="AC10" s="18"/>
      <c r="AD10" s="18"/>
      <c r="AE10" s="18"/>
      <c r="AF10" s="18"/>
    </row>
    <row r="11" customFormat="false" ht="15" hidden="false" customHeight="false" outlineLevel="0" collapsed="false">
      <c r="B11" s="18" t="s">
        <v>44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46" t="n">
        <f aca="false">'QFS.10'!AA11</f>
        <v>1000</v>
      </c>
      <c r="AB11" s="46"/>
      <c r="AC11" s="46"/>
      <c r="AD11" s="46"/>
      <c r="AE11" s="46"/>
      <c r="AF11" s="46"/>
    </row>
    <row r="12" customFormat="false" ht="15" hidden="false" customHeight="false" outlineLevel="0" collapsed="false">
      <c r="B12" s="18" t="s">
        <v>45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46" t="n">
        <f aca="false">'QFS.10'!U12</f>
        <v>700</v>
      </c>
      <c r="V12" s="46"/>
      <c r="W12" s="46"/>
      <c r="X12" s="46"/>
      <c r="Y12" s="46"/>
      <c r="Z12" s="46"/>
      <c r="AA12" s="18"/>
      <c r="AB12" s="18"/>
      <c r="AC12" s="18"/>
      <c r="AD12" s="18"/>
      <c r="AE12" s="18"/>
      <c r="AF12" s="18"/>
    </row>
    <row r="13" customFormat="false" ht="15" hidden="false" customHeight="false" outlineLevel="0" collapsed="false">
      <c r="B13" s="18" t="s">
        <v>46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46" t="n">
        <f aca="false">'QFS.10'!U13</f>
        <v>900</v>
      </c>
      <c r="V13" s="46"/>
      <c r="W13" s="46"/>
      <c r="X13" s="46"/>
      <c r="Y13" s="46"/>
      <c r="Z13" s="46"/>
      <c r="AA13" s="18"/>
      <c r="AB13" s="18"/>
      <c r="AC13" s="18"/>
      <c r="AD13" s="18"/>
      <c r="AE13" s="18"/>
      <c r="AF13" s="18"/>
    </row>
    <row r="14" customFormat="false" ht="15" hidden="false" customHeight="false" outlineLevel="0" collapsed="false">
      <c r="B14" s="18" t="s">
        <v>190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46" t="n">
        <f aca="false">'QFS.10'!U14</f>
        <v>7400</v>
      </c>
      <c r="V14" s="46"/>
      <c r="W14" s="46"/>
      <c r="X14" s="46"/>
      <c r="Y14" s="46"/>
      <c r="Z14" s="46"/>
      <c r="AA14" s="18"/>
      <c r="AB14" s="18"/>
      <c r="AC14" s="18"/>
      <c r="AD14" s="18"/>
      <c r="AE14" s="18"/>
      <c r="AF14" s="18"/>
    </row>
    <row r="15" customFormat="false" ht="15" hidden="false" customHeight="false" outlineLevel="0" collapsed="false">
      <c r="B15" s="18" t="s">
        <v>48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46" t="n">
        <f aca="false">'QFS.10'!U15</f>
        <v>15500</v>
      </c>
      <c r="V15" s="46"/>
      <c r="W15" s="46"/>
      <c r="X15" s="46"/>
      <c r="Y15" s="46"/>
      <c r="Z15" s="46"/>
      <c r="AA15" s="18"/>
      <c r="AB15" s="18"/>
      <c r="AC15" s="18"/>
      <c r="AD15" s="18"/>
      <c r="AE15" s="18"/>
      <c r="AF15" s="18"/>
    </row>
    <row r="16" customFormat="false" ht="15" hidden="false" customHeight="false" outlineLevel="0" collapsed="false">
      <c r="B16" s="18" t="s">
        <v>191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46" t="n">
        <f aca="false">'QFS.10'!U16</f>
        <v>6300</v>
      </c>
      <c r="V16" s="46"/>
      <c r="W16" s="46"/>
      <c r="X16" s="46"/>
      <c r="Y16" s="46"/>
      <c r="Z16" s="46"/>
      <c r="AA16" s="18"/>
      <c r="AB16" s="18"/>
      <c r="AC16" s="18"/>
      <c r="AD16" s="18"/>
      <c r="AE16" s="18"/>
      <c r="AF16" s="18"/>
    </row>
    <row r="17" customFormat="false" ht="15" hidden="false" customHeight="false" outlineLevel="0" collapsed="false">
      <c r="B17" s="18" t="s">
        <v>167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46" t="n">
        <f aca="false">'QFS.10'!U17</f>
        <v>2100</v>
      </c>
      <c r="V17" s="46"/>
      <c r="W17" s="46"/>
      <c r="X17" s="46"/>
      <c r="Y17" s="46"/>
      <c r="Z17" s="46"/>
      <c r="AA17" s="18"/>
      <c r="AB17" s="18"/>
      <c r="AC17" s="18"/>
      <c r="AD17" s="18"/>
      <c r="AE17" s="18"/>
      <c r="AF17" s="18"/>
    </row>
    <row r="18" customFormat="false" ht="15" hidden="false" customHeight="false" outlineLevel="0" collapsed="false">
      <c r="B18" s="18" t="s">
        <v>52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46" t="n">
        <f aca="false">'QFS.10'!U18</f>
        <v>350</v>
      </c>
      <c r="V18" s="46"/>
      <c r="W18" s="46"/>
      <c r="X18" s="46"/>
      <c r="Y18" s="46"/>
      <c r="Z18" s="46"/>
      <c r="AA18" s="18"/>
      <c r="AB18" s="18"/>
      <c r="AC18" s="18"/>
      <c r="AD18" s="18"/>
      <c r="AE18" s="18"/>
      <c r="AF18" s="18"/>
    </row>
    <row r="19" customFormat="false" ht="15" hidden="false" customHeight="false" outlineLevel="0" collapsed="false">
      <c r="B19" s="18" t="s">
        <v>53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46" t="n">
        <f aca="false">'QFS.10'!AA19</f>
        <v>650</v>
      </c>
      <c r="AB19" s="46"/>
      <c r="AC19" s="46"/>
      <c r="AD19" s="46"/>
      <c r="AE19" s="46"/>
      <c r="AF19" s="46"/>
    </row>
    <row r="20" customFormat="false" ht="15" hidden="false" customHeight="false" outlineLevel="0" collapsed="false">
      <c r="B20" s="18" t="s">
        <v>192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46" t="n">
        <f aca="false">'QFS.10'!AA20</f>
        <v>1200</v>
      </c>
      <c r="AB20" s="46"/>
      <c r="AC20" s="46"/>
      <c r="AD20" s="46"/>
      <c r="AE20" s="46"/>
      <c r="AF20" s="46"/>
    </row>
    <row r="21" customFormat="false" ht="15" hidden="false" customHeight="false" outlineLevel="0" collapsed="false">
      <c r="B21" s="18" t="s">
        <v>54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46" t="n">
        <f aca="false">'QFS.10'!U21</f>
        <v>450</v>
      </c>
      <c r="V21" s="46"/>
      <c r="W21" s="46"/>
      <c r="X21" s="46"/>
      <c r="Y21" s="46"/>
      <c r="Z21" s="46"/>
      <c r="AA21" s="18"/>
      <c r="AB21" s="18"/>
      <c r="AC21" s="18"/>
      <c r="AD21" s="18"/>
      <c r="AE21" s="18"/>
      <c r="AF21" s="18"/>
    </row>
    <row r="22" customFormat="false" ht="15" hidden="false" customHeight="false" outlineLevel="0" collapsed="false">
      <c r="B22" s="18" t="s">
        <v>55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46" t="n">
        <f aca="false">'QFS.10'!U22</f>
        <v>40000</v>
      </c>
      <c r="V22" s="46"/>
      <c r="W22" s="46"/>
      <c r="X22" s="46"/>
      <c r="Y22" s="46"/>
      <c r="Z22" s="46"/>
      <c r="AA22" s="18"/>
      <c r="AB22" s="18"/>
      <c r="AC22" s="18"/>
      <c r="AD22" s="18"/>
      <c r="AE22" s="18"/>
      <c r="AF22" s="18"/>
    </row>
    <row r="23" customFormat="false" ht="15" hidden="false" customHeight="false" outlineLevel="0" collapsed="false">
      <c r="B23" s="18" t="s">
        <v>56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46" t="n">
        <f aca="false">'QFS.10'!U23</f>
        <v>30000</v>
      </c>
      <c r="V23" s="46"/>
      <c r="W23" s="46"/>
      <c r="X23" s="46"/>
      <c r="Y23" s="46"/>
      <c r="Z23" s="46"/>
      <c r="AA23" s="18"/>
      <c r="AB23" s="18"/>
      <c r="AC23" s="18"/>
      <c r="AD23" s="18"/>
      <c r="AE23" s="18"/>
      <c r="AF23" s="18"/>
    </row>
    <row r="24" customFormat="false" ht="15" hidden="false" customHeight="false" outlineLevel="0" collapsed="false">
      <c r="B24" s="18" t="s">
        <v>57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46" t="n">
        <f aca="false">'QFS.10'!AA24</f>
        <v>12000</v>
      </c>
      <c r="AB24" s="46"/>
      <c r="AC24" s="46"/>
      <c r="AD24" s="46"/>
      <c r="AE24" s="46"/>
      <c r="AF24" s="46"/>
    </row>
    <row r="25" customFormat="false" ht="15" hidden="false" customHeight="false" outlineLevel="0" collapsed="false">
      <c r="B25" s="18" t="s">
        <v>193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46" t="n">
        <f aca="false">'QFS.10'!AA25</f>
        <v>1500</v>
      </c>
      <c r="AB25" s="46"/>
      <c r="AC25" s="46"/>
      <c r="AD25" s="46"/>
      <c r="AE25" s="46"/>
      <c r="AF25" s="46"/>
    </row>
    <row r="26" customFormat="false" ht="15" hidden="false" customHeight="false" outlineLevel="0" collapsed="false">
      <c r="B26" s="18" t="s">
        <v>58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46" t="n">
        <f aca="false">'QFS.10'!U26</f>
        <v>14000</v>
      </c>
      <c r="V26" s="46"/>
      <c r="W26" s="46"/>
      <c r="X26" s="46"/>
      <c r="Y26" s="46"/>
      <c r="Z26" s="46"/>
      <c r="AA26" s="18"/>
      <c r="AB26" s="18"/>
      <c r="AC26" s="18"/>
      <c r="AD26" s="18"/>
      <c r="AE26" s="18"/>
      <c r="AF26" s="18"/>
    </row>
    <row r="27" customFormat="false" ht="15" hidden="false" customHeight="false" outlineLevel="0" collapsed="false">
      <c r="B27" s="18" t="s">
        <v>59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46" t="n">
        <f aca="false">'QFS.10'!AA27</f>
        <v>600</v>
      </c>
      <c r="AB27" s="46"/>
      <c r="AC27" s="46"/>
      <c r="AD27" s="46"/>
      <c r="AE27" s="46"/>
      <c r="AF27" s="46"/>
    </row>
    <row r="28" customFormat="false" ht="15" hidden="false" customHeight="false" outlineLevel="0" collapsed="false">
      <c r="B28" s="18" t="s">
        <v>60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46" t="n">
        <f aca="false">'QFS.10'!AA28</f>
        <v>8200</v>
      </c>
      <c r="AB28" s="46"/>
      <c r="AC28" s="46"/>
      <c r="AD28" s="46"/>
      <c r="AE28" s="46"/>
      <c r="AF28" s="46"/>
    </row>
    <row r="29" customFormat="false" ht="15" hidden="false" customHeight="false" outlineLevel="0" collapsed="false">
      <c r="B29" s="18" t="s">
        <v>194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46" t="n">
        <f aca="false">'QFS.10'!AA29</f>
        <v>1800</v>
      </c>
      <c r="AB29" s="46"/>
      <c r="AC29" s="46"/>
      <c r="AD29" s="46"/>
      <c r="AE29" s="46"/>
      <c r="AF29" s="46"/>
    </row>
    <row r="30" customFormat="false" ht="15" hidden="false" customHeight="false" outlineLevel="0" collapsed="false">
      <c r="B30" s="18" t="s">
        <v>62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46" t="n">
        <f aca="false">'QFS.10'!U30</f>
        <v>150</v>
      </c>
      <c r="V30" s="46"/>
      <c r="W30" s="46"/>
      <c r="X30" s="46"/>
      <c r="Y30" s="46"/>
      <c r="Z30" s="46"/>
      <c r="AA30" s="18"/>
      <c r="AB30" s="18"/>
      <c r="AC30" s="18"/>
      <c r="AD30" s="18"/>
      <c r="AE30" s="18"/>
      <c r="AF30" s="18"/>
    </row>
    <row r="31" customFormat="false" ht="15" hidden="false" customHeight="false" outlineLevel="0" collapsed="false">
      <c r="B31" s="18" t="s">
        <v>147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46" t="n">
        <f aca="false">'QFS.10'!AA31</f>
        <v>8000</v>
      </c>
      <c r="AB31" s="46"/>
      <c r="AC31" s="46"/>
      <c r="AD31" s="46"/>
      <c r="AE31" s="46"/>
      <c r="AF31" s="46"/>
    </row>
    <row r="32" customFormat="false" ht="15" hidden="false" customHeight="false" outlineLevel="0" collapsed="false">
      <c r="B32" s="18" t="s">
        <v>64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46" t="n">
        <f aca="false">'QFS.10'!AA32</f>
        <v>50100</v>
      </c>
      <c r="AB32" s="46"/>
      <c r="AC32" s="46"/>
      <c r="AD32" s="46"/>
      <c r="AE32" s="46"/>
      <c r="AF32" s="46"/>
    </row>
    <row r="33" customFormat="false" ht="15" hidden="false" customHeight="false" outlineLevel="0" collapsed="false">
      <c r="B33" s="18" t="s">
        <v>65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46" t="n">
        <f aca="false">'QFS.10'!U33</f>
        <v>10000</v>
      </c>
      <c r="V33" s="46"/>
      <c r="W33" s="46"/>
      <c r="X33" s="46"/>
      <c r="Y33" s="46"/>
      <c r="Z33" s="46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20" t="s">
        <v>66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1" t="n">
        <f aca="false">SUM(U8:U33)</f>
        <v>183050</v>
      </c>
      <c r="V34" s="21"/>
      <c r="W34" s="21"/>
      <c r="X34" s="21"/>
      <c r="Y34" s="21"/>
      <c r="Z34" s="21"/>
      <c r="AA34" s="21" t="n">
        <f aca="false">SUM(AA8:AA33)</f>
        <v>183050</v>
      </c>
      <c r="AB34" s="21"/>
      <c r="AC34" s="21"/>
      <c r="AD34" s="21"/>
      <c r="AE34" s="21"/>
      <c r="AF34" s="21"/>
    </row>
    <row r="36" customFormat="false" ht="15" hidden="false" customHeight="false" outlineLevel="0" collapsed="false">
      <c r="B36" s="16" t="s">
        <v>195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7" t="s">
        <v>68</v>
      </c>
      <c r="Y36" s="17"/>
      <c r="Z36" s="17"/>
      <c r="AA36" s="17"/>
      <c r="AB36" s="17"/>
      <c r="AC36" s="17"/>
    </row>
    <row r="37" customFormat="false" ht="16.5" hidden="false" customHeight="true" outlineLevel="0" collapsed="false">
      <c r="B37" s="12" t="s">
        <v>69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46" t="n">
        <f aca="false">'QFS.10'!X37</f>
        <v>8100</v>
      </c>
      <c r="Y37" s="46"/>
      <c r="Z37" s="46"/>
      <c r="AA37" s="46"/>
      <c r="AB37" s="46"/>
      <c r="AC37" s="46"/>
    </row>
    <row r="38" customFormat="false" ht="16.5" hidden="false" customHeight="true" outlineLevel="0" collapsed="false">
      <c r="B38" s="12" t="s">
        <v>173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46" t="n">
        <f aca="false">'QFS.10'!X38</f>
        <v>300</v>
      </c>
      <c r="Y38" s="46"/>
      <c r="Z38" s="46"/>
      <c r="AA38" s="46"/>
      <c r="AB38" s="46"/>
      <c r="AC38" s="46"/>
    </row>
    <row r="39" customFormat="false" ht="16.5" hidden="false" customHeight="true" outlineLevel="0" collapsed="false">
      <c r="B39" s="12" t="s">
        <v>196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46" t="n">
        <f aca="false">'QFS.10'!X39</f>
        <v>500</v>
      </c>
      <c r="Y39" s="46"/>
      <c r="Z39" s="46"/>
      <c r="AA39" s="46"/>
      <c r="AB39" s="46"/>
      <c r="AC39" s="46"/>
    </row>
    <row r="40" customFormat="false" ht="16.5" hidden="false" customHeight="true" outlineLevel="0" collapsed="false">
      <c r="B40" s="12" t="s">
        <v>197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46" t="n">
        <f aca="false">'QFS.10'!X40</f>
        <v>250</v>
      </c>
      <c r="Y40" s="46"/>
      <c r="Z40" s="46"/>
      <c r="AA40" s="46"/>
      <c r="AB40" s="46"/>
      <c r="AC40" s="46"/>
    </row>
    <row r="41" customFormat="false" ht="16.5" hidden="false" customHeight="true" outlineLevel="0" collapsed="false">
      <c r="B41" s="12" t="s">
        <v>198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46" t="n">
        <f aca="false">'QFS.10'!X41</f>
        <v>400</v>
      </c>
      <c r="Y41" s="46"/>
      <c r="Z41" s="46"/>
      <c r="AA41" s="46"/>
      <c r="AB41" s="46"/>
      <c r="AC41" s="46"/>
    </row>
    <row r="42" customFormat="false" ht="16.5" hidden="false" customHeight="true" outlineLevel="0" collapsed="false">
      <c r="B42" s="12" t="s">
        <v>199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51" t="n">
        <f aca="false">'QFS.10'!X42</f>
        <v>0.05</v>
      </c>
      <c r="Y42" s="51"/>
      <c r="Z42" s="51"/>
      <c r="AA42" s="51"/>
      <c r="AB42" s="51"/>
      <c r="AC42" s="51"/>
    </row>
    <row r="43" customFormat="false" ht="16.5" hidden="false" customHeight="true" outlineLevel="0" collapsed="false">
      <c r="B43" s="12" t="s">
        <v>200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46" t="n">
        <f aca="false">'QFS.10'!X43</f>
        <v>5000</v>
      </c>
      <c r="Y43" s="46"/>
      <c r="Z43" s="46"/>
      <c r="AA43" s="46"/>
      <c r="AB43" s="46"/>
      <c r="AC43" s="46"/>
    </row>
    <row r="44" customFormat="false" ht="16.5" hidden="false" customHeight="true" outlineLevel="0" collapsed="false">
      <c r="B44" s="12" t="s">
        <v>201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46" t="n">
        <f aca="false">'QFS.10'!X44</f>
        <v>3000</v>
      </c>
      <c r="Y44" s="46"/>
      <c r="Z44" s="46"/>
      <c r="AA44" s="46"/>
      <c r="AB44" s="46"/>
      <c r="AC44" s="46"/>
    </row>
    <row r="45" customFormat="false" ht="16.5" hidden="false" customHeight="true" outlineLevel="0" collapsed="false">
      <c r="B45" s="12" t="s">
        <v>202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46" t="n">
        <f aca="false">'QFS.10'!X45</f>
        <v>1500</v>
      </c>
      <c r="Y45" s="46"/>
      <c r="Z45" s="46"/>
      <c r="AA45" s="46"/>
      <c r="AB45" s="46"/>
      <c r="AC45" s="46"/>
    </row>
    <row r="46" customFormat="false" ht="16.5" hidden="false" customHeight="true" outlineLevel="0" collapsed="false">
      <c r="B46" s="12" t="s">
        <v>203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51" t="n">
        <f aca="false">'QFS.10'!X46</f>
        <v>0.2</v>
      </c>
      <c r="Y46" s="51"/>
      <c r="Z46" s="51"/>
      <c r="AA46" s="51"/>
      <c r="AB46" s="51"/>
      <c r="AC46" s="51"/>
    </row>
    <row r="47" customFormat="false" ht="16.5" hidden="false" customHeight="true" outlineLevel="0" collapsed="false">
      <c r="B47" s="12" t="s">
        <v>204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51" t="n">
        <f aca="false">'QFS.10'!X47</f>
        <v>0.06</v>
      </c>
      <c r="Y47" s="51"/>
      <c r="Z47" s="51"/>
      <c r="AA47" s="51"/>
      <c r="AB47" s="51"/>
      <c r="AC47" s="51"/>
    </row>
    <row r="49" customFormat="false" ht="16.5" hidden="false" customHeight="true" outlineLevel="0" collapsed="false">
      <c r="B49" s="4" t="s">
        <v>205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1" customFormat="false" ht="18.75" hidden="false" customHeight="true" outlineLevel="0" collapsed="false">
      <c r="B51" s="3" t="s">
        <v>206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customFormat="false" ht="15" hidden="false" customHeight="false" outlineLevel="0" collapsed="false">
      <c r="B52" s="31" t="s">
        <v>207</v>
      </c>
      <c r="C52" s="31"/>
      <c r="D52" s="31"/>
      <c r="E52" s="15" t="s">
        <v>208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37" t="s">
        <v>209</v>
      </c>
      <c r="AE52" s="37"/>
      <c r="AF52" s="37"/>
    </row>
    <row r="53" customFormat="false" ht="15" hidden="false" customHeight="false" outlineLevel="0" collapsed="false">
      <c r="B53" s="38" t="s">
        <v>210</v>
      </c>
      <c r="C53" s="38"/>
      <c r="D53" s="38"/>
      <c r="E53" s="38" t="s">
        <v>38</v>
      </c>
      <c r="F53" s="38"/>
      <c r="G53" s="38"/>
      <c r="H53" s="38"/>
      <c r="I53" s="38"/>
      <c r="J53" s="38"/>
      <c r="K53" s="38"/>
      <c r="L53" s="39" t="s">
        <v>211</v>
      </c>
      <c r="M53" s="40" t="s">
        <v>212</v>
      </c>
      <c r="N53" s="40"/>
      <c r="O53" s="40"/>
      <c r="P53" s="40"/>
      <c r="Q53" s="41"/>
      <c r="R53" s="42" t="s">
        <v>210</v>
      </c>
      <c r="S53" s="42"/>
      <c r="T53" s="42"/>
      <c r="U53" s="38" t="s">
        <v>38</v>
      </c>
      <c r="V53" s="38"/>
      <c r="W53" s="38"/>
      <c r="X53" s="38"/>
      <c r="Y53" s="38"/>
      <c r="Z53" s="38"/>
      <c r="AA53" s="38"/>
      <c r="AB53" s="39" t="s">
        <v>211</v>
      </c>
      <c r="AC53" s="40" t="s">
        <v>212</v>
      </c>
      <c r="AD53" s="40"/>
      <c r="AE53" s="40"/>
      <c r="AF53" s="40"/>
    </row>
    <row r="54" customFormat="false" ht="17.25" hidden="false" customHeight="true" outlineLevel="0" collapsed="false">
      <c r="B54" s="6" t="s">
        <v>213</v>
      </c>
      <c r="C54" s="6"/>
      <c r="D54" s="6"/>
      <c r="E54" s="25" t="s">
        <v>98</v>
      </c>
      <c r="F54" s="25"/>
      <c r="G54" s="25"/>
      <c r="H54" s="25"/>
      <c r="I54" s="25"/>
      <c r="J54" s="25"/>
      <c r="K54" s="25"/>
      <c r="L54" s="43" t="s">
        <v>214</v>
      </c>
      <c r="M54" s="47" t="n">
        <f aca="false">$X$43</f>
        <v>5000</v>
      </c>
      <c r="N54" s="47"/>
      <c r="O54" s="47"/>
      <c r="R54" s="44" t="s">
        <v>213</v>
      </c>
      <c r="S54" s="44"/>
      <c r="T54" s="44"/>
      <c r="U54" s="25" t="s">
        <v>61</v>
      </c>
      <c r="V54" s="25"/>
      <c r="W54" s="25"/>
      <c r="X54" s="25"/>
      <c r="Y54" s="25"/>
      <c r="Z54" s="25"/>
      <c r="AA54" s="25"/>
      <c r="AB54" s="43" t="s">
        <v>215</v>
      </c>
      <c r="AC54" s="47" t="n">
        <f aca="false">$X$45</f>
        <v>1500</v>
      </c>
      <c r="AD54" s="47"/>
      <c r="AE54" s="47"/>
    </row>
    <row r="55" customFormat="false" ht="17.25" hidden="false" customHeight="true" outlineLevel="0" collapsed="false">
      <c r="R55" s="44" t="s">
        <v>216</v>
      </c>
      <c r="S55" s="44"/>
      <c r="T55" s="44"/>
      <c r="U55" s="25" t="s">
        <v>217</v>
      </c>
      <c r="V55" s="25"/>
      <c r="W55" s="25"/>
      <c r="X55" s="25"/>
      <c r="Y55" s="25"/>
      <c r="Z55" s="25"/>
      <c r="AA55" s="25"/>
      <c r="AB55" s="43" t="s">
        <v>214</v>
      </c>
      <c r="AC55" s="47" t="n">
        <f aca="false">$X$44</f>
        <v>3000</v>
      </c>
      <c r="AD55" s="47"/>
      <c r="AE55" s="47"/>
    </row>
    <row r="56" customFormat="false" ht="17.25" hidden="false" customHeight="true" outlineLevel="0" collapsed="false">
      <c r="R56" s="44" t="s">
        <v>216</v>
      </c>
      <c r="S56" s="44"/>
      <c r="T56" s="44"/>
      <c r="U56" s="25" t="s">
        <v>218</v>
      </c>
      <c r="V56" s="25"/>
      <c r="W56" s="25"/>
      <c r="X56" s="25"/>
      <c r="Y56" s="25"/>
      <c r="Z56" s="25"/>
      <c r="AA56" s="25"/>
      <c r="AB56" s="43" t="s">
        <v>219</v>
      </c>
      <c r="AC56" s="47" t="n">
        <f aca="false">$X$43-$X$44-$X$45</f>
        <v>500</v>
      </c>
      <c r="AD56" s="47"/>
      <c r="AE56" s="47"/>
    </row>
    <row r="57" customFormat="false" ht="16.5" hidden="false" customHeight="true" outlineLevel="0" collapsed="false">
      <c r="M57" s="49" t="n">
        <f aca="false">SUM(M54:M56)</f>
        <v>5000</v>
      </c>
      <c r="N57" s="49"/>
      <c r="O57" s="49"/>
      <c r="R57" s="45"/>
      <c r="AC57" s="49" t="n">
        <f aca="false">SUM(AC54:AC56)</f>
        <v>5000</v>
      </c>
      <c r="AD57" s="49"/>
      <c r="AE57" s="49"/>
    </row>
    <row r="59" customFormat="false" ht="18.75" hidden="false" customHeight="true" outlineLevel="0" collapsed="false">
      <c r="B59" s="3" t="s">
        <v>220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 customFormat="false" ht="15" hidden="false" customHeight="false" outlineLevel="0" collapsed="false">
      <c r="B60" s="15" t="s">
        <v>221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customFormat="false" ht="15" hidden="false" customHeight="false" outlineLevel="0" collapsed="false">
      <c r="B61" s="15" t="s">
        <v>222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Format="false" ht="15" hidden="false" customHeight="false" outlineLevel="0" collapsed="false">
      <c r="B62" s="23"/>
      <c r="C62" s="23"/>
      <c r="D62" s="23"/>
      <c r="E62" s="16" t="s">
        <v>38</v>
      </c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7" t="s">
        <v>77</v>
      </c>
      <c r="S62" s="17"/>
      <c r="T62" s="17"/>
      <c r="U62" s="17"/>
      <c r="V62" s="17"/>
      <c r="W62" s="17" t="s">
        <v>77</v>
      </c>
      <c r="X62" s="17"/>
      <c r="Y62" s="17"/>
      <c r="Z62" s="17"/>
      <c r="AA62" s="17"/>
      <c r="AB62" s="17" t="s">
        <v>77</v>
      </c>
      <c r="AC62" s="17"/>
      <c r="AD62" s="17"/>
      <c r="AE62" s="17"/>
      <c r="AF62" s="17"/>
    </row>
    <row r="63" customFormat="false" ht="17.25" hidden="false" customHeight="true" outlineLevel="0" collapsed="false">
      <c r="B63" s="24"/>
      <c r="C63" s="24"/>
      <c r="D63" s="24"/>
      <c r="E63" s="25" t="s">
        <v>41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AB63" s="47" t="n">
        <f aca="false">$AA$8</f>
        <v>98000</v>
      </c>
      <c r="AC63" s="47"/>
      <c r="AD63" s="47"/>
      <c r="AE63" s="47"/>
    </row>
    <row r="64" customFormat="false" ht="17.25" hidden="false" customHeight="true" outlineLevel="0" collapsed="false">
      <c r="B64" s="24" t="s">
        <v>78</v>
      </c>
      <c r="C64" s="24"/>
      <c r="D64" s="24"/>
      <c r="E64" s="25" t="s">
        <v>43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AB64" s="48" t="n">
        <f aca="false">-($U$10)</f>
        <v>-1200</v>
      </c>
      <c r="AC64" s="48"/>
      <c r="AD64" s="48"/>
      <c r="AE64" s="48"/>
    </row>
    <row r="65" customFormat="false" ht="17.25" hidden="false" customHeight="true" outlineLevel="0" collapsed="false">
      <c r="B65" s="24"/>
      <c r="C65" s="24"/>
      <c r="D65" s="24"/>
      <c r="E65" s="25" t="s">
        <v>79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AB65" s="47" t="n">
        <f aca="false">$AB$63+$AB$64</f>
        <v>96800</v>
      </c>
      <c r="AC65" s="47"/>
      <c r="AD65" s="47"/>
      <c r="AE65" s="47"/>
    </row>
    <row r="66" customFormat="false" ht="17.25" hidden="false" customHeight="true" outlineLevel="0" collapsed="false">
      <c r="B66" s="24" t="s">
        <v>78</v>
      </c>
      <c r="C66" s="24"/>
      <c r="D66" s="24"/>
      <c r="E66" s="27" t="s">
        <v>80</v>
      </c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</row>
    <row r="67" customFormat="false" ht="17.25" hidden="false" customHeight="true" outlineLevel="0" collapsed="false">
      <c r="B67" s="24"/>
      <c r="C67" s="24"/>
      <c r="D67" s="24"/>
      <c r="E67" s="25" t="s">
        <v>81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W67" s="47" t="n">
        <f aca="false">$U$14</f>
        <v>7400</v>
      </c>
      <c r="X67" s="47"/>
      <c r="Y67" s="47"/>
      <c r="Z67" s="47"/>
    </row>
    <row r="68" customFormat="false" ht="17.25" hidden="false" customHeight="true" outlineLevel="0" collapsed="false">
      <c r="B68" s="24" t="s">
        <v>82</v>
      </c>
      <c r="C68" s="24"/>
      <c r="D68" s="24"/>
      <c r="E68" s="25" t="s">
        <v>42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47" t="n">
        <f aca="false">$U$9</f>
        <v>54000</v>
      </c>
      <c r="S68" s="47"/>
      <c r="T68" s="47"/>
      <c r="U68" s="47"/>
    </row>
    <row r="69" customFormat="false" ht="17.25" hidden="false" customHeight="true" outlineLevel="0" collapsed="false">
      <c r="B69" s="24" t="s">
        <v>78</v>
      </c>
      <c r="C69" s="24"/>
      <c r="D69" s="24"/>
      <c r="E69" s="25" t="s">
        <v>44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47" t="n">
        <f aca="false">-($AA$11)</f>
        <v>-1000</v>
      </c>
      <c r="S69" s="47"/>
      <c r="T69" s="47"/>
      <c r="U69" s="47"/>
    </row>
    <row r="70" customFormat="false" ht="17.25" hidden="false" customHeight="true" outlineLevel="0" collapsed="false">
      <c r="B70" s="24" t="s">
        <v>82</v>
      </c>
      <c r="C70" s="24"/>
      <c r="D70" s="24"/>
      <c r="E70" s="25" t="s">
        <v>45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48" t="n">
        <f aca="false">$U$12</f>
        <v>700</v>
      </c>
      <c r="S70" s="48"/>
      <c r="T70" s="48"/>
      <c r="U70" s="48"/>
      <c r="W70" s="48" t="n">
        <f aca="false">$R$68+$R$69+$R$70</f>
        <v>53700</v>
      </c>
      <c r="X70" s="48"/>
      <c r="Y70" s="48"/>
      <c r="Z70" s="48"/>
    </row>
    <row r="71" customFormat="false" ht="17.25" hidden="false" customHeight="true" outlineLevel="0" collapsed="false">
      <c r="B71" s="24"/>
      <c r="C71" s="24"/>
      <c r="D71" s="24"/>
      <c r="E71" s="25" t="s">
        <v>83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W71" s="47" t="n">
        <f aca="false">$W$67+$W$70</f>
        <v>61100</v>
      </c>
      <c r="X71" s="47"/>
      <c r="Y71" s="47"/>
      <c r="Z71" s="47"/>
    </row>
    <row r="72" customFormat="false" ht="17.25" hidden="false" customHeight="true" outlineLevel="0" collapsed="false">
      <c r="B72" s="24" t="s">
        <v>78</v>
      </c>
      <c r="C72" s="24"/>
      <c r="D72" s="24"/>
      <c r="E72" s="25" t="s">
        <v>84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W72" s="48" t="n">
        <f aca="false">-($X$37)</f>
        <v>-8100</v>
      </c>
      <c r="X72" s="48"/>
      <c r="Y72" s="48"/>
      <c r="Z72" s="48"/>
      <c r="AB72" s="48" t="n">
        <f aca="false">-($W$71+$W$72)</f>
        <v>-53000</v>
      </c>
      <c r="AC72" s="48"/>
      <c r="AD72" s="48"/>
      <c r="AE72" s="48"/>
    </row>
    <row r="73" customFormat="false" ht="17.25" hidden="false" customHeight="true" outlineLevel="0" collapsed="false">
      <c r="B73" s="24"/>
      <c r="C73" s="24"/>
      <c r="D73" s="24"/>
      <c r="E73" s="28" t="s">
        <v>85</v>
      </c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AB73" s="47" t="n">
        <f aca="false">$AB$65+$AB$72</f>
        <v>43800</v>
      </c>
      <c r="AC73" s="47"/>
      <c r="AD73" s="47"/>
      <c r="AE73" s="47"/>
    </row>
    <row r="74" customFormat="false" ht="17.25" hidden="false" customHeight="true" outlineLevel="0" collapsed="false">
      <c r="B74" s="24" t="s">
        <v>82</v>
      </c>
      <c r="C74" s="24"/>
      <c r="D74" s="24"/>
      <c r="E74" s="27" t="s">
        <v>86</v>
      </c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</row>
    <row r="75" customFormat="false" ht="17.25" hidden="false" customHeight="true" outlineLevel="0" collapsed="false">
      <c r="B75" s="24"/>
      <c r="C75" s="24"/>
      <c r="D75" s="24"/>
      <c r="E75" s="25" t="s">
        <v>53</v>
      </c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W75" s="47" t="n">
        <f aca="false">$AA$19</f>
        <v>650</v>
      </c>
      <c r="X75" s="47"/>
      <c r="Y75" s="47"/>
      <c r="Z75" s="47"/>
    </row>
    <row r="76" customFormat="false" ht="17.25" hidden="false" customHeight="true" outlineLevel="0" collapsed="false">
      <c r="B76" s="24"/>
      <c r="C76" s="24"/>
      <c r="D76" s="24"/>
      <c r="E76" s="25" t="s">
        <v>192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W76" s="48" t="n">
        <f aca="false">$AA$20+$X$40</f>
        <v>1450</v>
      </c>
      <c r="X76" s="48"/>
      <c r="Y76" s="48"/>
      <c r="Z76" s="48"/>
      <c r="AB76" s="48" t="n">
        <f aca="false">$W$75+$W$76</f>
        <v>2100</v>
      </c>
      <c r="AC76" s="48"/>
      <c r="AD76" s="48"/>
      <c r="AE76" s="48"/>
    </row>
    <row r="77" customFormat="false" ht="17.25" hidden="false" customHeight="true" outlineLevel="0" collapsed="false">
      <c r="B77" s="24"/>
      <c r="C77" s="24"/>
      <c r="D77" s="24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AB77" s="47" t="n">
        <f aca="false">$AB$73+$AB$76</f>
        <v>45900</v>
      </c>
      <c r="AC77" s="47"/>
      <c r="AD77" s="47"/>
      <c r="AE77" s="47"/>
    </row>
    <row r="78" customFormat="false" ht="17.25" hidden="false" customHeight="true" outlineLevel="0" collapsed="false">
      <c r="B78" s="24" t="s">
        <v>78</v>
      </c>
      <c r="C78" s="24"/>
      <c r="D78" s="24"/>
      <c r="E78" s="27" t="s">
        <v>87</v>
      </c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</row>
    <row r="79" customFormat="false" ht="17.25" hidden="false" customHeight="true" outlineLevel="0" collapsed="false">
      <c r="B79" s="24"/>
      <c r="C79" s="24"/>
      <c r="D79" s="24"/>
      <c r="E79" s="25" t="s">
        <v>48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W79" s="47" t="n">
        <f aca="false">$U$15</f>
        <v>15500</v>
      </c>
      <c r="X79" s="47"/>
      <c r="Y79" s="47"/>
      <c r="Z79" s="47"/>
    </row>
    <row r="80" customFormat="false" ht="17.25" hidden="false" customHeight="true" outlineLevel="0" collapsed="false">
      <c r="B80" s="24"/>
      <c r="C80" s="24"/>
      <c r="D80" s="24"/>
      <c r="E80" s="25" t="s">
        <v>191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W80" s="47" t="n">
        <f aca="false">$U$16-$X$39</f>
        <v>5800</v>
      </c>
      <c r="X80" s="47"/>
      <c r="Y80" s="47"/>
      <c r="Z80" s="47"/>
    </row>
    <row r="81" customFormat="false" ht="17.25" hidden="false" customHeight="true" outlineLevel="0" collapsed="false">
      <c r="B81" s="24"/>
      <c r="C81" s="24"/>
      <c r="D81" s="24"/>
      <c r="E81" s="25" t="s">
        <v>167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W81" s="47" t="n">
        <f aca="false">$U$17+$X$38</f>
        <v>2400</v>
      </c>
      <c r="X81" s="47"/>
      <c r="Y81" s="47"/>
      <c r="Z81" s="47"/>
    </row>
    <row r="82" customFormat="false" ht="17.25" hidden="false" customHeight="true" outlineLevel="0" collapsed="false">
      <c r="B82" s="24"/>
      <c r="C82" s="24"/>
      <c r="D82" s="24"/>
      <c r="E82" s="25" t="s">
        <v>46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W82" s="47" t="n">
        <f aca="false">$U$13</f>
        <v>900</v>
      </c>
      <c r="X82" s="47"/>
      <c r="Y82" s="47"/>
      <c r="Z82" s="47"/>
    </row>
    <row r="83" customFormat="false" ht="17.25" hidden="false" customHeight="true" outlineLevel="0" collapsed="false">
      <c r="B83" s="24"/>
      <c r="C83" s="24"/>
      <c r="D83" s="24"/>
      <c r="E83" s="25" t="s">
        <v>52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W83" s="47" t="n">
        <f aca="false">$U$18</f>
        <v>350</v>
      </c>
      <c r="X83" s="47"/>
      <c r="Y83" s="47"/>
      <c r="Z83" s="47"/>
    </row>
    <row r="84" customFormat="false" ht="17.25" hidden="false" customHeight="true" outlineLevel="0" collapsed="false">
      <c r="B84" s="24"/>
      <c r="C84" s="24"/>
      <c r="D84" s="24"/>
      <c r="E84" s="25" t="s">
        <v>54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W84" s="47" t="n">
        <f aca="false">$U$21+$X$41</f>
        <v>850</v>
      </c>
      <c r="X84" s="47"/>
      <c r="Y84" s="47"/>
      <c r="Z84" s="47"/>
    </row>
    <row r="85" customFormat="false" ht="17.25" hidden="false" customHeight="true" outlineLevel="0" collapsed="false">
      <c r="B85" s="24"/>
      <c r="C85" s="24"/>
      <c r="D85" s="24"/>
      <c r="E85" s="25" t="s">
        <v>88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W85" s="47" t="n">
        <f aca="false">ROUND(($U$26-$X$41)*$X$42,2)-$AA$27</f>
        <v>80</v>
      </c>
      <c r="X85" s="47"/>
      <c r="Y85" s="47"/>
      <c r="Z85" s="47"/>
    </row>
    <row r="86" customFormat="false" ht="17.25" hidden="false" customHeight="true" outlineLevel="0" collapsed="false">
      <c r="B86" s="24"/>
      <c r="C86" s="24"/>
      <c r="D86" s="24"/>
      <c r="E86" s="25" t="s">
        <v>89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W86" s="47" t="n">
        <f aca="false">ROUND(($U$23-$X$43-($AA$24-$X$44))*$X$46,2)</f>
        <v>3200</v>
      </c>
      <c r="X86" s="47"/>
      <c r="Y86" s="47"/>
      <c r="Z86" s="47"/>
    </row>
    <row r="87" customFormat="false" ht="17.25" hidden="false" customHeight="true" outlineLevel="0" collapsed="false">
      <c r="B87" s="24"/>
      <c r="C87" s="24"/>
      <c r="D87" s="24"/>
      <c r="E87" s="25" t="s">
        <v>223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W87" s="47" t="n">
        <f aca="false">$X$43-$X$44-$X$45</f>
        <v>500</v>
      </c>
      <c r="X87" s="47"/>
      <c r="Y87" s="47"/>
      <c r="Z87" s="47"/>
    </row>
    <row r="88" customFormat="false" ht="17.25" hidden="false" customHeight="true" outlineLevel="0" collapsed="false">
      <c r="B88" s="24"/>
      <c r="C88" s="24"/>
      <c r="D88" s="24"/>
      <c r="E88" s="25" t="s">
        <v>90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W88" s="48" t="n">
        <f aca="false">$AA$31*$X$47</f>
        <v>480</v>
      </c>
      <c r="X88" s="48"/>
      <c r="Y88" s="48"/>
      <c r="Z88" s="48"/>
      <c r="AB88" s="48" t="n">
        <f aca="false">-($W$79+$W$80+$W$81+$W$82+$W$83+$W$84+$W$85+$W$86+$W$87+$W$88)</f>
        <v>-30060</v>
      </c>
      <c r="AC88" s="48"/>
      <c r="AD88" s="48"/>
      <c r="AE88" s="48"/>
    </row>
    <row r="89" customFormat="false" ht="17.25" hidden="false" customHeight="true" outlineLevel="0" collapsed="false">
      <c r="B89" s="24"/>
      <c r="C89" s="24"/>
      <c r="D89" s="24"/>
      <c r="E89" s="28" t="s">
        <v>91</v>
      </c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AB89" s="49" t="n">
        <f aca="false">$AB$77+$AB$88</f>
        <v>15840</v>
      </c>
      <c r="AC89" s="49"/>
      <c r="AD89" s="49"/>
      <c r="AE89" s="49"/>
    </row>
    <row r="91" customFormat="false" ht="18.75" hidden="false" customHeight="true" outlineLevel="0" collapsed="false">
      <c r="B91" s="3" t="s">
        <v>224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 customFormat="false" ht="15" hidden="false" customHeight="false" outlineLevel="0" collapsed="false">
      <c r="B92" s="15" t="s">
        <v>221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</row>
    <row r="93" customFormat="false" ht="15" hidden="false" customHeight="false" outlineLevel="0" collapsed="false">
      <c r="B93" s="15" t="s">
        <v>225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</row>
    <row r="94" customFormat="false" ht="15" hidden="false" customHeight="false" outlineLevel="0" collapsed="false">
      <c r="B94" s="23"/>
      <c r="C94" s="23"/>
      <c r="D94" s="23"/>
      <c r="E94" s="16" t="s">
        <v>38</v>
      </c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7" t="s">
        <v>77</v>
      </c>
      <c r="S94" s="17"/>
      <c r="T94" s="17"/>
      <c r="U94" s="17"/>
      <c r="V94" s="17"/>
      <c r="W94" s="17" t="s">
        <v>77</v>
      </c>
      <c r="X94" s="17"/>
      <c r="Y94" s="17"/>
      <c r="Z94" s="17"/>
      <c r="AA94" s="17"/>
      <c r="AB94" s="17" t="s">
        <v>77</v>
      </c>
      <c r="AC94" s="17"/>
      <c r="AD94" s="17"/>
      <c r="AE94" s="17"/>
      <c r="AF94" s="17"/>
    </row>
    <row r="95" customFormat="false" ht="30" hidden="false" customHeight="true" outlineLevel="0" collapsed="false"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11" t="s">
        <v>93</v>
      </c>
      <c r="S95" s="11"/>
      <c r="T95" s="11"/>
      <c r="U95" s="11"/>
      <c r="V95" s="11"/>
      <c r="W95" s="11" t="s">
        <v>94</v>
      </c>
      <c r="X95" s="11"/>
      <c r="Y95" s="11"/>
      <c r="Z95" s="11"/>
      <c r="AA95" s="11"/>
      <c r="AB95" s="11" t="s">
        <v>95</v>
      </c>
      <c r="AC95" s="11"/>
      <c r="AD95" s="11"/>
      <c r="AE95" s="11"/>
      <c r="AF95" s="11"/>
    </row>
    <row r="96" customFormat="false" ht="17.25" hidden="false" customHeight="true" outlineLevel="0" collapsed="false">
      <c r="B96" s="24"/>
      <c r="C96" s="24"/>
      <c r="D96" s="24"/>
      <c r="E96" s="27" t="s">
        <v>96</v>
      </c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</row>
    <row r="97" customFormat="false" ht="17.25" hidden="false" customHeight="true" outlineLevel="0" collapsed="false">
      <c r="B97" s="24"/>
      <c r="C97" s="24"/>
      <c r="D97" s="24"/>
      <c r="E97" s="25" t="s">
        <v>97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47" t="n">
        <f aca="false">$U$22</f>
        <v>40000</v>
      </c>
      <c r="S97" s="47"/>
      <c r="T97" s="47"/>
      <c r="U97" s="47"/>
      <c r="W97" s="47" t="n">
        <f aca="false">0</f>
        <v>0</v>
      </c>
      <c r="X97" s="47"/>
      <c r="Y97" s="47"/>
      <c r="Z97" s="47"/>
      <c r="AB97" s="47" t="n">
        <f aca="false">$R$97-$W$97</f>
        <v>40000</v>
      </c>
      <c r="AC97" s="47"/>
      <c r="AD97" s="47"/>
      <c r="AE97" s="47"/>
    </row>
    <row r="98" customFormat="false" ht="17.25" hidden="false" customHeight="true" outlineLevel="0" collapsed="false">
      <c r="B98" s="24"/>
      <c r="C98" s="24"/>
      <c r="D98" s="24"/>
      <c r="E98" s="25" t="s">
        <v>98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48" t="n">
        <f aca="false">$U$23-$X$43</f>
        <v>25000</v>
      </c>
      <c r="S98" s="48"/>
      <c r="T98" s="48"/>
      <c r="U98" s="48"/>
      <c r="W98" s="48" t="n">
        <f aca="false">$AA$24-$X$44+ROUND(($U$23-$X$43-($AA$24-$X$44))*$X$46,2)</f>
        <v>12200</v>
      </c>
      <c r="X98" s="48"/>
      <c r="Y98" s="48"/>
      <c r="Z98" s="48"/>
      <c r="AB98" s="48" t="n">
        <f aca="false">$R$98-$W$98</f>
        <v>12800</v>
      </c>
      <c r="AC98" s="48"/>
      <c r="AD98" s="48"/>
      <c r="AE98" s="48"/>
    </row>
    <row r="99" customFormat="false" ht="17.25" hidden="false" customHeight="true" outlineLevel="0" collapsed="false">
      <c r="B99" s="24"/>
      <c r="C99" s="24"/>
      <c r="D99" s="24"/>
      <c r="E99" s="28" t="s">
        <v>99</v>
      </c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47" t="n">
        <f aca="false">$R$97+$R$98</f>
        <v>65000</v>
      </c>
      <c r="S99" s="47"/>
      <c r="T99" s="47"/>
      <c r="U99" s="47"/>
      <c r="W99" s="47" t="n">
        <f aca="false">$W$97+$W$98</f>
        <v>12200</v>
      </c>
      <c r="X99" s="47"/>
      <c r="Y99" s="47"/>
      <c r="Z99" s="47"/>
      <c r="AB99" s="47" t="n">
        <f aca="false">$AB$97+$AB$98</f>
        <v>52800</v>
      </c>
      <c r="AC99" s="47"/>
      <c r="AD99" s="47"/>
      <c r="AE99" s="47"/>
    </row>
    <row r="100" customFormat="false" ht="17.25" hidden="false" customHeight="true" outlineLevel="0" collapsed="false">
      <c r="B100" s="24"/>
      <c r="C100" s="24"/>
      <c r="D100" s="24"/>
      <c r="E100" s="27" t="s">
        <v>100</v>
      </c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</row>
    <row r="101" customFormat="false" ht="17.25" hidden="false" customHeight="true" outlineLevel="0" collapsed="false">
      <c r="B101" s="24"/>
      <c r="C101" s="24"/>
      <c r="D101" s="24"/>
      <c r="E101" s="25" t="s">
        <v>101</v>
      </c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W101" s="47" t="n">
        <f aca="false">$X$37</f>
        <v>8100</v>
      </c>
      <c r="X101" s="47"/>
      <c r="Y101" s="47"/>
      <c r="Z101" s="47"/>
    </row>
    <row r="102" customFormat="false" ht="17.25" hidden="false" customHeight="true" outlineLevel="0" collapsed="false">
      <c r="B102" s="24"/>
      <c r="C102" s="24"/>
      <c r="D102" s="24"/>
      <c r="E102" s="25" t="s">
        <v>58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47" t="n">
        <f aca="false">($U$26-$X$41)</f>
        <v>13600</v>
      </c>
      <c r="S102" s="47"/>
      <c r="T102" s="47"/>
      <c r="U102" s="47"/>
    </row>
    <row r="103" customFormat="false" ht="17.25" hidden="false" customHeight="true" outlineLevel="0" collapsed="false">
      <c r="B103" s="24" t="s">
        <v>78</v>
      </c>
      <c r="C103" s="24"/>
      <c r="D103" s="24"/>
      <c r="E103" s="25" t="s">
        <v>59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48" t="n">
        <f aca="false">-(ROUND(($U$26-$X$41)*$X$42,2))</f>
        <v>-680</v>
      </c>
      <c r="S103" s="48"/>
      <c r="T103" s="48"/>
      <c r="U103" s="48"/>
      <c r="W103" s="47" t="n">
        <f aca="false">$R$102+$R$103</f>
        <v>12920</v>
      </c>
      <c r="X103" s="47"/>
      <c r="Y103" s="47"/>
      <c r="Z103" s="47"/>
    </row>
    <row r="104" customFormat="false" ht="17.25" hidden="false" customHeight="true" outlineLevel="0" collapsed="false">
      <c r="B104" s="24"/>
      <c r="C104" s="24"/>
      <c r="D104" s="24"/>
      <c r="E104" s="25" t="s">
        <v>226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W104" s="47" t="n">
        <f aca="false">$X$39+$X$40</f>
        <v>750</v>
      </c>
      <c r="X104" s="47"/>
      <c r="Y104" s="47"/>
      <c r="Z104" s="47"/>
    </row>
    <row r="105" customFormat="false" ht="17.25" hidden="false" customHeight="true" outlineLevel="0" collapsed="false">
      <c r="B105" s="24"/>
      <c r="C105" s="24"/>
      <c r="D105" s="24"/>
      <c r="E105" s="25" t="s">
        <v>62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W105" s="48" t="n">
        <f aca="false">$U$30</f>
        <v>150</v>
      </c>
      <c r="X105" s="48"/>
      <c r="Y105" s="48"/>
      <c r="Z105" s="48"/>
    </row>
    <row r="106" customFormat="false" ht="17.25" hidden="false" customHeight="true" outlineLevel="0" collapsed="false">
      <c r="B106" s="24"/>
      <c r="C106" s="24"/>
      <c r="D106" s="24"/>
      <c r="E106" s="28" t="s">
        <v>103</v>
      </c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W106" s="47" t="n">
        <f aca="false">$W$101+$W$103+$W$104+$W$105</f>
        <v>21920</v>
      </c>
      <c r="X106" s="47"/>
      <c r="Y106" s="47"/>
      <c r="Z106" s="47"/>
    </row>
    <row r="107" customFormat="false" ht="17.25" hidden="false" customHeight="true" outlineLevel="0" collapsed="false">
      <c r="B107" s="24" t="s">
        <v>78</v>
      </c>
      <c r="C107" s="24"/>
      <c r="D107" s="24"/>
      <c r="E107" s="27" t="s">
        <v>104</v>
      </c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</row>
    <row r="108" customFormat="false" ht="17.25" hidden="false" customHeight="true" outlineLevel="0" collapsed="false">
      <c r="B108" s="24"/>
      <c r="C108" s="24"/>
      <c r="D108" s="24"/>
      <c r="E108" s="25" t="s">
        <v>60</v>
      </c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W108" s="47" t="n">
        <f aca="false">$AA$28</f>
        <v>8200</v>
      </c>
      <c r="X108" s="47"/>
      <c r="Y108" s="47"/>
      <c r="Z108" s="47"/>
    </row>
    <row r="109" customFormat="false" ht="17.25" hidden="false" customHeight="true" outlineLevel="0" collapsed="false">
      <c r="B109" s="24"/>
      <c r="C109" s="24"/>
      <c r="D109" s="24"/>
      <c r="E109" s="25" t="s">
        <v>227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W109" s="47" t="n">
        <f aca="false">$X$38+$AA$31*$X$47</f>
        <v>780</v>
      </c>
      <c r="X109" s="47"/>
      <c r="Y109" s="47"/>
      <c r="Z109" s="47"/>
    </row>
    <row r="110" customFormat="false" ht="17.25" hidden="false" customHeight="true" outlineLevel="0" collapsed="false">
      <c r="B110" s="24"/>
      <c r="C110" s="24"/>
      <c r="D110" s="24"/>
      <c r="E110" s="25" t="s">
        <v>194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W110" s="48" t="n">
        <f aca="false">$AA$29</f>
        <v>1800</v>
      </c>
      <c r="X110" s="48"/>
      <c r="Y110" s="48"/>
      <c r="Z110" s="48"/>
    </row>
    <row r="111" customFormat="false" ht="17.25" hidden="false" customHeight="true" outlineLevel="0" collapsed="false">
      <c r="B111" s="24"/>
      <c r="C111" s="24"/>
      <c r="D111" s="24"/>
      <c r="E111" s="28" t="s">
        <v>106</v>
      </c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W111" s="48" t="n">
        <f aca="false">$W$108+$W$109+$W$110</f>
        <v>10780</v>
      </c>
      <c r="X111" s="48"/>
      <c r="Y111" s="48"/>
      <c r="Z111" s="48"/>
    </row>
    <row r="112" customFormat="false" ht="17.25" hidden="false" customHeight="true" outlineLevel="0" collapsed="false">
      <c r="B112" s="24"/>
      <c r="C112" s="24"/>
      <c r="D112" s="24"/>
      <c r="E112" s="25" t="s">
        <v>107</v>
      </c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AB112" s="48" t="n">
        <f aca="false">$W$106-$W$111</f>
        <v>11140</v>
      </c>
      <c r="AC112" s="48"/>
      <c r="AD112" s="48"/>
      <c r="AE112" s="48"/>
    </row>
    <row r="113" customFormat="false" ht="17.25" hidden="false" customHeight="true" outlineLevel="0" collapsed="false">
      <c r="B113" s="24"/>
      <c r="C113" s="24"/>
      <c r="D113" s="24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AB113" s="47" t="n">
        <f aca="false">$AB$99+$AB$112</f>
        <v>63940</v>
      </c>
      <c r="AC113" s="47"/>
      <c r="AD113" s="47"/>
      <c r="AE113" s="47"/>
    </row>
    <row r="114" customFormat="false" ht="17.25" hidden="false" customHeight="true" outlineLevel="0" collapsed="false">
      <c r="B114" s="24" t="s">
        <v>78</v>
      </c>
      <c r="C114" s="24"/>
      <c r="D114" s="24"/>
      <c r="E114" s="27" t="s">
        <v>108</v>
      </c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</row>
    <row r="115" customFormat="false" ht="17.25" hidden="false" customHeight="true" outlineLevel="0" collapsed="false">
      <c r="B115" s="24"/>
      <c r="C115" s="24"/>
      <c r="D115" s="24"/>
      <c r="E115" s="25" t="s">
        <v>147</v>
      </c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AB115" s="48" t="n">
        <f aca="false">-($AA$31)</f>
        <v>-8000</v>
      </c>
      <c r="AC115" s="48"/>
      <c r="AD115" s="48"/>
      <c r="AE115" s="48"/>
    </row>
    <row r="116" customFormat="false" ht="17.25" hidden="false" customHeight="true" outlineLevel="0" collapsed="false">
      <c r="B116" s="24"/>
      <c r="C116" s="24"/>
      <c r="D116" s="24"/>
      <c r="E116" s="28" t="s">
        <v>109</v>
      </c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AB116" s="49" t="n">
        <f aca="false">$AB$113+$AB$115</f>
        <v>55940</v>
      </c>
      <c r="AC116" s="49"/>
      <c r="AD116" s="49"/>
      <c r="AE116" s="49"/>
    </row>
    <row r="117" customFormat="false" ht="17.25" hidden="false" customHeight="true" outlineLevel="0" collapsed="false">
      <c r="B117" s="24"/>
      <c r="C117" s="24"/>
      <c r="D117" s="24"/>
      <c r="E117" s="27" t="s">
        <v>110</v>
      </c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</row>
    <row r="118" customFormat="false" ht="17.25" hidden="false" customHeight="true" outlineLevel="0" collapsed="false">
      <c r="B118" s="24"/>
      <c r="C118" s="24"/>
      <c r="D118" s="24"/>
      <c r="E118" s="25" t="s">
        <v>111</v>
      </c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AB118" s="47" t="n">
        <f aca="false">$AA$32</f>
        <v>50100</v>
      </c>
      <c r="AC118" s="47"/>
      <c r="AD118" s="47"/>
      <c r="AE118" s="47"/>
    </row>
    <row r="119" customFormat="false" ht="17.25" hidden="false" customHeight="true" outlineLevel="0" collapsed="false">
      <c r="B119" s="24" t="s">
        <v>82</v>
      </c>
      <c r="C119" s="24"/>
      <c r="D119" s="24"/>
      <c r="E119" s="25" t="s">
        <v>91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AB119" s="48" t="n">
        <f aca="false">$AB$89</f>
        <v>15840</v>
      </c>
      <c r="AC119" s="48"/>
      <c r="AD119" s="48"/>
      <c r="AE119" s="48"/>
    </row>
    <row r="120" customFormat="false" ht="17.25" hidden="false" customHeight="true" outlineLevel="0" collapsed="false">
      <c r="B120" s="24"/>
      <c r="C120" s="24"/>
      <c r="D120" s="24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AB120" s="47" t="n">
        <f aca="false">$AB$118+$AB$119</f>
        <v>65940</v>
      </c>
      <c r="AC120" s="47"/>
      <c r="AD120" s="47"/>
      <c r="AE120" s="47"/>
    </row>
    <row r="121" customFormat="false" ht="17.25" hidden="false" customHeight="true" outlineLevel="0" collapsed="false">
      <c r="B121" s="24" t="s">
        <v>78</v>
      </c>
      <c r="C121" s="24"/>
      <c r="D121" s="24"/>
      <c r="E121" s="25" t="s">
        <v>65</v>
      </c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AB121" s="48" t="n">
        <f aca="false">-($U$33)</f>
        <v>-10000</v>
      </c>
      <c r="AC121" s="48"/>
      <c r="AD121" s="48"/>
      <c r="AE121" s="48"/>
    </row>
    <row r="122" customFormat="false" ht="17.25" hidden="false" customHeight="true" outlineLevel="0" collapsed="false">
      <c r="B122" s="24"/>
      <c r="C122" s="24"/>
      <c r="D122" s="24"/>
      <c r="E122" s="28" t="s">
        <v>112</v>
      </c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AB122" s="49" t="n">
        <f aca="false">$AB$120+$AB$121</f>
        <v>55940</v>
      </c>
      <c r="AC122" s="49"/>
      <c r="AD122" s="49"/>
      <c r="AE122" s="49"/>
    </row>
  </sheetData>
  <mergeCells count="324">
    <mergeCell ref="B1:AF1"/>
    <mergeCell ref="B2:AF2"/>
    <mergeCell ref="B3:AF3"/>
    <mergeCell ref="B5:AF5"/>
    <mergeCell ref="B6:AF6"/>
    <mergeCell ref="B7:T7"/>
    <mergeCell ref="U7:Z7"/>
    <mergeCell ref="AA7:AF7"/>
    <mergeCell ref="B8:T8"/>
    <mergeCell ref="U8:Z8"/>
    <mergeCell ref="AA8:AF8"/>
    <mergeCell ref="B9:T9"/>
    <mergeCell ref="U9:Z9"/>
    <mergeCell ref="AA9:AF9"/>
    <mergeCell ref="B10:T10"/>
    <mergeCell ref="U10:Z10"/>
    <mergeCell ref="AA10:AF10"/>
    <mergeCell ref="B11:T11"/>
    <mergeCell ref="U11:Z11"/>
    <mergeCell ref="AA11:AF11"/>
    <mergeCell ref="B12:T12"/>
    <mergeCell ref="U12:Z12"/>
    <mergeCell ref="AA12:AF12"/>
    <mergeCell ref="B13:T13"/>
    <mergeCell ref="U13:Z13"/>
    <mergeCell ref="AA13:AF13"/>
    <mergeCell ref="B14:T14"/>
    <mergeCell ref="U14:Z14"/>
    <mergeCell ref="AA14:AF14"/>
    <mergeCell ref="B15:T15"/>
    <mergeCell ref="U15:Z15"/>
    <mergeCell ref="AA15:AF15"/>
    <mergeCell ref="B16:T16"/>
    <mergeCell ref="U16:Z16"/>
    <mergeCell ref="AA16:AF16"/>
    <mergeCell ref="B17:T17"/>
    <mergeCell ref="U17:Z17"/>
    <mergeCell ref="AA17:AF17"/>
    <mergeCell ref="B18:T18"/>
    <mergeCell ref="U18:Z18"/>
    <mergeCell ref="AA18:AF18"/>
    <mergeCell ref="B19:T19"/>
    <mergeCell ref="U19:Z19"/>
    <mergeCell ref="AA19:AF19"/>
    <mergeCell ref="B20:T20"/>
    <mergeCell ref="U20:Z20"/>
    <mergeCell ref="AA20:AF20"/>
    <mergeCell ref="B21:T21"/>
    <mergeCell ref="U21:Z21"/>
    <mergeCell ref="AA21:AF21"/>
    <mergeCell ref="B22:T22"/>
    <mergeCell ref="U22:Z22"/>
    <mergeCell ref="AA22:AF22"/>
    <mergeCell ref="B23:T23"/>
    <mergeCell ref="U23:Z23"/>
    <mergeCell ref="AA23:AF23"/>
    <mergeCell ref="B24:T24"/>
    <mergeCell ref="U24:Z24"/>
    <mergeCell ref="AA24:AF24"/>
    <mergeCell ref="B25:T25"/>
    <mergeCell ref="U25:Z25"/>
    <mergeCell ref="AA25:AF25"/>
    <mergeCell ref="B26:T26"/>
    <mergeCell ref="U26:Z26"/>
    <mergeCell ref="AA26:AF26"/>
    <mergeCell ref="B27:T27"/>
    <mergeCell ref="U27:Z27"/>
    <mergeCell ref="AA27:AF27"/>
    <mergeCell ref="B28:T28"/>
    <mergeCell ref="U28:Z28"/>
    <mergeCell ref="AA28:AF28"/>
    <mergeCell ref="B29:T29"/>
    <mergeCell ref="U29:Z29"/>
    <mergeCell ref="AA29:AF29"/>
    <mergeCell ref="B30:T30"/>
    <mergeCell ref="U30:Z30"/>
    <mergeCell ref="AA30:AF30"/>
    <mergeCell ref="B31:T31"/>
    <mergeCell ref="U31:Z31"/>
    <mergeCell ref="AA31:AF31"/>
    <mergeCell ref="B32:T32"/>
    <mergeCell ref="U32:Z32"/>
    <mergeCell ref="AA32:AF32"/>
    <mergeCell ref="B33:T33"/>
    <mergeCell ref="U33:Z33"/>
    <mergeCell ref="AA33:AF33"/>
    <mergeCell ref="B34:T34"/>
    <mergeCell ref="U34:Z34"/>
    <mergeCell ref="AA34:AF34"/>
    <mergeCell ref="B36:W36"/>
    <mergeCell ref="X36:AC36"/>
    <mergeCell ref="B37:W37"/>
    <mergeCell ref="X37:AC37"/>
    <mergeCell ref="B38:W38"/>
    <mergeCell ref="X38:AC38"/>
    <mergeCell ref="B39:W39"/>
    <mergeCell ref="X39:AC39"/>
    <mergeCell ref="B40:W40"/>
    <mergeCell ref="X40:AC40"/>
    <mergeCell ref="B41:W41"/>
    <mergeCell ref="X41:AC41"/>
    <mergeCell ref="B42:W42"/>
    <mergeCell ref="X42:AC42"/>
    <mergeCell ref="B43:W43"/>
    <mergeCell ref="X43:AC43"/>
    <mergeCell ref="B44:W44"/>
    <mergeCell ref="X44:AC44"/>
    <mergeCell ref="B45:W45"/>
    <mergeCell ref="X45:AC45"/>
    <mergeCell ref="B46:W46"/>
    <mergeCell ref="X46:AC46"/>
    <mergeCell ref="B47:W47"/>
    <mergeCell ref="X47:AC47"/>
    <mergeCell ref="B49:AF49"/>
    <mergeCell ref="B51:AF51"/>
    <mergeCell ref="B52:D52"/>
    <mergeCell ref="E52:AC52"/>
    <mergeCell ref="AD52:AF52"/>
    <mergeCell ref="B53:D53"/>
    <mergeCell ref="E53:K53"/>
    <mergeCell ref="M53:P53"/>
    <mergeCell ref="R53:T53"/>
    <mergeCell ref="U53:AA53"/>
    <mergeCell ref="AC53:AF53"/>
    <mergeCell ref="B54:D54"/>
    <mergeCell ref="E54:K54"/>
    <mergeCell ref="M54:O54"/>
    <mergeCell ref="R54:T54"/>
    <mergeCell ref="U54:AA54"/>
    <mergeCell ref="AC54:AE54"/>
    <mergeCell ref="R55:T55"/>
    <mergeCell ref="U55:AA55"/>
    <mergeCell ref="AC55:AE55"/>
    <mergeCell ref="R56:T56"/>
    <mergeCell ref="U56:AA56"/>
    <mergeCell ref="AC56:AE56"/>
    <mergeCell ref="M57:O57"/>
    <mergeCell ref="AC57:AE57"/>
    <mergeCell ref="B59:AF59"/>
    <mergeCell ref="B60:AF60"/>
    <mergeCell ref="B61:AF61"/>
    <mergeCell ref="B62:D62"/>
    <mergeCell ref="E62:Q62"/>
    <mergeCell ref="R62:V62"/>
    <mergeCell ref="W62:AA62"/>
    <mergeCell ref="AB62:AF62"/>
    <mergeCell ref="B63:D63"/>
    <mergeCell ref="E63:Q63"/>
    <mergeCell ref="AB63:AE63"/>
    <mergeCell ref="B64:D64"/>
    <mergeCell ref="E64:Q64"/>
    <mergeCell ref="AB64:AE64"/>
    <mergeCell ref="B65:D65"/>
    <mergeCell ref="E65:Q65"/>
    <mergeCell ref="AB65:AE65"/>
    <mergeCell ref="B66:D66"/>
    <mergeCell ref="E66:Q66"/>
    <mergeCell ref="B67:D67"/>
    <mergeCell ref="E67:Q67"/>
    <mergeCell ref="W67:Z67"/>
    <mergeCell ref="B68:D68"/>
    <mergeCell ref="E68:Q68"/>
    <mergeCell ref="R68:U68"/>
    <mergeCell ref="B69:D69"/>
    <mergeCell ref="E69:Q69"/>
    <mergeCell ref="R69:U69"/>
    <mergeCell ref="B70:D70"/>
    <mergeCell ref="E70:Q70"/>
    <mergeCell ref="R70:U70"/>
    <mergeCell ref="W70:Z70"/>
    <mergeCell ref="B71:D71"/>
    <mergeCell ref="E71:Q71"/>
    <mergeCell ref="W71:Z71"/>
    <mergeCell ref="B72:D72"/>
    <mergeCell ref="E72:Q72"/>
    <mergeCell ref="W72:Z72"/>
    <mergeCell ref="AB72:AE72"/>
    <mergeCell ref="B73:D73"/>
    <mergeCell ref="E73:Q73"/>
    <mergeCell ref="AB73:AE73"/>
    <mergeCell ref="B74:D74"/>
    <mergeCell ref="E74:Q74"/>
    <mergeCell ref="B75:D75"/>
    <mergeCell ref="E75:Q75"/>
    <mergeCell ref="W75:Z75"/>
    <mergeCell ref="B76:D76"/>
    <mergeCell ref="E76:Q76"/>
    <mergeCell ref="W76:Z76"/>
    <mergeCell ref="AB76:AE76"/>
    <mergeCell ref="B77:D77"/>
    <mergeCell ref="E77:Q77"/>
    <mergeCell ref="AB77:AE77"/>
    <mergeCell ref="B78:D78"/>
    <mergeCell ref="E78:Q78"/>
    <mergeCell ref="B79:D79"/>
    <mergeCell ref="E79:Q79"/>
    <mergeCell ref="W79:Z79"/>
    <mergeCell ref="B80:D80"/>
    <mergeCell ref="E80:Q80"/>
    <mergeCell ref="W80:Z80"/>
    <mergeCell ref="B81:D81"/>
    <mergeCell ref="E81:Q81"/>
    <mergeCell ref="W81:Z81"/>
    <mergeCell ref="B82:D82"/>
    <mergeCell ref="E82:Q82"/>
    <mergeCell ref="W82:Z82"/>
    <mergeCell ref="B83:D83"/>
    <mergeCell ref="E83:Q83"/>
    <mergeCell ref="W83:Z83"/>
    <mergeCell ref="B84:D84"/>
    <mergeCell ref="E84:Q84"/>
    <mergeCell ref="W84:Z84"/>
    <mergeCell ref="B85:D85"/>
    <mergeCell ref="E85:Q85"/>
    <mergeCell ref="W85:Z85"/>
    <mergeCell ref="B86:D86"/>
    <mergeCell ref="E86:Q86"/>
    <mergeCell ref="W86:Z86"/>
    <mergeCell ref="B87:D87"/>
    <mergeCell ref="E87:Q87"/>
    <mergeCell ref="W87:Z87"/>
    <mergeCell ref="B88:D88"/>
    <mergeCell ref="E88:Q88"/>
    <mergeCell ref="W88:Z88"/>
    <mergeCell ref="AB88:AE88"/>
    <mergeCell ref="B89:D89"/>
    <mergeCell ref="E89:Q89"/>
    <mergeCell ref="AB89:AE89"/>
    <mergeCell ref="B91:AF91"/>
    <mergeCell ref="B92:AF92"/>
    <mergeCell ref="B93:AF93"/>
    <mergeCell ref="B94:D94"/>
    <mergeCell ref="E94:Q94"/>
    <mergeCell ref="R94:V94"/>
    <mergeCell ref="W94:AA94"/>
    <mergeCell ref="AB94:AF94"/>
    <mergeCell ref="B95:D95"/>
    <mergeCell ref="E95:Q95"/>
    <mergeCell ref="R95:V95"/>
    <mergeCell ref="W95:AA95"/>
    <mergeCell ref="AB95:AF95"/>
    <mergeCell ref="B96:D96"/>
    <mergeCell ref="E96:Q96"/>
    <mergeCell ref="B97:D97"/>
    <mergeCell ref="E97:Q97"/>
    <mergeCell ref="R97:U97"/>
    <mergeCell ref="W97:Z97"/>
    <mergeCell ref="AB97:AE97"/>
    <mergeCell ref="B98:D98"/>
    <mergeCell ref="E98:Q98"/>
    <mergeCell ref="R98:U98"/>
    <mergeCell ref="W98:Z98"/>
    <mergeCell ref="AB98:AE98"/>
    <mergeCell ref="B99:D99"/>
    <mergeCell ref="E99:Q99"/>
    <mergeCell ref="R99:U99"/>
    <mergeCell ref="W99:Z99"/>
    <mergeCell ref="AB99:AE99"/>
    <mergeCell ref="B100:D100"/>
    <mergeCell ref="E100:Q100"/>
    <mergeCell ref="B101:D101"/>
    <mergeCell ref="E101:Q101"/>
    <mergeCell ref="W101:Z101"/>
    <mergeCell ref="B102:D102"/>
    <mergeCell ref="E102:Q102"/>
    <mergeCell ref="R102:U102"/>
    <mergeCell ref="B103:D103"/>
    <mergeCell ref="E103:Q103"/>
    <mergeCell ref="R103:U103"/>
    <mergeCell ref="W103:Z103"/>
    <mergeCell ref="B104:D104"/>
    <mergeCell ref="E104:Q104"/>
    <mergeCell ref="W104:Z104"/>
    <mergeCell ref="B105:D105"/>
    <mergeCell ref="E105:Q105"/>
    <mergeCell ref="W105:Z105"/>
    <mergeCell ref="B106:D106"/>
    <mergeCell ref="E106:Q106"/>
    <mergeCell ref="W106:Z106"/>
    <mergeCell ref="B107:D107"/>
    <mergeCell ref="E107:Q107"/>
    <mergeCell ref="B108:D108"/>
    <mergeCell ref="E108:Q108"/>
    <mergeCell ref="W108:Z108"/>
    <mergeCell ref="B109:D109"/>
    <mergeCell ref="E109:Q109"/>
    <mergeCell ref="W109:Z109"/>
    <mergeCell ref="B110:D110"/>
    <mergeCell ref="E110:Q110"/>
    <mergeCell ref="W110:Z110"/>
    <mergeCell ref="B111:D111"/>
    <mergeCell ref="E111:Q111"/>
    <mergeCell ref="W111:Z111"/>
    <mergeCell ref="B112:D112"/>
    <mergeCell ref="E112:Q112"/>
    <mergeCell ref="AB112:AE112"/>
    <mergeCell ref="B113:D113"/>
    <mergeCell ref="E113:Q113"/>
    <mergeCell ref="AB113:AE113"/>
    <mergeCell ref="B114:D114"/>
    <mergeCell ref="E114:Q114"/>
    <mergeCell ref="B115:D115"/>
    <mergeCell ref="E115:Q115"/>
    <mergeCell ref="AB115:AE115"/>
    <mergeCell ref="B116:D116"/>
    <mergeCell ref="E116:Q116"/>
    <mergeCell ref="AB116:AE116"/>
    <mergeCell ref="B117:D117"/>
    <mergeCell ref="E117:Q117"/>
    <mergeCell ref="B118:D118"/>
    <mergeCell ref="E118:Q118"/>
    <mergeCell ref="AB118:AE118"/>
    <mergeCell ref="B119:D119"/>
    <mergeCell ref="E119:Q119"/>
    <mergeCell ref="AB119:AE119"/>
    <mergeCell ref="B120:D120"/>
    <mergeCell ref="E120:Q120"/>
    <mergeCell ref="AB120:AE120"/>
    <mergeCell ref="B121:D121"/>
    <mergeCell ref="E121:Q121"/>
    <mergeCell ref="AB121:AE121"/>
    <mergeCell ref="B122:D122"/>
    <mergeCell ref="E122:Q122"/>
    <mergeCell ref="AB122:AE122"/>
  </mergeCells>
  <conditionalFormatting sqref="B1:AG12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2026-09-30T09:44:55Z</dcterms:created>
  <dc:creator>openpyxl</dc:creator>
  <dc:description/>
  <dc:language>en-US</dc:language>
  <cp:lastModifiedBy/>
  <dcterms:modified xsi:type="dcterms:W3CDTF">2026-09-30T09:44:57Z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