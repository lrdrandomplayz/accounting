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cepts" sheetId="2" state="visible" r:id="rId4"/>
    <sheet name="NRV Calculator" sheetId="3" state="visible" r:id="rId5"/>
    <sheet name="Lists" sheetId="4" state="hidden" r:id="rId6"/>
    <sheet name="Quiz" sheetId="5" state="visible" r:id="rId7"/>
    <sheet name="Answers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<sst xmlns="http://schemas.openxmlformats.org/spreadsheetml/2006/main" count="114" uniqueCount="87">
  <si>
    <t xml:space="preserve">Chapter 12: Fundamental Accounting Principles and Concepts</t>
  </si>
  <si>
    <t xml:space="preserve">Senior 1 Accounting. Free to use and share.</t>
  </si>
  <si>
    <t xml:space="preserve">How to use this workbook</t>
  </si>
  <si>
    <t xml:space="preserve">1. Start with the worked example sheets. Change any blue number and watch every answer update.</t>
  </si>
  <si>
    <t xml:space="preserve">2. Then try the Practice sheet. Type your answers in the yellow cells.</t>
  </si>
  <si>
    <t xml:space="preserve">3. The Check column tells you 'Correct' or 'Try again' as soon as you type.</t>
  </si>
  <si>
    <t xml:space="preserve">4. The Answers sheet is hidden. When you finish, right-click any sheet tab and choose Unhide to see full answers.</t>
  </si>
  <si>
    <t xml:space="preserve">Colour key</t>
  </si>
  <si>
    <t xml:space="preserve">Blue text = an input you can change.</t>
  </si>
  <si>
    <t xml:space="preserve">Black text = a formula. Do not type over it.</t>
  </si>
  <si>
    <t xml:space="preserve">Yellow cell = your answer goes here.</t>
  </si>
  <si>
    <t xml:space="preserve">The Quiz sheet uses drop-down lists. Click a yellow cell and pick a concept.</t>
  </si>
  <si>
    <t xml:space="preserve">The ten accounting concepts</t>
  </si>
  <si>
    <t xml:space="preserve">Concept</t>
  </si>
  <si>
    <t xml:space="preserve">Meaning</t>
  </si>
  <si>
    <t xml:space="preserve">Example</t>
  </si>
  <si>
    <t xml:space="preserve">Business entity</t>
  </si>
  <si>
    <t xml:space="preserve">The business is separate from its owner.</t>
  </si>
  <si>
    <t xml:space="preserve">Owner's private house is not recorded; goods taken are drawings.</t>
  </si>
  <si>
    <t xml:space="preserve">Duality</t>
  </si>
  <si>
    <t xml:space="preserve">Every transaction has two equal effects: a debit and a credit.</t>
  </si>
  <si>
    <t xml:space="preserve">Buy equipment by cheque: equipment up, bank down.</t>
  </si>
  <si>
    <t xml:space="preserve">Money measurement</t>
  </si>
  <si>
    <t xml:space="preserve">Only record items with a money value.</t>
  </si>
  <si>
    <t xml:space="preserve">Staff skill and customer loyalty are not recorded.</t>
  </si>
  <si>
    <t xml:space="preserve">Historical cost</t>
  </si>
  <si>
    <t xml:space="preserve">Record assets at their original cost.</t>
  </si>
  <si>
    <t xml:space="preserve">Land bought for $50,000 stays at $50,000.</t>
  </si>
  <si>
    <t xml:space="preserve">Going concern</t>
  </si>
  <si>
    <t xml:space="preserve">Assume the business will continue trading.</t>
  </si>
  <si>
    <t xml:space="preserve">Assets at cost less depreciation, not closing-down value.</t>
  </si>
  <si>
    <t xml:space="preserve">Realisation</t>
  </si>
  <si>
    <t xml:space="preserve">Record revenue when it is earned (goods pass to customer).</t>
  </si>
  <si>
    <t xml:space="preserve">Credit sale on 28 Dec is this year's revenue.</t>
  </si>
  <si>
    <t xml:space="preserve">Accruals</t>
  </si>
  <si>
    <t xml:space="preserve">Match income and expenses to the period they belong to.</t>
  </si>
  <si>
    <t xml:space="preserve">Accrued electricity; depreciation.</t>
  </si>
  <si>
    <t xml:space="preserve">Consistency</t>
  </si>
  <si>
    <t xml:space="preserve">Use the same methods every year.</t>
  </si>
  <si>
    <t xml:space="preserve">Keep the same depreciation method.</t>
  </si>
  <si>
    <t xml:space="preserve">Prudence</t>
  </si>
  <si>
    <t xml:space="preserve">Do not overstate assets or profit.</t>
  </si>
  <si>
    <t xml:space="preserve">Allowance for irrecoverable debts; inventory at lower of cost and NRV.</t>
  </si>
  <si>
    <t xml:space="preserve">Materiality</t>
  </si>
  <si>
    <t xml:space="preserve">Small items can be treated simply.</t>
  </si>
  <si>
    <t xml:space="preserve">A $5 stapler is an expense, not a non-current asset.</t>
  </si>
  <si>
    <t xml:space="preserve">Qualities of useful information</t>
  </si>
  <si>
    <t xml:space="preserve">Relevance</t>
  </si>
  <si>
    <t xml:space="preserve">Helps users make decisions; available in time.</t>
  </si>
  <si>
    <t xml:space="preserve">Reliability</t>
  </si>
  <si>
    <t xml:space="preserve">Free from errors and bias; can be checked.</t>
  </si>
  <si>
    <t xml:space="preserve">Comparability</t>
  </si>
  <si>
    <t xml:space="preserve">Can be compared with other years and businesses.</t>
  </si>
  <si>
    <t xml:space="preserve">Understandability</t>
  </si>
  <si>
    <t xml:space="preserve">Clear to users with reasonable knowledge.</t>
  </si>
  <si>
    <t xml:space="preserve">Inventory: lower of cost and net realisable value (prudence)</t>
  </si>
  <si>
    <t xml:space="preserve">Cost of goods</t>
  </si>
  <si>
    <t xml:space="preserve">Expected selling price</t>
  </si>
  <si>
    <t xml:space="preserve">Costs to sell (repairs, selling costs)</t>
  </si>
  <si>
    <t xml:space="preserve">Net realisable value (NRV)</t>
  </si>
  <si>
    <t xml:space="preserve">Value for inventory (lower of cost and NRV)</t>
  </si>
  <si>
    <t xml:space="preserve">Quiz: Which concept applies?</t>
  </si>
  <si>
    <t xml:space="preserve">Type your answers in the yellow cells. The Check column marks them.</t>
  </si>
  <si>
    <t xml:space="preserve">Choose from the drop-down list in each yellow cell.</t>
  </si>
  <si>
    <t xml:space="preserve">Question</t>
  </si>
  <si>
    <t xml:space="preserve">Your answer</t>
  </si>
  <si>
    <t xml:space="preserve">Check</t>
  </si>
  <si>
    <t xml:space="preserve">Pick the concept for each situation</t>
  </si>
  <si>
    <t xml:space="preserve">12.1 The owner's private car is not in the business accounts.</t>
  </si>
  <si>
    <t xml:space="preserve">12.2 Land is recorded at the price paid, not its current value.</t>
  </si>
  <si>
    <t xml:space="preserve">12.3 The same depreciation method is used every year.</t>
  </si>
  <si>
    <t xml:space="preserve">12.4 A $5 calculator is recorded as an expense.</t>
  </si>
  <si>
    <t xml:space="preserve">12.5 Revenue is recorded when goods are delivered.</t>
  </si>
  <si>
    <t xml:space="preserve">12.6 Staff skill is not recorded in the accounts.</t>
  </si>
  <si>
    <t xml:space="preserve">12.7 Every transaction has a debit and a credit.</t>
  </si>
  <si>
    <t xml:space="preserve">12.8 Assets shown at cost less depreciation, not closing-down prices.</t>
  </si>
  <si>
    <t xml:space="preserve">12.9 December electricity paid in January is December's expense.</t>
  </si>
  <si>
    <t xml:space="preserve">12.10 An allowance for irrecoverable debts is created.</t>
  </si>
  <si>
    <t xml:space="preserve">Extra: Inventory is valued at the lower of cost and NRV.</t>
  </si>
  <si>
    <t xml:space="preserve">Extra: Goods taken by the owner are recorded as drawings.</t>
  </si>
  <si>
    <t xml:space="preserve">Extra: A credit sale on 30 Dec, paid 10 Jan, is this year's revenue.</t>
  </si>
  <si>
    <t xml:space="preserve">Extra: Insurance prepaid is deducted from this year's expense.</t>
  </si>
  <si>
    <t xml:space="preserve">Extra: Equipment $5,000 by cheque: equipment up, bank down.</t>
  </si>
  <si>
    <t xml:space="preserve">Your score (number correct)</t>
  </si>
  <si>
    <t xml:space="preserve">Quiz: Which concept applies?: Answers</t>
  </si>
  <si>
    <t xml:space="preserve">Every answer is a formula linked to the Practice sheet data.</t>
  </si>
  <si>
    <t xml:space="preserve">Answer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</si>
</sst>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6" t="s">
        <v>10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65"/>
  </cols>
  <sheetData>
    <row r="1" customFormat="false" ht="17.35" hidden="false" customHeight="false" outlineLevel="0" collapsed="false">
      <c r="A1" s="1" t="s">
        <v>12</v>
      </c>
    </row>
    <row r="3" customFormat="false" ht="15" hidden="false" customHeight="false" outlineLevel="0" collapsed="false">
      <c r="A3" s="7" t="s">
        <v>13</v>
      </c>
      <c r="B3" s="7" t="s">
        <v>14</v>
      </c>
      <c r="C3" s="7" t="s">
        <v>15</v>
      </c>
    </row>
    <row r="4" customFormat="false" ht="15" hidden="false" customHeight="false" outlineLevel="0" collapsed="false">
      <c r="A4" s="3" t="s">
        <v>16</v>
      </c>
      <c r="B4" s="8" t="s">
        <v>17</v>
      </c>
      <c r="C4" s="8" t="s">
        <v>18</v>
      </c>
    </row>
    <row r="5" customFormat="false" ht="15" hidden="false" customHeight="false" outlineLevel="0" collapsed="false">
      <c r="A5" s="3" t="s">
        <v>19</v>
      </c>
      <c r="B5" s="8" t="s">
        <v>20</v>
      </c>
      <c r="C5" s="8" t="s">
        <v>21</v>
      </c>
    </row>
    <row r="6" customFormat="false" ht="15" hidden="false" customHeight="false" outlineLevel="0" collapsed="false">
      <c r="A6" s="3" t="s">
        <v>22</v>
      </c>
      <c r="B6" s="8" t="s">
        <v>23</v>
      </c>
      <c r="C6" s="8" t="s">
        <v>24</v>
      </c>
    </row>
    <row r="7" customFormat="false" ht="15" hidden="false" customHeight="false" outlineLevel="0" collapsed="false">
      <c r="A7" s="3" t="s">
        <v>25</v>
      </c>
      <c r="B7" s="8" t="s">
        <v>26</v>
      </c>
      <c r="C7" s="8" t="s">
        <v>27</v>
      </c>
    </row>
    <row r="8" customFormat="false" ht="15" hidden="false" customHeight="false" outlineLevel="0" collapsed="false">
      <c r="A8" s="3" t="s">
        <v>28</v>
      </c>
      <c r="B8" s="8" t="s">
        <v>29</v>
      </c>
      <c r="C8" s="8" t="s">
        <v>30</v>
      </c>
    </row>
    <row r="9" customFormat="false" ht="15" hidden="false" customHeight="false" outlineLevel="0" collapsed="false">
      <c r="A9" s="3" t="s">
        <v>31</v>
      </c>
      <c r="B9" s="8" t="s">
        <v>32</v>
      </c>
      <c r="C9" s="8" t="s">
        <v>33</v>
      </c>
    </row>
    <row r="10" customFormat="false" ht="15" hidden="false" customHeight="false" outlineLevel="0" collapsed="false">
      <c r="A10" s="3" t="s">
        <v>34</v>
      </c>
      <c r="B10" s="8" t="s">
        <v>35</v>
      </c>
      <c r="C10" s="8" t="s">
        <v>36</v>
      </c>
    </row>
    <row r="11" customFormat="false" ht="15" hidden="false" customHeight="false" outlineLevel="0" collapsed="false">
      <c r="A11" s="3" t="s">
        <v>37</v>
      </c>
      <c r="B11" s="8" t="s">
        <v>38</v>
      </c>
      <c r="C11" s="8" t="s">
        <v>39</v>
      </c>
    </row>
    <row r="12" customFormat="false" ht="15" hidden="false" customHeight="false" outlineLevel="0" collapsed="false">
      <c r="A12" s="3" t="s">
        <v>40</v>
      </c>
      <c r="B12" s="8" t="s">
        <v>41</v>
      </c>
      <c r="C12" s="8" t="s">
        <v>42</v>
      </c>
    </row>
    <row r="13" customFormat="false" ht="15" hidden="false" customHeight="false" outlineLevel="0" collapsed="false">
      <c r="A13" s="3" t="s">
        <v>43</v>
      </c>
      <c r="B13" s="8" t="s">
        <v>44</v>
      </c>
      <c r="C13" s="8" t="s">
        <v>45</v>
      </c>
    </row>
    <row r="15" customFormat="false" ht="15" hidden="false" customHeight="false" outlineLevel="0" collapsed="false">
      <c r="A15" s="3" t="s">
        <v>46</v>
      </c>
    </row>
    <row r="16" customFormat="false" ht="15" hidden="false" customHeight="false" outlineLevel="0" collapsed="false">
      <c r="A16" s="3" t="s">
        <v>47</v>
      </c>
      <c r="B16" s="4" t="s">
        <v>48</v>
      </c>
    </row>
    <row r="17" customFormat="false" ht="15" hidden="false" customHeight="false" outlineLevel="0" collapsed="false">
      <c r="A17" s="3" t="s">
        <v>49</v>
      </c>
      <c r="B17" s="4" t="s">
        <v>50</v>
      </c>
    </row>
    <row r="18" customFormat="false" ht="15" hidden="false" customHeight="false" outlineLevel="0" collapsed="false">
      <c r="A18" s="3" t="s">
        <v>51</v>
      </c>
      <c r="B18" s="4" t="s">
        <v>52</v>
      </c>
    </row>
    <row r="19" customFormat="false" ht="15" hidden="false" customHeight="false" outlineLevel="0" collapsed="false">
      <c r="A19" s="3" t="s">
        <v>53</v>
      </c>
      <c r="B19" s="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55</v>
      </c>
    </row>
    <row r="4" customFormat="false" ht="15" hidden="false" customHeight="false" outlineLevel="0" collapsed="false">
      <c r="A4" s="4" t="s">
        <v>56</v>
      </c>
      <c r="B4" s="9" t="n">
        <v>800</v>
      </c>
    </row>
    <row r="5" customFormat="false" ht="15" hidden="false" customHeight="false" outlineLevel="0" collapsed="false">
      <c r="A5" s="4" t="s">
        <v>57</v>
      </c>
      <c r="B5" s="9" t="n">
        <v>700</v>
      </c>
    </row>
    <row r="6" customFormat="false" ht="15" hidden="false" customHeight="false" outlineLevel="0" collapsed="false">
      <c r="A6" s="4" t="s">
        <v>58</v>
      </c>
      <c r="B6" s="9" t="n">
        <v>50</v>
      </c>
    </row>
    <row r="8" customFormat="false" ht="15" hidden="false" customHeight="false" outlineLevel="0" collapsed="false">
      <c r="A8" s="4" t="s">
        <v>59</v>
      </c>
      <c r="B8" s="10" t="n">
        <f aca="false">B5-B6</f>
        <v>650</v>
      </c>
    </row>
    <row r="9" customFormat="false" ht="15" hidden="false" customHeight="false" outlineLevel="0" collapsed="false">
      <c r="A9" s="3" t="s">
        <v>60</v>
      </c>
      <c r="B9" s="11" t="n">
        <f aca="false">MIN(B4,B8)</f>
        <v>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16</v>
      </c>
    </row>
    <row r="2" customFormat="false" ht="15" hidden="false" customHeight="false" outlineLevel="0" collapsed="false">
      <c r="A2" s="0" t="s">
        <v>19</v>
      </c>
    </row>
    <row r="3" customFormat="false" ht="15" hidden="false" customHeight="false" outlineLevel="0" collapsed="false">
      <c r="A3" s="0" t="s">
        <v>22</v>
      </c>
    </row>
    <row r="4" customFormat="false" ht="15" hidden="false" customHeight="false" outlineLevel="0" collapsed="false">
      <c r="A4" s="0" t="s">
        <v>25</v>
      </c>
    </row>
    <row r="5" customFormat="false" ht="15" hidden="false" customHeight="false" outlineLevel="0" collapsed="false">
      <c r="A5" s="0" t="s">
        <v>28</v>
      </c>
    </row>
    <row r="6" customFormat="false" ht="15" hidden="false" customHeight="false" outlineLevel="0" collapsed="false">
      <c r="A6" s="0" t="s">
        <v>31</v>
      </c>
    </row>
    <row r="7" customFormat="false" ht="15" hidden="false" customHeight="false" outlineLevel="0" collapsed="false">
      <c r="A7" s="0" t="s">
        <v>34</v>
      </c>
    </row>
    <row r="8" customFormat="false" ht="15" hidden="false" customHeight="false" outlineLevel="0" collapsed="false">
      <c r="A8" s="0" t="s">
        <v>37</v>
      </c>
    </row>
    <row r="9" customFormat="false" ht="15" hidden="false" customHeight="false" outlineLevel="0" collapsed="false">
      <c r="A9" s="0" t="s">
        <v>40</v>
      </c>
    </row>
    <row r="10" customFormat="false" ht="15" hidden="false" customHeight="false" outlineLevel="0" collapsed="false">
      <c r="A10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3" customFormat="false" ht="15" hidden="false" customHeight="false" outlineLevel="0" collapsed="false">
      <c r="A3" s="4" t="s">
        <v>63</v>
      </c>
    </row>
    <row r="6" customFormat="false" ht="15" hidden="false" customHeight="false" outlineLevel="0" collapsed="false">
      <c r="A6" s="7" t="s">
        <v>64</v>
      </c>
      <c r="B6" s="7" t="s">
        <v>65</v>
      </c>
      <c r="C6" s="7" t="s">
        <v>66</v>
      </c>
    </row>
    <row r="7" customFormat="false" ht="15" hidden="false" customHeight="false" outlineLevel="0" collapsed="false">
      <c r="A7" s="3" t="s">
        <v>67</v>
      </c>
    </row>
    <row r="8" customFormat="false" ht="15" hidden="false" customHeight="false" outlineLevel="0" collapsed="false">
      <c r="A8" s="4" t="s">
        <v>68</v>
      </c>
      <c r="B8" s="12"/>
      <c r="C8" s="3" t="str">
        <f aca="false">IF(B8="","",IF(LOWER(TRIM(B8))=LOWER(Answers!B8),"Correct","Try again"))</f>
        <v/>
      </c>
    </row>
    <row r="9" customFormat="false" ht="15" hidden="false" customHeight="false" outlineLevel="0" collapsed="false">
      <c r="A9" s="4" t="s">
        <v>69</v>
      </c>
      <c r="B9" s="12"/>
      <c r="C9" s="3" t="str">
        <f aca="false">IF(B9="","",IF(LOWER(TRIM(B9))=LOWER(Answers!B9),"Correct","Try again"))</f>
        <v/>
      </c>
    </row>
    <row r="10" customFormat="false" ht="15" hidden="false" customHeight="false" outlineLevel="0" collapsed="false">
      <c r="A10" s="4" t="s">
        <v>70</v>
      </c>
      <c r="B10" s="12"/>
      <c r="C10" s="3" t="str">
        <f aca="false">IF(B10="","",IF(LOWER(TRIM(B10))=LOWER(Answers!B10),"Correct","Try again"))</f>
        <v/>
      </c>
    </row>
    <row r="11" customFormat="false" ht="15" hidden="false" customHeight="false" outlineLevel="0" collapsed="false">
      <c r="A11" s="4" t="s">
        <v>71</v>
      </c>
      <c r="B11" s="12"/>
      <c r="C11" s="3" t="str">
        <f aca="false">IF(B11="","",IF(LOWER(TRIM(B11))=LOWER(Answers!B11),"Correct","Try again"))</f>
        <v/>
      </c>
    </row>
    <row r="12" customFormat="false" ht="15" hidden="false" customHeight="false" outlineLevel="0" collapsed="false">
      <c r="A12" s="4" t="s">
        <v>72</v>
      </c>
      <c r="B12" s="12"/>
      <c r="C12" s="3" t="str">
        <f aca="false">IF(B12="","",IF(LOWER(TRIM(B12))=LOWER(Answers!B12),"Correct","Try again"))</f>
        <v/>
      </c>
    </row>
    <row r="13" customFormat="false" ht="15" hidden="false" customHeight="false" outlineLevel="0" collapsed="false">
      <c r="A13" s="4" t="s">
        <v>73</v>
      </c>
      <c r="B13" s="12"/>
      <c r="C13" s="3" t="str">
        <f aca="false">IF(B13="","",IF(LOWER(TRIM(B13))=LOWER(Answers!B13),"Correct","Try again"))</f>
        <v/>
      </c>
    </row>
    <row r="14" customFormat="false" ht="15" hidden="false" customHeight="false" outlineLevel="0" collapsed="false">
      <c r="A14" s="4" t="s">
        <v>74</v>
      </c>
      <c r="B14" s="12"/>
      <c r="C14" s="3" t="str">
        <f aca="false">IF(B14="","",IF(LOWER(TRIM(B14))=LOWER(Answers!B14),"Correct","Try again"))</f>
        <v/>
      </c>
    </row>
    <row r="15" customFormat="false" ht="15" hidden="false" customHeight="false" outlineLevel="0" collapsed="false">
      <c r="A15" s="4" t="s">
        <v>75</v>
      </c>
      <c r="B15" s="12"/>
      <c r="C15" s="3" t="str">
        <f aca="false">IF(B15="","",IF(LOWER(TRIM(B15))=LOWER(Answers!B15),"Correct","Try again"))</f>
        <v/>
      </c>
    </row>
    <row r="16" customFormat="false" ht="15" hidden="false" customHeight="false" outlineLevel="0" collapsed="false">
      <c r="A16" s="4" t="s">
        <v>76</v>
      </c>
      <c r="B16" s="12"/>
      <c r="C16" s="3" t="str">
        <f aca="false">IF(B16="","",IF(LOWER(TRIM(B16))=LOWER(Answers!B16),"Correct","Try again"))</f>
        <v/>
      </c>
    </row>
    <row r="17" customFormat="false" ht="15" hidden="false" customHeight="false" outlineLevel="0" collapsed="false">
      <c r="A17" s="4" t="s">
        <v>77</v>
      </c>
      <c r="B17" s="12"/>
      <c r="C17" s="3" t="str">
        <f aca="false">IF(B17="","",IF(LOWER(TRIM(B17))=LOWER(Answers!B17),"Correct","Try again"))</f>
        <v/>
      </c>
    </row>
    <row r="18" customFormat="false" ht="15" hidden="false" customHeight="false" outlineLevel="0" collapsed="false">
      <c r="A18" s="4" t="s">
        <v>78</v>
      </c>
      <c r="B18" s="12"/>
      <c r="C18" s="3" t="str">
        <f aca="false">IF(B18="","",IF(LOWER(TRIM(B18))=LOWER(Answers!B18),"Correct","Try again"))</f>
        <v/>
      </c>
    </row>
    <row r="19" customFormat="false" ht="15" hidden="false" customHeight="false" outlineLevel="0" collapsed="false">
      <c r="A19" s="4" t="s">
        <v>79</v>
      </c>
      <c r="B19" s="12"/>
      <c r="C19" s="3" t="str">
        <f aca="false">IF(B19="","",IF(LOWER(TRIM(B19))=LOWER(Answers!B19),"Correct","Try again"))</f>
        <v/>
      </c>
    </row>
    <row r="20" customFormat="false" ht="15" hidden="false" customHeight="false" outlineLevel="0" collapsed="false">
      <c r="A20" s="4" t="s">
        <v>80</v>
      </c>
      <c r="B20" s="12"/>
      <c r="C20" s="3" t="str">
        <f aca="false">IF(B20="","",IF(LOWER(TRIM(B20))=LOWER(Answers!B20),"Correct","Try again"))</f>
        <v/>
      </c>
    </row>
    <row r="21" customFormat="false" ht="15" hidden="false" customHeight="false" outlineLevel="0" collapsed="false">
      <c r="A21" s="4" t="s">
        <v>81</v>
      </c>
      <c r="B21" s="12"/>
      <c r="C21" s="3" t="str">
        <f aca="false">IF(B21="","",IF(LOWER(TRIM(B21))=LOWER(Answers!B21),"Correct","Try again"))</f>
        <v/>
      </c>
    </row>
    <row r="22" customFormat="false" ht="15" hidden="false" customHeight="false" outlineLevel="0" collapsed="false">
      <c r="A22" s="4" t="s">
        <v>82</v>
      </c>
      <c r="B22" s="12"/>
      <c r="C22" s="3" t="str">
        <f aca="false">IF(B22="","",IF(LOWER(TRIM(B22))=LOWER(Answers!B22),"Correct","Try again"))</f>
        <v/>
      </c>
    </row>
    <row r="24" customFormat="false" ht="15" hidden="false" customHeight="false" outlineLevel="0" collapsed="false">
      <c r="A24" s="3" t="s">
        <v>83</v>
      </c>
      <c r="B24" s="3" t="str">
        <f aca="false">COUNTIF(C7:C23,"Correct")&amp;" / "&amp;COUNTA(B7:B23)&amp;" answered"</f>
        <v>0 / 0 answered</v>
      </c>
    </row>
  </sheetData>
  <conditionalFormatting sqref="C7:C23">
    <cfRule type="expression" priority="2" aboveAverage="0" equalAverage="0" bottom="0" percent="0" rank="0" text="" dxfId="0">
      <formula>LEFT(C7,7)="Correct"</formula>
    </cfRule>
    <cfRule type="expression" priority="3" aboveAverage="0" equalAverage="0" bottom="0" percent="0" rank="0" text="" dxfId="1">
      <formula>LEFT(C7,3)="Try"</formula>
    </cfRule>
  </conditionalFormatting>
  <dataValidations count="15">
    <dataValidation allowBlank="true" errorStyle="stop" operator="between" showDropDown="false" showErrorMessage="false" showInputMessage="false" sqref="B8" type="list">
      <formula1>Lists!$A$1:$A$10</formula1>
      <formula2>0</formula2>
    </dataValidation>
    <dataValidation allowBlank="true" errorStyle="stop" operator="between" showDropDown="false" showErrorMessage="false" showInputMessage="false" sqref="B9" type="list">
      <formula1>Lists!$A$1:$A$10</formula1>
      <formula2>0</formula2>
    </dataValidation>
    <dataValidation allowBlank="true" errorStyle="stop" operator="between" showDropDown="false" showErrorMessage="false" showInputMessage="false" sqref="B10" type="list">
      <formula1>Lists!$A$1:$A$10</formula1>
      <formula2>0</formula2>
    </dataValidation>
    <dataValidation allowBlank="true" errorStyle="stop" operator="between" showDropDown="false" showErrorMessage="false" showInputMessage="false" sqref="B11" type="list">
      <formula1>Lists!$A$1:$A$10</formula1>
      <formula2>0</formula2>
    </dataValidation>
    <dataValidation allowBlank="true" errorStyle="stop" operator="between" showDropDown="false" showErrorMessage="false" showInputMessage="false" sqref="B12" type="list">
      <formula1>Lists!$A$1:$A$10</formula1>
      <formula2>0</formula2>
    </dataValidation>
    <dataValidation allowBlank="true" errorStyle="stop" operator="between" showDropDown="false" showErrorMessage="false" showInputMessage="false" sqref="B13" type="list">
      <formula1>Lists!$A$1:$A$10</formula1>
      <formula2>0</formula2>
    </dataValidation>
    <dataValidation allowBlank="true" errorStyle="stop" operator="between" showDropDown="false" showErrorMessage="false" showInputMessage="false" sqref="B14" type="list">
      <formula1>Lists!$A$1:$A$10</formula1>
      <formula2>0</formula2>
    </dataValidation>
    <dataValidation allowBlank="true" errorStyle="stop" operator="between" showDropDown="false" showErrorMessage="false" showInputMessage="false" sqref="B15" type="list">
      <formula1>Lists!$A$1:$A$10</formula1>
      <formula2>0</formula2>
    </dataValidation>
    <dataValidation allowBlank="true" errorStyle="stop" operator="between" showDropDown="false" showErrorMessage="false" showInputMessage="false" sqref="B16" type="list">
      <formula1>Lists!$A$1:$A$10</formula1>
      <formula2>0</formula2>
    </dataValidation>
    <dataValidation allowBlank="true" errorStyle="stop" operator="between" showDropDown="false" showErrorMessage="false" showInputMessage="false" sqref="B17" type="list">
      <formula1>Lists!$A$1:$A$10</formula1>
      <formula2>0</formula2>
    </dataValidation>
    <dataValidation allowBlank="true" errorStyle="stop" operator="between" showDropDown="false" showErrorMessage="false" showInputMessage="false" sqref="B18" type="list">
      <formula1>Lists!$A$1:$A$10</formula1>
      <formula2>0</formula2>
    </dataValidation>
    <dataValidation allowBlank="true" errorStyle="stop" operator="between" showDropDown="false" showErrorMessage="false" showInputMessage="false" sqref="B19" type="list">
      <formula1>Lists!$A$1:$A$10</formula1>
      <formula2>0</formula2>
    </dataValidation>
    <dataValidation allowBlank="true" errorStyle="stop" operator="between" showDropDown="false" showErrorMessage="false" showInputMessage="false" sqref="B20" type="list">
      <formula1>Lists!$A$1:$A$10</formula1>
      <formula2>0</formula2>
    </dataValidation>
    <dataValidation allowBlank="true" errorStyle="stop" operator="between" showDropDown="false" showErrorMessage="false" showInputMessage="false" sqref="B21" type="list">
      <formula1>Lists!$A$1:$A$10</formula1>
      <formula2>0</formula2>
    </dataValidation>
    <dataValidation allowBlank="true" errorStyle="stop" operator="between" showDropDown="false" showErrorMessage="false" showInputMessage="false" sqref="B22" type="list">
      <formula1>Lists!$A$1:$A$10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6" customFormat="false" ht="15" hidden="false" customHeight="false" outlineLevel="0" collapsed="false">
      <c r="A6" s="7" t="s">
        <v>64</v>
      </c>
      <c r="B6" s="7" t="s">
        <v>86</v>
      </c>
    </row>
    <row r="7" customFormat="false" ht="15" hidden="false" customHeight="false" outlineLevel="0" collapsed="false">
      <c r="A7" s="3" t="s">
        <v>67</v>
      </c>
    </row>
    <row r="8" customFormat="false" ht="15" hidden="false" customHeight="false" outlineLevel="0" collapsed="false">
      <c r="A8" s="4" t="s">
        <v>68</v>
      </c>
      <c r="B8" s="13" t="str">
        <f aca="false">"Business entity"</f>
        <v>Business entity</v>
      </c>
    </row>
    <row r="9" customFormat="false" ht="15" hidden="false" customHeight="false" outlineLevel="0" collapsed="false">
      <c r="A9" s="4" t="s">
        <v>69</v>
      </c>
      <c r="B9" s="13" t="str">
        <f aca="false">"Historical cost"</f>
        <v>Historical cost</v>
      </c>
    </row>
    <row r="10" customFormat="false" ht="15" hidden="false" customHeight="false" outlineLevel="0" collapsed="false">
      <c r="A10" s="4" t="s">
        <v>70</v>
      </c>
      <c r="B10" s="13" t="str">
        <f aca="false">"Consistency"</f>
        <v>Consistency</v>
      </c>
    </row>
    <row r="11" customFormat="false" ht="15" hidden="false" customHeight="false" outlineLevel="0" collapsed="false">
      <c r="A11" s="4" t="s">
        <v>71</v>
      </c>
      <c r="B11" s="13" t="str">
        <f aca="false">"Materiality"</f>
        <v>Materiality</v>
      </c>
    </row>
    <row r="12" customFormat="false" ht="15" hidden="false" customHeight="false" outlineLevel="0" collapsed="false">
      <c r="A12" s="4" t="s">
        <v>72</v>
      </c>
      <c r="B12" s="13" t="str">
        <f aca="false">"Realisation"</f>
        <v>Realisation</v>
      </c>
    </row>
    <row r="13" customFormat="false" ht="15" hidden="false" customHeight="false" outlineLevel="0" collapsed="false">
      <c r="A13" s="4" t="s">
        <v>73</v>
      </c>
      <c r="B13" s="13" t="str">
        <f aca="false">"Money measurement"</f>
        <v>Money measurement</v>
      </c>
    </row>
    <row r="14" customFormat="false" ht="15" hidden="false" customHeight="false" outlineLevel="0" collapsed="false">
      <c r="A14" s="4" t="s">
        <v>74</v>
      </c>
      <c r="B14" s="13" t="str">
        <f aca="false">"Duality"</f>
        <v>Duality</v>
      </c>
    </row>
    <row r="15" customFormat="false" ht="15" hidden="false" customHeight="false" outlineLevel="0" collapsed="false">
      <c r="A15" s="4" t="s">
        <v>75</v>
      </c>
      <c r="B15" s="13" t="str">
        <f aca="false">"Going concern"</f>
        <v>Going concern</v>
      </c>
    </row>
    <row r="16" customFormat="false" ht="15" hidden="false" customHeight="false" outlineLevel="0" collapsed="false">
      <c r="A16" s="4" t="s">
        <v>76</v>
      </c>
      <c r="B16" s="13" t="str">
        <f aca="false">"Accruals"</f>
        <v>Accruals</v>
      </c>
    </row>
    <row r="17" customFormat="false" ht="15" hidden="false" customHeight="false" outlineLevel="0" collapsed="false">
      <c r="A17" s="4" t="s">
        <v>77</v>
      </c>
      <c r="B17" s="13" t="str">
        <f aca="false">"Prudence"</f>
        <v>Prudence</v>
      </c>
    </row>
    <row r="18" customFormat="false" ht="15" hidden="false" customHeight="false" outlineLevel="0" collapsed="false">
      <c r="A18" s="4" t="s">
        <v>78</v>
      </c>
      <c r="B18" s="13" t="str">
        <f aca="false">"Prudence"</f>
        <v>Prudence</v>
      </c>
    </row>
    <row r="19" customFormat="false" ht="15" hidden="false" customHeight="false" outlineLevel="0" collapsed="false">
      <c r="A19" s="4" t="s">
        <v>79</v>
      </c>
      <c r="B19" s="13" t="str">
        <f aca="false">"Business entity"</f>
        <v>Business entity</v>
      </c>
    </row>
    <row r="20" customFormat="false" ht="15" hidden="false" customHeight="false" outlineLevel="0" collapsed="false">
      <c r="A20" s="4" t="s">
        <v>80</v>
      </c>
      <c r="B20" s="13" t="str">
        <f aca="false">"Realisation"</f>
        <v>Realisation</v>
      </c>
    </row>
    <row r="21" customFormat="false" ht="15" hidden="false" customHeight="false" outlineLevel="0" collapsed="false">
      <c r="A21" s="4" t="s">
        <v>81</v>
      </c>
      <c r="B21" s="13" t="str">
        <f aca="false">"Accruals"</f>
        <v>Accruals</v>
      </c>
    </row>
    <row r="22" customFormat="false" ht="15" hidden="false" customHeight="false" outlineLevel="0" collapsed="false">
      <c r="A22" s="4" t="s">
        <v>82</v>
      </c>
      <c r="B22" s="13" t="str">
        <f aca="false">"Duality"</f>
        <v>Duality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2026-09-30T08:47:40Z</dcterms:created>
  <dc:creator>openpyxl</dc:creator>
  <dc:description/>
  <dc:language>en-US</dc:language>
  <cp:lastModifiedBy/>
  <dcterms:modified xsi:type="dcterms:W3CDTF">2026-09-30T08:47:40Z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