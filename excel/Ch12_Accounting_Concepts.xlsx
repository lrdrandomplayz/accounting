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cepts" sheetId="2" state="visible" r:id="rId4"/>
    <sheet name="Q12.15" sheetId="3" state="visible" r:id="rId5"/>
    <sheet name="Q12.16" sheetId="4" state="visible" r:id="rId6"/>
    <sheet name="Q12.17" sheetId="5" state="visible" r:id="rId7"/>
    <sheet name="Q12.18" sheetId="6" state="visible" r:id="rId8"/>
    <sheet name="Q12.19" sheetId="7" state="visible" r:id="rId9"/>
    <sheet name="Quiz" sheetId="8" state="visible" r:id="rId10"/>
    <sheet name="Q12.15 Ans" sheetId="9" state="visible" r:id="rId11"/>
    <sheet name="Q12.16 Ans" sheetId="10" state="visible" r:id="rId12"/>
    <sheet name="Q12.17 Ans" sheetId="11" state="visible" r:id="rId13"/>
    <sheet name="Q12.18 Ans" sheetId="12" state="visible" r:id="rId14"/>
    <sheet name="Q12.19 Ans" sheetId="13" state="visible" r:id="rId15"/>
    <sheet name="Quiz Ans" sheetId="14" state="visible" r:id="rId16"/>
  </sheets>
  <definedNames>
    <definedName function="false" hidden="false" localSheetId="1" name="_xlnm.Print_Area" vbProcedure="false">Concepts!$A$1:$AG$26</definedName>
    <definedName function="false" hidden="false" localSheetId="2" name="_xlnm.Print_Area" vbProcedure="false">'Q12.15'!$A$1:$AG$16</definedName>
    <definedName function="false" hidden="false" localSheetId="8" name="_xlnm.Print_Area" vbProcedure="false">'Q12.15 Ans'!$A$1:$AG$16</definedName>
    <definedName function="false" hidden="false" localSheetId="3" name="_xlnm.Print_Area" vbProcedure="false">'Q12.16'!$A$1:$AG$26</definedName>
    <definedName function="false" hidden="false" localSheetId="9" name="_xlnm.Print_Area" vbProcedure="false">'Q12.16 Ans'!$A$1:$AG$26</definedName>
    <definedName function="false" hidden="false" localSheetId="4" name="_xlnm.Print_Area" vbProcedure="false">'Q12.17'!$A$1:$AG$27</definedName>
    <definedName function="false" hidden="false" localSheetId="10" name="_xlnm.Print_Area" vbProcedure="false">'Q12.17 Ans'!$A$1:$AG$27</definedName>
    <definedName function="false" hidden="false" localSheetId="5" name="_xlnm.Print_Area" vbProcedure="false">'Q12.18'!$A$1:$AG$31</definedName>
    <definedName function="false" hidden="false" localSheetId="11" name="_xlnm.Print_Area" vbProcedure="false">'Q12.18 Ans'!$A$1:$AG$31</definedName>
    <definedName function="false" hidden="false" localSheetId="6" name="_xlnm.Print_Area" vbProcedure="false">'Q12.19'!$A$1:$AG$40</definedName>
    <definedName function="false" hidden="false" localSheetId="12" name="_xlnm.Print_Area" vbProcedure="false">'Q12.19 Ans'!$A$1:$AG$40</definedName>
    <definedName function="false" hidden="false" localSheetId="7" name="_xlnm.Print_Area" vbProcedure="false">Quiz!$A$1:$AG$21</definedName>
    <definedName function="false" hidden="false" localSheetId="13" name="_xlnm.Print_Area" vbProcedure="false">'Quiz Ans'!$A$1:$AG$21</definedName>
    <definedName function="false" hidden="false" localSheetId="0" name="_xlnm.Print_Area" vbProcedure="false">'Read Me'!$A$1:$AG$33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<sst xmlns="http://schemas.openxmlformats.org/spreadsheetml/2006/main" count="315" uniqueCount="182">
  <si>
    <t xml:space="preserve">Chapter 12: Fundamental Accounting Principles and Concepts</t>
  </si>
  <si>
    <t xml:space="preserve">Senior 1 Accounting. Free to use and share. Not for sale.</t>
  </si>
  <si>
    <t xml:space="preserve">How to use this workbook</t>
  </si>
  <si>
    <t xml:space="preserve">1. Read the notes first. Then open the orange Worked tabs: change any blue figure and watch the answers update.</t>
  </si>
  <si>
    <t xml:space="preserve">2. Try the blue question tabs in order, Level 1 to Level 5. Type your answers in the yellow cells.</t>
  </si>
  <si>
    <t xml:space="preserve">3. The small column next to each yellow cell shows ✓ (correct) or ✗ (try again). Your score is at the top of each question.</t>
  </si>
  <si>
    <t xml:space="preserve">4. Particulars and dates are given so the sheet can mark your figures. Try writing each account or statement on paper first.</t>
  </si>
  <si>
    <t xml:space="preserve">5. Written answers cannot be marked by Excel. Compare them with the model answers on the green tabs.</t>
  </si>
  <si>
    <t xml:space="preserve">6. The green Ans tabs show the full solutions in exam format.</t>
  </si>
  <si>
    <t xml:space="preserve">Colour key</t>
  </si>
  <si>
    <t xml:space="preserve">Blue figure: data from the question. Teachers may change it to make a new version.</t>
  </si>
  <si>
    <t xml:space="preserve">Black figure: a formula. Do not type over it.</t>
  </si>
  <si>
    <t xml:space="preserve">Yellow cell: type your answer here (numbers only; enter 0 for nil).</t>
  </si>
  <si>
    <t xml:space="preserve">Green cell: the correct answer (Ans tabs).</t>
  </si>
  <si>
    <t xml:space="preserve">Formats used</t>
  </si>
  <si>
    <t xml:space="preserve">Journal: Date | Particulars | Debit (RM) | Credit (RM).</t>
  </si>
  <si>
    <t xml:space="preserve">Ledger account: Dr side and Cr side, each with Date | Particulars | Folio | Amount (RM). Folio: GJ = general journal, CB = cash book.</t>
  </si>
  <si>
    <t xml:space="preserve">Statement of Profit or Loss: marker (Add / Less) | Particulars | RM | RM | RM.</t>
  </si>
  <si>
    <t xml:space="preserve">Statement of Financial Position: the same, with Cost | Accumulated Depreciation | Carrying Amount under the RM headings.</t>
  </si>
  <si>
    <t xml:space="preserve">Sheets in this workbook</t>
  </si>
  <si>
    <t xml:space="preserve">Sheet</t>
  </si>
  <si>
    <t xml:space="preserve">What it is</t>
  </si>
  <si>
    <t xml:space="preserve">Concepts</t>
  </si>
  <si>
    <t xml:space="preserve">Worked example (orange tab)</t>
  </si>
  <si>
    <t xml:space="preserve">Q12.15</t>
  </si>
  <si>
    <t xml:space="preserve">Structured question, Level 1: Easy (blue tab). Answers: Q12.15 Ans (green tab).</t>
  </si>
  <si>
    <t xml:space="preserve">Q12.16</t>
  </si>
  <si>
    <t xml:space="preserve">Structured question, Level 2: Easy to medium (blue tab). Answers: Q12.16 Ans (green tab).</t>
  </si>
  <si>
    <t xml:space="preserve">Q12.17</t>
  </si>
  <si>
    <t xml:space="preserve">Structured question, Level 3: Medium (blue tab). Answers: Q12.17 Ans (green tab).</t>
  </si>
  <si>
    <t xml:space="preserve">Q12.18</t>
  </si>
  <si>
    <t xml:space="preserve">Structured question, Level 4: Hard (blue tab). Answers: Q12.18 Ans (green tab).</t>
  </si>
  <si>
    <t xml:space="preserve">Q12.19</t>
  </si>
  <si>
    <t xml:space="preserve">Structured question, Level 5: Challenge (blue tab). Answers: Q12.19 Ans (green tab).</t>
  </si>
  <si>
    <t xml:space="preserve">Quiz</t>
  </si>
  <si>
    <t xml:space="preserve">Self-marking quiz (blue tab). Answers: Quiz Ans (green tab).</t>
  </si>
  <si>
    <t xml:space="preserve">Worked example. Change any blue figure and every answer below updates.</t>
  </si>
  <si>
    <t xml:space="preserve">Black figures are formulas. Do not type over them.</t>
  </si>
  <si>
    <t xml:space="preserve">The ten accounting concepts and the inventory valuation rule.</t>
  </si>
  <si>
    <t xml:space="preserve">Concept</t>
  </si>
  <si>
    <t xml:space="preserve">Meaning</t>
  </si>
  <si>
    <t xml:space="preserve">Example</t>
  </si>
  <si>
    <t xml:space="preserve">Business entity</t>
  </si>
  <si>
    <t xml:space="preserve">The business is separate from its owner.</t>
  </si>
  <si>
    <t xml:space="preserve">Owner's private house is not recorded; goods taken are drawings.</t>
  </si>
  <si>
    <t xml:space="preserve">Duality</t>
  </si>
  <si>
    <t xml:space="preserve">Every transaction has two equal effects: a debit and a credit.</t>
  </si>
  <si>
    <t xml:space="preserve">Buy equipment by cheque: equipment up, bank down.</t>
  </si>
  <si>
    <t xml:space="preserve">Money measurement</t>
  </si>
  <si>
    <t xml:space="preserve">Only record items with a money value.</t>
  </si>
  <si>
    <t xml:space="preserve">Staff skill and customer loyalty are not recorded.</t>
  </si>
  <si>
    <t xml:space="preserve">Historical cost</t>
  </si>
  <si>
    <t xml:space="preserve">Record assets at their original cost.</t>
  </si>
  <si>
    <t xml:space="preserve">Land bought for RM50,000 stays at RM50,000.</t>
  </si>
  <si>
    <t xml:space="preserve">Going concern</t>
  </si>
  <si>
    <t xml:space="preserve">Assume the business will continue trading.</t>
  </si>
  <si>
    <t xml:space="preserve">Assets at cost less depreciation, not closing-down value.</t>
  </si>
  <si>
    <t xml:space="preserve">Realisation</t>
  </si>
  <si>
    <t xml:space="preserve">Record revenue when it is earned (goods pass to the customer).</t>
  </si>
  <si>
    <t xml:space="preserve">A credit sale on 28 December is this year's revenue.</t>
  </si>
  <si>
    <t xml:space="preserve">Accruals</t>
  </si>
  <si>
    <t xml:space="preserve">Match income and expenses to the period they belong to.</t>
  </si>
  <si>
    <t xml:space="preserve">Accrued electricity; depreciation.</t>
  </si>
  <si>
    <t xml:space="preserve">Consistency</t>
  </si>
  <si>
    <t xml:space="preserve">Use the same methods every year.</t>
  </si>
  <si>
    <t xml:space="preserve">Keep the same depreciation method.</t>
  </si>
  <si>
    <t xml:space="preserve">Prudence</t>
  </si>
  <si>
    <t xml:space="preserve">Do not overstate assets or profit.</t>
  </si>
  <si>
    <t xml:space="preserve">Allowance for irrecoverable debts; inventory at lower of cost and NRV.</t>
  </si>
  <si>
    <t xml:space="preserve">Materiality</t>
  </si>
  <si>
    <t xml:space="preserve">Small items can be treated simply.</t>
  </si>
  <si>
    <t xml:space="preserve">A RM5 stapler is an expense, not a non-current asset.</t>
  </si>
  <si>
    <t xml:space="preserve">Inventory: lower of cost and net realisable value (prudence)</t>
  </si>
  <si>
    <t xml:space="preserve">Inputs</t>
  </si>
  <si>
    <t xml:space="preserve">Figure</t>
  </si>
  <si>
    <t xml:space="preserve">Cost of goods (RM)</t>
  </si>
  <si>
    <t xml:space="preserve">Expected selling price (RM)</t>
  </si>
  <si>
    <t xml:space="preserve">Costs to sell or repair (RM)</t>
  </si>
  <si>
    <t xml:space="preserve">Net realisable value (RM)</t>
  </si>
  <si>
    <t xml:space="preserve">Value for inventory: lower of cost and NRV (RM)</t>
  </si>
  <si>
    <t xml:space="preserve">Question 12.15 (Level 1: Easy)</t>
  </si>
  <si>
    <t xml:space="preserve">Type your answers in the yellow cells. Numbers only: no RM, no commas. Enter 0 where the answer is nil. ✓ = correct, ✗ = try again.</t>
  </si>
  <si>
    <t xml:space="preserve">Your score:</t>
  </si>
  <si>
    <t xml:space="preserve">Name the concept described by each statement. (1 mark each)</t>
  </si>
  <si>
    <t xml:space="preserve">a) to e) Choose the concept for each statement. (5)</t>
  </si>
  <si>
    <t xml:space="preserve">a) The business is treated as separate from its owner.</t>
  </si>
  <si>
    <t xml:space="preserve">b) Assets are recorded at the price paid for them.</t>
  </si>
  <si>
    <t xml:space="preserve">c) Every transaction affects two accounts.</t>
  </si>
  <si>
    <t xml:space="preserve">d) Only items with a money value are recorded.</t>
  </si>
  <si>
    <t xml:space="preserve">e) The same methods are used from one year to the next.</t>
  </si>
  <si>
    <t xml:space="preserve">f) Name one quality that makes accounting information useful. (1)</t>
  </si>
  <si>
    <t xml:space="preserve">One quality of useful information</t>
  </si>
  <si>
    <t xml:space="preserve">Question 12.16 (Level 2: Easy to medium)</t>
  </si>
  <si>
    <t xml:space="preserve">For each situation, name the concept which applies and explain how it applies. (2 marks each)</t>
  </si>
  <si>
    <t xml:space="preserve">a) The owner paid for a family holiday with a business cheque. It was recorded as drawings.</t>
  </si>
  <si>
    <t xml:space="preserve">b) Goods were sold on credit on 29 December 2025 and paid for on 5 January 2026. The sale was recorded in 2025.</t>
  </si>
  <si>
    <t xml:space="preserve">c) A waste bin costing RM8 was recorded as an expense, although it will last for years.</t>
  </si>
  <si>
    <t xml:space="preserve">d) Premises bought for RM80,000 are now worth RM120,000. They are still shown at RM80,000.</t>
  </si>
  <si>
    <t xml:space="preserve">Question 12.17 (Level 3: Medium)</t>
  </si>
  <si>
    <t xml:space="preserve">At the year end a trader has four items of inventory.</t>
  </si>
  <si>
    <t xml:space="preserve">Item</t>
  </si>
  <si>
    <t xml:space="preserve">Cost (RM)</t>
  </si>
  <si>
    <t xml:space="preserve">A</t>
  </si>
  <si>
    <t xml:space="preserve">B</t>
  </si>
  <si>
    <t xml:space="preserve">C</t>
  </si>
  <si>
    <t xml:space="preserve">D (damaged)</t>
  </si>
  <si>
    <t xml:space="preserve">a) Calculate the value of each item and the total value of closing inventory. (4)</t>
  </si>
  <si>
    <t xml:space="preserve">Value used for inventory (RM)</t>
  </si>
  <si>
    <t xml:space="preserve">Total closing inventory</t>
  </si>
  <si>
    <t xml:space="preserve">b) The trader had valued all inventory at cost. State the effect of your correct valuation on gross profit. (2)</t>
  </si>
  <si>
    <t xml:space="preserve">Gross profit falls by (RM)</t>
  </si>
  <si>
    <t xml:space="preserve">c) Name the concept used and explain why it applies. (2)</t>
  </si>
  <si>
    <t xml:space="preserve">Question 12.18 (Level 4: Hard)</t>
  </si>
  <si>
    <t xml:space="preserve">Mira made the decisions below. For each one, name the concept she has not followed, explain why, and state the correct treatment. (3 marks each)</t>
  </si>
  <si>
    <t xml:space="preserve">a) She changed her depreciation method from straight line to reducing balance this year. She plans to change back next year to make her profit look steady.</t>
  </si>
  <si>
    <t xml:space="preserve">Concept not followed</t>
  </si>
  <si>
    <t xml:space="preserve">b) She recorded the repayment of her personal car loan as a business expense.</t>
  </si>
  <si>
    <t xml:space="preserve">c) She included in 2025 revenue an order received on 28 December 2025 for goods to be delivered in February 2026.</t>
  </si>
  <si>
    <t xml:space="preserve">d) She did not record December electricity of RM400 because the bill had not been paid.</t>
  </si>
  <si>
    <t xml:space="preserve">e) She increased the value of premises from cost of RM100,000 to a market value of RM150,000 and added the RM50,000 to profit.</t>
  </si>
  <si>
    <t xml:space="preserve">Question 12.19 (Level 5: Challenge)</t>
  </si>
  <si>
    <t xml:space="preserve">A business is thinking of closing down. The following information is available.</t>
  </si>
  <si>
    <t xml:space="preserve">Value in the books (RM)</t>
  </si>
  <si>
    <t xml:space="preserve">Value if the business closes (RM)</t>
  </si>
  <si>
    <t xml:space="preserve">Premises (carrying amount)</t>
  </si>
  <si>
    <t xml:space="preserve">Equipment (carrying amount)</t>
  </si>
  <si>
    <t xml:space="preserve">Inventory (at cost)</t>
  </si>
  <si>
    <t xml:space="preserve">Trade receivables</t>
  </si>
  <si>
    <t xml:space="preserve">Allowance for irrecoverable debts</t>
  </si>
  <si>
    <t xml:space="preserve">-</t>
  </si>
  <si>
    <t xml:space="preserve">Bank</t>
  </si>
  <si>
    <t xml:space="preserve">Trade payables</t>
  </si>
  <si>
    <t xml:space="preserve">Loan</t>
  </si>
  <si>
    <t xml:space="preserve">If the business closes, RM10,500 is the amount of trade receivables expected to be collected.</t>
  </si>
  <si>
    <t xml:space="preserve">a) Calculate net assets on the going concern basis (book values). (3)</t>
  </si>
  <si>
    <t xml:space="preserve">Total assets, going concern basis (RM)</t>
  </si>
  <si>
    <t xml:space="preserve">Net assets, going concern basis (RM)</t>
  </si>
  <si>
    <t xml:space="preserve">b) Calculate net assets if the business closes. (3)</t>
  </si>
  <si>
    <t xml:space="preserve">Total assets if the business closes (RM)</t>
  </si>
  <si>
    <t xml:space="preserve">Net assets if the business closes (RM)</t>
  </si>
  <si>
    <t xml:space="preserve">c) Explain why the two figures are different. Name the concept involved. (3)</t>
  </si>
  <si>
    <t xml:space="preserve">d) While the business continues trading, premises must stay at RM80,000 even though they are worth RM95,000. Name two concepts that support this. (2)</t>
  </si>
  <si>
    <t xml:space="preserve">First concept</t>
  </si>
  <si>
    <t xml:space="preserve">Second concept</t>
  </si>
  <si>
    <t xml:space="preserve">e) Name two users of the financial statements who would be interested in these figures, and give a reason for each. (2)</t>
  </si>
  <si>
    <t xml:space="preserve">Quiz: which concept applies?</t>
  </si>
  <si>
    <t xml:space="preserve">Section A of the Chapter 12 model questions, plus five extra situations. Pick the concept for each.</t>
  </si>
  <si>
    <t xml:space="preserve">12.1 The owner's private car is not in the business accounts.</t>
  </si>
  <si>
    <t xml:space="preserve">12.2 Land is recorded at the price paid, not its current value.</t>
  </si>
  <si>
    <t xml:space="preserve">12.3 The same depreciation method is used every year.</t>
  </si>
  <si>
    <t xml:space="preserve">12.4 A RM5 calculator is recorded as an expense.</t>
  </si>
  <si>
    <t xml:space="preserve">12.5 Revenue is recorded when goods are delivered.</t>
  </si>
  <si>
    <t xml:space="preserve">12.6 Staff skill is not recorded in the accounts.</t>
  </si>
  <si>
    <t xml:space="preserve">12.7 Every transaction has a debit and a credit.</t>
  </si>
  <si>
    <t xml:space="preserve">12.8 Assets are shown at cost less depreciation, not closing-down prices.</t>
  </si>
  <si>
    <t xml:space="preserve">12.9 December electricity paid in January is December's expense.</t>
  </si>
  <si>
    <t xml:space="preserve">12.10 An allowance for irrecoverable debts is created.</t>
  </si>
  <si>
    <t xml:space="preserve">Extra: Inventory is valued at the lower of cost and net realisable value.</t>
  </si>
  <si>
    <t xml:space="preserve">Extra: Goods taken by the owner are recorded as drawings.</t>
  </si>
  <si>
    <t xml:space="preserve">Extra: A credit sale on 30 December, paid on 10 January, is this year's revenue.</t>
  </si>
  <si>
    <t xml:space="preserve">Extra: Insurance prepaid is deducted from this year's expense.</t>
  </si>
  <si>
    <t xml:space="preserve">Extra: Buying equipment by cheque increases equipment and decreases bank.</t>
  </si>
  <si>
    <t xml:space="preserve">Question 12.15 (Level 1: Easy): Answers</t>
  </si>
  <si>
    <t xml:space="preserve">Answer sheet. Green cells hold the correct answers. Each figure is a formula linked to the question sheet, so the answers follow any change to the blue figures.</t>
  </si>
  <si>
    <t xml:space="preserve">Written answers are model answers: other wording that makes the same points also earns the marks.</t>
  </si>
  <si>
    <t xml:space="preserve">Question 12.16 (Level 2: Easy to medium): Answers</t>
  </si>
  <si>
    <t xml:space="preserve">The holiday is a private expense of the owner. The business is separate from the owner, so the payment is drawings, not a business expense.</t>
  </si>
  <si>
    <t xml:space="preserve">Revenue is recorded when the goods pass to the customer (29 December 2025), not when the cash is received.</t>
  </si>
  <si>
    <t xml:space="preserve">RM8 is too small to affect any user's decision. Treating it as a non-current asset and depreciating it is not worth the effort.</t>
  </si>
  <si>
    <t xml:space="preserve">Assets are recorded at the price paid. Cost is objective and backed by documents; the RM120,000 is only an estimate.</t>
  </si>
  <si>
    <t xml:space="preserve">Question 12.17 (Level 3: Medium): Answers</t>
  </si>
  <si>
    <t xml:space="preserve">Prudence: inventory is valued at the lower of cost and net realisable value. The expected losses on items B and D are recorded now, so assets and profit are not overstated.</t>
  </si>
  <si>
    <t xml:space="preserve">Question 12.18 (Level 4: Hard): Answers</t>
  </si>
  <si>
    <t xml:space="preserve">Why: switching methods to smooth profit makes the years impossible to compare and misleads users.
Correct treatment: choose the method that suits the asset and use it every year. Change only for a good reason and explain the change.</t>
  </si>
  <si>
    <t xml:space="preserve">Why: the car loan is the owner's private debt, not the business's.
Correct treatment: record the payment as drawings.</t>
  </si>
  <si>
    <t xml:space="preserve">Why: the goods have not passed to the customer, so the revenue has not been earned.
Correct treatment: record the sale in February 2026 when the goods are delivered.</t>
  </si>
  <si>
    <t xml:space="preserve">Why: the electricity was used in 2025, so it is a 2025 expense even though it is unpaid.
Correct treatment: add RM400 to the electricity expense and show RM400 in other payables (current liabilities).</t>
  </si>
  <si>
    <t xml:space="preserve">Why: premises must stay at cost. The RM50,000 gain has not been earned by a sale (prudence and realisation also apply).
Correct treatment: keep premises at RM100,000 and do not add RM50,000 to profit.</t>
  </si>
  <si>
    <t xml:space="preserve">Question 12.19 (Level 5: Challenge): Answers</t>
  </si>
  <si>
    <t xml:space="preserve">Going concern assumes the business will continue, so assets are shown at cost less depreciation because they will be used, not sold. If the business closes, assets must be valued at what they would raise now. Equipment and inventory sold quickly fetch much less, so net assets fall by RM5,900.</t>
  </si>
  <si>
    <t xml:space="preserve">Any two, with a reason:
Owner: to decide whether to close or keep trading.
Bank or lender: to see whether the RM25,000 loan will be repaid.
Suppliers (trade payables): to see whether they will be paid.
Employees: to judge whether their jobs are safe.</t>
  </si>
  <si>
    <t xml:space="preserve">Quiz: which concept applies?: Answers</t>
  </si>
</sst>
</file>

<file path=xl/styles.xml><?xml version="1.0" encoding="utf-8"?>
<styleSheet xmlns="http://schemas.openxmlformats.org/spreadsheetml/2006/main">
  <numFmts count="2">
    <numFmt numFmtId="164" formatCode="General"/>
    <numFmt numFmtId="165" formatCode="#,##0;\(#,##0\);\-"/>
  </numFmts>
  <fonts count="11">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10"/>
      <color rgb="FF595959"/>
      <name val="Arial"/>
      <family val="0"/>
      <charset val="1"/>
    </font>
    <font>
      <b val="true"/>
      <sz val="10"/>
      <color rgb="FF1F3864"/>
      <name val="Arial"/>
      <family val="0"/>
      <charset val="1"/>
    </font>
    <font>
      <sz val="10"/>
      <color rgb="FF000000"/>
      <name val="Arial"/>
      <family val="0"/>
      <charset val="1"/>
    </font>
    <font>
      <sz val="10"/>
      <color rgb="FF0000FF"/>
      <name val="Arial"/>
      <family val="0"/>
      <charset val="1"/>
    </font>
    <font>
      <b val="true"/>
      <sz val="10"/>
      <color rgb="FF000000"/>
      <name val="Arial"/>
      <family val="0"/>
      <charset val="1"/>
    </font>
    <font>
      <sz val="10"/>
      <color rgb="FF008000"/>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DEBF7"/>
        <bgColor rgb="FFD9E1F2"/>
      </patternFill>
    </fill>
    <fill>
      <patternFill patternType="solid">
        <fgColor rgb="FFF2F2F2"/>
        <bgColor rgb="FFEEF6E8"/>
      </patternFill>
    </fill>
    <fill>
      <patternFill patternType="solid">
        <fgColor rgb="FFFFF59D"/>
        <bgColor rgb="FFE2EFDA"/>
      </patternFill>
    </fill>
    <fill>
      <patternFill patternType="solid">
        <fgColor rgb="FFE2EFDA"/>
        <bgColor rgb="FFEEF6E8"/>
      </patternFill>
    </fill>
    <fill>
      <patternFill patternType="solid">
        <fgColor rgb="FFD9E1F2"/>
        <bgColor rgb="FFDDEBF7"/>
      </patternFill>
    </fill>
    <fill>
      <patternFill patternType="solid">
        <fgColor rgb="FFEEF6E8"/>
        <bgColor rgb="FFF2F2F2"/>
      </patternFill>
    </fill>
  </fills>
  <borders count="5">
    <border diagonalUp="false" diagonalDown="false">
      <left/>
      <right/>
      <top/>
      <bottom/>
      <diagonal/>
    </border>
    <border diagonalUp="false" diagonalDown="false">
      <left style="medium">
        <color rgb="FF1F3864"/>
      </left>
      <right/>
      <top/>
      <bottom/>
      <diagonal/>
    </border>
    <border diagonalUp="false" diagonalDown="false">
      <left style="thin">
        <color rgb="FFB4C6E7"/>
      </left>
      <right style="thin">
        <color rgb="FFB4C6E7"/>
      </right>
      <top style="thin">
        <color rgb="FFB4C6E7"/>
      </top>
      <bottom style="thin">
        <color rgb="FFB4C6E7"/>
      </bottom>
      <diagonal/>
    </border>
    <border diagonalUp="false" diagonalDown="false">
      <left/>
      <right/>
      <top/>
      <bottom style="thin">
        <color rgb="FFB4C6E7"/>
      </bottom>
      <diagonal/>
    </border>
    <border diagonalUp="false" diagonalDown="false">
      <left style="thin">
        <color rgb="FFB4C6E7"/>
      </left>
      <right style="thin">
        <color rgb="FFB4C6E7"/>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5" fontId="8" fillId="4"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5" fontId="7" fillId="0" borderId="0" xfId="0" applyFont="true" applyBorder="true" applyAlignment="true" applyProtection="false">
      <alignment horizontal="right" vertical="center"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5" fontId="9" fillId="6" borderId="0" xfId="0" applyFont="true" applyBorder="true" applyAlignment="true" applyProtection="false">
      <alignment horizontal="right" vertical="center" textRotation="0" wrapText="false" indent="0" shrinkToFit="false"/>
      <protection locked="true" hidden="false"/>
    </xf>
    <xf numFmtId="164" fontId="9" fillId="7" borderId="2" xfId="0" applyFont="true" applyBorder="true" applyAlignment="true" applyProtection="false">
      <alignment horizontal="left" vertical="top" textRotation="0" wrapText="true" indent="0" shrinkToFit="false"/>
      <protection locked="true" hidden="false"/>
    </xf>
    <xf numFmtId="164" fontId="9" fillId="7" borderId="2" xfId="0" applyFont="true" applyBorder="true" applyAlignment="true" applyProtection="false">
      <alignment horizontal="center" vertical="top"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5" fontId="8" fillId="4" borderId="2" xfId="0" applyFont="true" applyBorder="true" applyAlignment="true" applyProtection="false">
      <alignment horizontal="right" vertical="center" textRotation="0" wrapText="false" indent="0" shrinkToFit="false"/>
      <protection locked="true" hidden="false"/>
    </xf>
    <xf numFmtId="164" fontId="7" fillId="0" borderId="3" xfId="0" applyFont="true" applyBorder="true" applyAlignment="true" applyProtection="false">
      <alignment horizontal="left"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left" vertical="top" textRotation="0" wrapText="true" indent="0" shrinkToFit="false"/>
      <protection locked="true" hidden="false"/>
    </xf>
    <xf numFmtId="165" fontId="7" fillId="5"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left" vertical="top" textRotation="0" wrapText="true" indent="0" shrinkToFit="false"/>
      <protection locked="true" hidden="false"/>
    </xf>
    <xf numFmtId="164" fontId="7" fillId="0" borderId="2" xfId="0" applyFont="true" applyBorder="true" applyAlignment="true" applyProtection="false">
      <alignment horizontal="left" vertical="center" textRotation="0" wrapText="false" indent="0" shrinkToFit="false"/>
      <protection locked="true" hidden="false"/>
    </xf>
    <xf numFmtId="165" fontId="7" fillId="5" borderId="4"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9" fillId="6" borderId="2" xfId="0" applyFont="true" applyBorder="true" applyAlignment="true" applyProtection="false">
      <alignment horizontal="center" vertical="top" textRotation="0" wrapText="true" indent="0" shrinkToFit="false"/>
      <protection locked="true" hidden="false"/>
    </xf>
    <xf numFmtId="164" fontId="7" fillId="8" borderId="2" xfId="0" applyFont="true" applyBorder="true" applyAlignment="true" applyProtection="false">
      <alignment horizontal="left" vertical="top" textRotation="0" wrapText="true" indent="0" shrinkToFit="false"/>
      <protection locked="true" hidden="false"/>
    </xf>
    <xf numFmtId="165" fontId="10" fillId="4" borderId="2" xfId="0" applyFont="true" applyBorder="true" applyAlignment="true" applyProtection="false">
      <alignment horizontal="right" vertical="center" textRotation="0" wrapText="false" indent="0" shrinkToFit="false"/>
      <protection locked="true" hidden="false"/>
    </xf>
    <xf numFmtId="165" fontId="9" fillId="6" borderId="2" xfId="0" applyFont="true" applyBorder="true" applyAlignment="true" applyProtection="false">
      <alignment horizontal="right" vertical="center" textRotation="0" wrapText="false" indent="0" shrinkToFit="false"/>
      <protection locked="true" hidden="false"/>
    </xf>
    <xf numFmtId="165" fontId="9" fillId="6" borderId="4"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B050"/>
      </font>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993366"/>
      <rgbColor rgb="FFEEF6E8"/>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E2EFDA"/>
      <rgbColor rgb="FFFFF59D"/>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00B050"/>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AF32"/>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6.5" hidden="false" customHeight="true" outlineLevel="0" collapsed="false">
      <c r="B2" s="2" t="s">
        <v>1</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4" customFormat="false" ht="18.75" hidden="false" customHeight="true" outlineLevel="0" collapsed="false">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ustomFormat="false" ht="16.5" hidden="false" customHeight="true" outlineLevel="0" collapsed="false">
      <c r="B5" s="4" t="s">
        <v>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6.5" hidden="false" customHeight="true" outlineLevel="0" collapsed="false">
      <c r="B6" s="4" t="s">
        <v>4</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ustomFormat="false" ht="16.5" hidden="false" customHeight="true" outlineLevel="0" collapsed="false">
      <c r="B7" s="4" t="s">
        <v>5</v>
      </c>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ustomFormat="false" ht="16.5" hidden="false" customHeight="true" outlineLevel="0" collapsed="false">
      <c r="B8" s="4" t="s">
        <v>6</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ustomFormat="false" ht="16.5" hidden="false" customHeight="true" outlineLevel="0" collapsed="false">
      <c r="B9" s="4" t="s">
        <v>7</v>
      </c>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ustomFormat="false" ht="16.5" hidden="false" customHeight="true" outlineLevel="0" collapsed="false">
      <c r="B10" s="4" t="s">
        <v>8</v>
      </c>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2" customFormat="false" ht="18.75" hidden="false" customHeight="true" outlineLevel="0" collapsed="false">
      <c r="B12" s="3" t="s">
        <v>9</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5" hidden="false" customHeight="false" outlineLevel="0" collapsed="false">
      <c r="B13" s="5" t="n">
        <v>1000</v>
      </c>
      <c r="C13" s="5"/>
      <c r="D13" s="5"/>
      <c r="E13" s="5"/>
      <c r="F13" s="5"/>
      <c r="H13" s="6" t="s">
        <v>10</v>
      </c>
      <c r="I13" s="6"/>
      <c r="J13" s="6"/>
      <c r="K13" s="6"/>
      <c r="L13" s="6"/>
      <c r="M13" s="6"/>
      <c r="N13" s="6"/>
      <c r="O13" s="6"/>
      <c r="P13" s="6"/>
      <c r="Q13" s="6"/>
      <c r="R13" s="6"/>
      <c r="S13" s="6"/>
      <c r="T13" s="6"/>
      <c r="U13" s="6"/>
      <c r="V13" s="6"/>
      <c r="W13" s="6"/>
      <c r="X13" s="6"/>
      <c r="Y13" s="6"/>
      <c r="Z13" s="6"/>
      <c r="AA13" s="6"/>
      <c r="AB13" s="6"/>
      <c r="AC13" s="6"/>
      <c r="AD13" s="6"/>
      <c r="AE13" s="6"/>
      <c r="AF13" s="6"/>
    </row>
    <row r="14" customFormat="false" ht="15" hidden="false" customHeight="false" outlineLevel="0" collapsed="false">
      <c r="B14" s="7" t="n">
        <v>1000</v>
      </c>
      <c r="C14" s="7"/>
      <c r="D14" s="7"/>
      <c r="E14" s="7"/>
      <c r="F14" s="7"/>
      <c r="H14" s="6" t="s">
        <v>11</v>
      </c>
      <c r="I14" s="6"/>
      <c r="J14" s="6"/>
      <c r="K14" s="6"/>
      <c r="L14" s="6"/>
      <c r="M14" s="6"/>
      <c r="N14" s="6"/>
      <c r="O14" s="6"/>
      <c r="P14" s="6"/>
      <c r="Q14" s="6"/>
      <c r="R14" s="6"/>
      <c r="S14" s="6"/>
      <c r="T14" s="6"/>
      <c r="U14" s="6"/>
      <c r="V14" s="6"/>
      <c r="W14" s="6"/>
      <c r="X14" s="6"/>
      <c r="Y14" s="6"/>
      <c r="Z14" s="6"/>
      <c r="AA14" s="6"/>
      <c r="AB14" s="6"/>
      <c r="AC14" s="6"/>
      <c r="AD14" s="6"/>
      <c r="AE14" s="6"/>
      <c r="AF14" s="6"/>
    </row>
    <row r="15" customFormat="false" ht="15" hidden="false" customHeight="false" outlineLevel="0" collapsed="false">
      <c r="B15" s="8"/>
      <c r="C15" s="8"/>
      <c r="D15" s="8"/>
      <c r="E15" s="8"/>
      <c r="F15" s="8"/>
      <c r="H15" s="6" t="s">
        <v>12</v>
      </c>
      <c r="I15" s="6"/>
      <c r="J15" s="6"/>
      <c r="K15" s="6"/>
      <c r="L15" s="6"/>
      <c r="M15" s="6"/>
      <c r="N15" s="6"/>
      <c r="O15" s="6"/>
      <c r="P15" s="6"/>
      <c r="Q15" s="6"/>
      <c r="R15" s="6"/>
      <c r="S15" s="6"/>
      <c r="T15" s="6"/>
      <c r="U15" s="6"/>
      <c r="V15" s="6"/>
      <c r="W15" s="6"/>
      <c r="X15" s="6"/>
      <c r="Y15" s="6"/>
      <c r="Z15" s="6"/>
      <c r="AA15" s="6"/>
      <c r="AB15" s="6"/>
      <c r="AC15" s="6"/>
      <c r="AD15" s="6"/>
      <c r="AE15" s="6"/>
      <c r="AF15" s="6"/>
    </row>
    <row r="16" customFormat="false" ht="15" hidden="false" customHeight="false" outlineLevel="0" collapsed="false">
      <c r="B16" s="9" t="n">
        <v>1000</v>
      </c>
      <c r="C16" s="9"/>
      <c r="D16" s="9"/>
      <c r="E16" s="9"/>
      <c r="F16" s="9"/>
      <c r="H16" s="6" t="s">
        <v>13</v>
      </c>
      <c r="I16" s="6"/>
      <c r="J16" s="6"/>
      <c r="K16" s="6"/>
      <c r="L16" s="6"/>
      <c r="M16" s="6"/>
      <c r="N16" s="6"/>
      <c r="O16" s="6"/>
      <c r="P16" s="6"/>
      <c r="Q16" s="6"/>
      <c r="R16" s="6"/>
      <c r="S16" s="6"/>
      <c r="T16" s="6"/>
      <c r="U16" s="6"/>
      <c r="V16" s="6"/>
      <c r="W16" s="6"/>
      <c r="X16" s="6"/>
      <c r="Y16" s="6"/>
      <c r="Z16" s="6"/>
      <c r="AA16" s="6"/>
      <c r="AB16" s="6"/>
      <c r="AC16" s="6"/>
      <c r="AD16" s="6"/>
      <c r="AE16" s="6"/>
      <c r="AF16" s="6"/>
    </row>
    <row r="18" customFormat="false" ht="18.75" hidden="false" customHeight="true" outlineLevel="0" collapsed="false">
      <c r="B18" s="3" t="s">
        <v>14</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6.5" hidden="false" customHeight="true" outlineLevel="0" collapsed="false">
      <c r="B19" s="4" t="s">
        <v>15</v>
      </c>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ustomFormat="false" ht="16.5" hidden="false" customHeight="true" outlineLevel="0" collapsed="false">
      <c r="B20" s="4" t="s">
        <v>16</v>
      </c>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ustomFormat="false" ht="16.5" hidden="false" customHeight="true" outlineLevel="0" collapsed="false">
      <c r="B21" s="4" t="s">
        <v>17</v>
      </c>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ustomFormat="false" ht="16.5" hidden="false" customHeight="true" outlineLevel="0" collapsed="false">
      <c r="B22" s="4" t="s">
        <v>18</v>
      </c>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4" customFormat="false" ht="18.75" hidden="false" customHeight="true" outlineLevel="0" collapsed="false">
      <c r="B24" s="3" t="s">
        <v>19</v>
      </c>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ustomFormat="false" ht="17.25" hidden="false" customHeight="true" outlineLevel="0" collapsed="false">
      <c r="B25" s="10" t="s">
        <v>20</v>
      </c>
      <c r="C25" s="10"/>
      <c r="D25" s="10"/>
      <c r="E25" s="10"/>
      <c r="F25" s="10"/>
      <c r="G25" s="10"/>
      <c r="H25" s="10"/>
      <c r="I25" s="11" t="s">
        <v>21</v>
      </c>
      <c r="J25" s="11"/>
      <c r="K25" s="11"/>
      <c r="L25" s="11"/>
      <c r="M25" s="11"/>
      <c r="N25" s="11"/>
      <c r="O25" s="11"/>
      <c r="P25" s="11"/>
      <c r="Q25" s="11"/>
      <c r="R25" s="11"/>
      <c r="S25" s="11"/>
      <c r="T25" s="11"/>
      <c r="U25" s="11"/>
      <c r="V25" s="11"/>
      <c r="W25" s="11"/>
      <c r="X25" s="11"/>
      <c r="Y25" s="11"/>
      <c r="Z25" s="11"/>
      <c r="AA25" s="11"/>
      <c r="AB25" s="11"/>
      <c r="AC25" s="11"/>
      <c r="AD25" s="11"/>
      <c r="AE25" s="11"/>
      <c r="AF25" s="11"/>
    </row>
    <row r="26" customFormat="false" ht="17.25" hidden="false" customHeight="true" outlineLevel="0" collapsed="false">
      <c r="B26" s="12" t="s">
        <v>22</v>
      </c>
      <c r="C26" s="12"/>
      <c r="D26" s="12"/>
      <c r="E26" s="12"/>
      <c r="F26" s="12"/>
      <c r="G26" s="12"/>
      <c r="H26" s="12"/>
      <c r="I26" s="13" t="s">
        <v>23</v>
      </c>
      <c r="J26" s="13"/>
      <c r="K26" s="13"/>
      <c r="L26" s="13"/>
      <c r="M26" s="13"/>
      <c r="N26" s="13"/>
      <c r="O26" s="13"/>
      <c r="P26" s="13"/>
      <c r="Q26" s="13"/>
      <c r="R26" s="13"/>
      <c r="S26" s="13"/>
      <c r="T26" s="13"/>
      <c r="U26" s="13"/>
      <c r="V26" s="13"/>
      <c r="W26" s="13"/>
      <c r="X26" s="13"/>
      <c r="Y26" s="13"/>
      <c r="Z26" s="13"/>
      <c r="AA26" s="13"/>
      <c r="AB26" s="13"/>
      <c r="AC26" s="13"/>
      <c r="AD26" s="13"/>
      <c r="AE26" s="13"/>
      <c r="AF26" s="13"/>
    </row>
    <row r="27" customFormat="false" ht="17.25" hidden="false" customHeight="true" outlineLevel="0" collapsed="false">
      <c r="B27" s="12" t="s">
        <v>24</v>
      </c>
      <c r="C27" s="12"/>
      <c r="D27" s="12"/>
      <c r="E27" s="12"/>
      <c r="F27" s="12"/>
      <c r="G27" s="12"/>
      <c r="H27" s="12"/>
      <c r="I27" s="13" t="s">
        <v>25</v>
      </c>
      <c r="J27" s="13"/>
      <c r="K27" s="13"/>
      <c r="L27" s="13"/>
      <c r="M27" s="13"/>
      <c r="N27" s="13"/>
      <c r="O27" s="13"/>
      <c r="P27" s="13"/>
      <c r="Q27" s="13"/>
      <c r="R27" s="13"/>
      <c r="S27" s="13"/>
      <c r="T27" s="13"/>
      <c r="U27" s="13"/>
      <c r="V27" s="13"/>
      <c r="W27" s="13"/>
      <c r="X27" s="13"/>
      <c r="Y27" s="13"/>
      <c r="Z27" s="13"/>
      <c r="AA27" s="13"/>
      <c r="AB27" s="13"/>
      <c r="AC27" s="13"/>
      <c r="AD27" s="13"/>
      <c r="AE27" s="13"/>
      <c r="AF27" s="13"/>
    </row>
    <row r="28" customFormat="false" ht="17.25" hidden="false" customHeight="true" outlineLevel="0" collapsed="false">
      <c r="B28" s="12" t="s">
        <v>26</v>
      </c>
      <c r="C28" s="12"/>
      <c r="D28" s="12"/>
      <c r="E28" s="12"/>
      <c r="F28" s="12"/>
      <c r="G28" s="12"/>
      <c r="H28" s="12"/>
      <c r="I28" s="13" t="s">
        <v>27</v>
      </c>
      <c r="J28" s="13"/>
      <c r="K28" s="13"/>
      <c r="L28" s="13"/>
      <c r="M28" s="13"/>
      <c r="N28" s="13"/>
      <c r="O28" s="13"/>
      <c r="P28" s="13"/>
      <c r="Q28" s="13"/>
      <c r="R28" s="13"/>
      <c r="S28" s="13"/>
      <c r="T28" s="13"/>
      <c r="U28" s="13"/>
      <c r="V28" s="13"/>
      <c r="W28" s="13"/>
      <c r="X28" s="13"/>
      <c r="Y28" s="13"/>
      <c r="Z28" s="13"/>
      <c r="AA28" s="13"/>
      <c r="AB28" s="13"/>
      <c r="AC28" s="13"/>
      <c r="AD28" s="13"/>
      <c r="AE28" s="13"/>
      <c r="AF28" s="13"/>
    </row>
    <row r="29" customFormat="false" ht="17.25" hidden="false" customHeight="true" outlineLevel="0" collapsed="false">
      <c r="B29" s="12" t="s">
        <v>28</v>
      </c>
      <c r="C29" s="12"/>
      <c r="D29" s="12"/>
      <c r="E29" s="12"/>
      <c r="F29" s="12"/>
      <c r="G29" s="12"/>
      <c r="H29" s="12"/>
      <c r="I29" s="13" t="s">
        <v>29</v>
      </c>
      <c r="J29" s="13"/>
      <c r="K29" s="13"/>
      <c r="L29" s="13"/>
      <c r="M29" s="13"/>
      <c r="N29" s="13"/>
      <c r="O29" s="13"/>
      <c r="P29" s="13"/>
      <c r="Q29" s="13"/>
      <c r="R29" s="13"/>
      <c r="S29" s="13"/>
      <c r="T29" s="13"/>
      <c r="U29" s="13"/>
      <c r="V29" s="13"/>
      <c r="W29" s="13"/>
      <c r="X29" s="13"/>
      <c r="Y29" s="13"/>
      <c r="Z29" s="13"/>
      <c r="AA29" s="13"/>
      <c r="AB29" s="13"/>
      <c r="AC29" s="13"/>
      <c r="AD29" s="13"/>
      <c r="AE29" s="13"/>
      <c r="AF29" s="13"/>
    </row>
    <row r="30" customFormat="false" ht="17.25" hidden="false" customHeight="true" outlineLevel="0" collapsed="false">
      <c r="B30" s="12" t="s">
        <v>30</v>
      </c>
      <c r="C30" s="12"/>
      <c r="D30" s="12"/>
      <c r="E30" s="12"/>
      <c r="F30" s="12"/>
      <c r="G30" s="12"/>
      <c r="H30" s="12"/>
      <c r="I30" s="13" t="s">
        <v>31</v>
      </c>
      <c r="J30" s="13"/>
      <c r="K30" s="13"/>
      <c r="L30" s="13"/>
      <c r="M30" s="13"/>
      <c r="N30" s="13"/>
      <c r="O30" s="13"/>
      <c r="P30" s="13"/>
      <c r="Q30" s="13"/>
      <c r="R30" s="13"/>
      <c r="S30" s="13"/>
      <c r="T30" s="13"/>
      <c r="U30" s="13"/>
      <c r="V30" s="13"/>
      <c r="W30" s="13"/>
      <c r="X30" s="13"/>
      <c r="Y30" s="13"/>
      <c r="Z30" s="13"/>
      <c r="AA30" s="13"/>
      <c r="AB30" s="13"/>
      <c r="AC30" s="13"/>
      <c r="AD30" s="13"/>
      <c r="AE30" s="13"/>
      <c r="AF30" s="13"/>
    </row>
    <row r="31" customFormat="false" ht="17.25" hidden="false" customHeight="true" outlineLevel="0" collapsed="false">
      <c r="B31" s="12" t="s">
        <v>32</v>
      </c>
      <c r="C31" s="12"/>
      <c r="D31" s="12"/>
      <c r="E31" s="12"/>
      <c r="F31" s="12"/>
      <c r="G31" s="12"/>
      <c r="H31" s="12"/>
      <c r="I31" s="13" t="s">
        <v>33</v>
      </c>
      <c r="J31" s="13"/>
      <c r="K31" s="13"/>
      <c r="L31" s="13"/>
      <c r="M31" s="13"/>
      <c r="N31" s="13"/>
      <c r="O31" s="13"/>
      <c r="P31" s="13"/>
      <c r="Q31" s="13"/>
      <c r="R31" s="13"/>
      <c r="S31" s="13"/>
      <c r="T31" s="13"/>
      <c r="U31" s="13"/>
      <c r="V31" s="13"/>
      <c r="W31" s="13"/>
      <c r="X31" s="13"/>
      <c r="Y31" s="13"/>
      <c r="Z31" s="13"/>
      <c r="AA31" s="13"/>
      <c r="AB31" s="13"/>
      <c r="AC31" s="13"/>
      <c r="AD31" s="13"/>
      <c r="AE31" s="13"/>
      <c r="AF31" s="13"/>
    </row>
    <row r="32" customFormat="false" ht="17.25" hidden="false" customHeight="true" outlineLevel="0" collapsed="false">
      <c r="B32" s="12" t="s">
        <v>34</v>
      </c>
      <c r="C32" s="12"/>
      <c r="D32" s="12"/>
      <c r="E32" s="12"/>
      <c r="F32" s="12"/>
      <c r="G32" s="12"/>
      <c r="H32" s="12"/>
      <c r="I32" s="13" t="s">
        <v>35</v>
      </c>
      <c r="J32" s="13"/>
      <c r="K32" s="13"/>
      <c r="L32" s="13"/>
      <c r="M32" s="13"/>
      <c r="N32" s="13"/>
      <c r="O32" s="13"/>
      <c r="P32" s="13"/>
      <c r="Q32" s="13"/>
      <c r="R32" s="13"/>
      <c r="S32" s="13"/>
      <c r="T32" s="13"/>
      <c r="U32" s="13"/>
      <c r="V32" s="13"/>
      <c r="W32" s="13"/>
      <c r="X32" s="13"/>
      <c r="Y32" s="13"/>
      <c r="Z32" s="13"/>
      <c r="AA32" s="13"/>
      <c r="AB32" s="13"/>
      <c r="AC32" s="13"/>
      <c r="AD32" s="13"/>
      <c r="AE32" s="13"/>
      <c r="AF32" s="13"/>
    </row>
  </sheetData>
  <mergeCells count="40">
    <mergeCell ref="B1:AF1"/>
    <mergeCell ref="B2:AF2"/>
    <mergeCell ref="B4:AF4"/>
    <mergeCell ref="B5:AF5"/>
    <mergeCell ref="B6:AF6"/>
    <mergeCell ref="B7:AF7"/>
    <mergeCell ref="B8:AF8"/>
    <mergeCell ref="B9:AF9"/>
    <mergeCell ref="B10:AF10"/>
    <mergeCell ref="B12:AF12"/>
    <mergeCell ref="B13:F13"/>
    <mergeCell ref="H13:AF13"/>
    <mergeCell ref="B14:F14"/>
    <mergeCell ref="H14:AF14"/>
    <mergeCell ref="B15:F15"/>
    <mergeCell ref="H15:AF15"/>
    <mergeCell ref="B16:F16"/>
    <mergeCell ref="H16:AF16"/>
    <mergeCell ref="B18:AF18"/>
    <mergeCell ref="B19:AF19"/>
    <mergeCell ref="B20:AF20"/>
    <mergeCell ref="B21:AF21"/>
    <mergeCell ref="B22:AF22"/>
    <mergeCell ref="B24:AF24"/>
    <mergeCell ref="B25:H25"/>
    <mergeCell ref="I25:AF25"/>
    <mergeCell ref="B26:H26"/>
    <mergeCell ref="I26:AF26"/>
    <mergeCell ref="B27:H27"/>
    <mergeCell ref="I27:AF27"/>
    <mergeCell ref="B28:H28"/>
    <mergeCell ref="I28:AF28"/>
    <mergeCell ref="B29:H29"/>
    <mergeCell ref="I29:AF29"/>
    <mergeCell ref="B30:H30"/>
    <mergeCell ref="I30:AF30"/>
    <mergeCell ref="B31:H31"/>
    <mergeCell ref="I31:AF31"/>
    <mergeCell ref="B32:H32"/>
    <mergeCell ref="I32:AF32"/>
  </mergeCells>
  <conditionalFormatting sqref="B1:AG33">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22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36</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37</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38</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39</v>
      </c>
      <c r="C6" s="10"/>
      <c r="D6" s="10"/>
      <c r="E6" s="10"/>
      <c r="F6" s="10"/>
      <c r="G6" s="10"/>
      <c r="H6" s="10"/>
      <c r="I6" s="11" t="s">
        <v>40</v>
      </c>
      <c r="J6" s="11"/>
      <c r="K6" s="11"/>
      <c r="L6" s="11"/>
      <c r="M6" s="11"/>
      <c r="N6" s="11"/>
      <c r="O6" s="11"/>
      <c r="P6" s="11"/>
      <c r="Q6" s="11"/>
      <c r="R6" s="11"/>
      <c r="S6" s="11"/>
      <c r="T6" s="11"/>
      <c r="U6" s="11" t="s">
        <v>41</v>
      </c>
      <c r="V6" s="11"/>
      <c r="W6" s="11"/>
      <c r="X6" s="11"/>
      <c r="Y6" s="11"/>
      <c r="Z6" s="11"/>
      <c r="AA6" s="11"/>
      <c r="AB6" s="11"/>
      <c r="AC6" s="11"/>
      <c r="AD6" s="11"/>
      <c r="AE6" s="11"/>
      <c r="AF6" s="11"/>
    </row>
    <row r="7" customFormat="false" ht="17.25" hidden="false" customHeight="true" outlineLevel="0" collapsed="false">
      <c r="B7" s="12" t="s">
        <v>42</v>
      </c>
      <c r="C7" s="12"/>
      <c r="D7" s="12"/>
      <c r="E7" s="12"/>
      <c r="F7" s="12"/>
      <c r="G7" s="12"/>
      <c r="H7" s="12"/>
      <c r="I7" s="13" t="s">
        <v>43</v>
      </c>
      <c r="J7" s="13"/>
      <c r="K7" s="13"/>
      <c r="L7" s="13"/>
      <c r="M7" s="13"/>
      <c r="N7" s="13"/>
      <c r="O7" s="13"/>
      <c r="P7" s="13"/>
      <c r="Q7" s="13"/>
      <c r="R7" s="13"/>
      <c r="S7" s="13"/>
      <c r="T7" s="13"/>
      <c r="U7" s="13" t="s">
        <v>44</v>
      </c>
      <c r="V7" s="13"/>
      <c r="W7" s="13"/>
      <c r="X7" s="13"/>
      <c r="Y7" s="13"/>
      <c r="Z7" s="13"/>
      <c r="AA7" s="13"/>
      <c r="AB7" s="13"/>
      <c r="AC7" s="13"/>
      <c r="AD7" s="13"/>
      <c r="AE7" s="13"/>
      <c r="AF7" s="13"/>
    </row>
    <row r="8" customFormat="false" ht="17.25" hidden="false" customHeight="true" outlineLevel="0" collapsed="false">
      <c r="B8" s="12" t="s">
        <v>45</v>
      </c>
      <c r="C8" s="12"/>
      <c r="D8" s="12"/>
      <c r="E8" s="12"/>
      <c r="F8" s="12"/>
      <c r="G8" s="12"/>
      <c r="H8" s="12"/>
      <c r="I8" s="13" t="s">
        <v>46</v>
      </c>
      <c r="J8" s="13"/>
      <c r="K8" s="13"/>
      <c r="L8" s="13"/>
      <c r="M8" s="13"/>
      <c r="N8" s="13"/>
      <c r="O8" s="13"/>
      <c r="P8" s="13"/>
      <c r="Q8" s="13"/>
      <c r="R8" s="13"/>
      <c r="S8" s="13"/>
      <c r="T8" s="13"/>
      <c r="U8" s="13" t="s">
        <v>47</v>
      </c>
      <c r="V8" s="13"/>
      <c r="W8" s="13"/>
      <c r="X8" s="13"/>
      <c r="Y8" s="13"/>
      <c r="Z8" s="13"/>
      <c r="AA8" s="13"/>
      <c r="AB8" s="13"/>
      <c r="AC8" s="13"/>
      <c r="AD8" s="13"/>
      <c r="AE8" s="13"/>
      <c r="AF8" s="13"/>
    </row>
    <row r="9" customFormat="false" ht="17.25" hidden="false" customHeight="true" outlineLevel="0" collapsed="false">
      <c r="B9" s="12" t="s">
        <v>48</v>
      </c>
      <c r="C9" s="12"/>
      <c r="D9" s="12"/>
      <c r="E9" s="12"/>
      <c r="F9" s="12"/>
      <c r="G9" s="12"/>
      <c r="H9" s="12"/>
      <c r="I9" s="13" t="s">
        <v>49</v>
      </c>
      <c r="J9" s="13"/>
      <c r="K9" s="13"/>
      <c r="L9" s="13"/>
      <c r="M9" s="13"/>
      <c r="N9" s="13"/>
      <c r="O9" s="13"/>
      <c r="P9" s="13"/>
      <c r="Q9" s="13"/>
      <c r="R9" s="13"/>
      <c r="S9" s="13"/>
      <c r="T9" s="13"/>
      <c r="U9" s="13" t="s">
        <v>50</v>
      </c>
      <c r="V9" s="13"/>
      <c r="W9" s="13"/>
      <c r="X9" s="13"/>
      <c r="Y9" s="13"/>
      <c r="Z9" s="13"/>
      <c r="AA9" s="13"/>
      <c r="AB9" s="13"/>
      <c r="AC9" s="13"/>
      <c r="AD9" s="13"/>
      <c r="AE9" s="13"/>
      <c r="AF9" s="13"/>
    </row>
    <row r="10" customFormat="false" ht="17.25" hidden="false" customHeight="true" outlineLevel="0" collapsed="false">
      <c r="B10" s="12" t="s">
        <v>51</v>
      </c>
      <c r="C10" s="12"/>
      <c r="D10" s="12"/>
      <c r="E10" s="12"/>
      <c r="F10" s="12"/>
      <c r="G10" s="12"/>
      <c r="H10" s="12"/>
      <c r="I10" s="13" t="s">
        <v>52</v>
      </c>
      <c r="J10" s="13"/>
      <c r="K10" s="13"/>
      <c r="L10" s="13"/>
      <c r="M10" s="13"/>
      <c r="N10" s="13"/>
      <c r="O10" s="13"/>
      <c r="P10" s="13"/>
      <c r="Q10" s="13"/>
      <c r="R10" s="13"/>
      <c r="S10" s="13"/>
      <c r="T10" s="13"/>
      <c r="U10" s="13" t="s">
        <v>53</v>
      </c>
      <c r="V10" s="13"/>
      <c r="W10" s="13"/>
      <c r="X10" s="13"/>
      <c r="Y10" s="13"/>
      <c r="Z10" s="13"/>
      <c r="AA10" s="13"/>
      <c r="AB10" s="13"/>
      <c r="AC10" s="13"/>
      <c r="AD10" s="13"/>
      <c r="AE10" s="13"/>
      <c r="AF10" s="13"/>
    </row>
    <row r="11" customFormat="false" ht="17.25" hidden="false" customHeight="true" outlineLevel="0" collapsed="false">
      <c r="B11" s="12" t="s">
        <v>54</v>
      </c>
      <c r="C11" s="12"/>
      <c r="D11" s="12"/>
      <c r="E11" s="12"/>
      <c r="F11" s="12"/>
      <c r="G11" s="12"/>
      <c r="H11" s="12"/>
      <c r="I11" s="13" t="s">
        <v>55</v>
      </c>
      <c r="J11" s="13"/>
      <c r="K11" s="13"/>
      <c r="L11" s="13"/>
      <c r="M11" s="13"/>
      <c r="N11" s="13"/>
      <c r="O11" s="13"/>
      <c r="P11" s="13"/>
      <c r="Q11" s="13"/>
      <c r="R11" s="13"/>
      <c r="S11" s="13"/>
      <c r="T11" s="13"/>
      <c r="U11" s="13" t="s">
        <v>56</v>
      </c>
      <c r="V11" s="13"/>
      <c r="W11" s="13"/>
      <c r="X11" s="13"/>
      <c r="Y11" s="13"/>
      <c r="Z11" s="13"/>
      <c r="AA11" s="13"/>
      <c r="AB11" s="13"/>
      <c r="AC11" s="13"/>
      <c r="AD11" s="13"/>
      <c r="AE11" s="13"/>
      <c r="AF11" s="13"/>
    </row>
    <row r="12" customFormat="false" ht="17.25" hidden="false" customHeight="true" outlineLevel="0" collapsed="false">
      <c r="B12" s="12" t="s">
        <v>57</v>
      </c>
      <c r="C12" s="12"/>
      <c r="D12" s="12"/>
      <c r="E12" s="12"/>
      <c r="F12" s="12"/>
      <c r="G12" s="12"/>
      <c r="H12" s="12"/>
      <c r="I12" s="13" t="s">
        <v>58</v>
      </c>
      <c r="J12" s="13"/>
      <c r="K12" s="13"/>
      <c r="L12" s="13"/>
      <c r="M12" s="13"/>
      <c r="N12" s="13"/>
      <c r="O12" s="13"/>
      <c r="P12" s="13"/>
      <c r="Q12" s="13"/>
      <c r="R12" s="13"/>
      <c r="S12" s="13"/>
      <c r="T12" s="13"/>
      <c r="U12" s="13" t="s">
        <v>59</v>
      </c>
      <c r="V12" s="13"/>
      <c r="W12" s="13"/>
      <c r="X12" s="13"/>
      <c r="Y12" s="13"/>
      <c r="Z12" s="13"/>
      <c r="AA12" s="13"/>
      <c r="AB12" s="13"/>
      <c r="AC12" s="13"/>
      <c r="AD12" s="13"/>
      <c r="AE12" s="13"/>
      <c r="AF12" s="13"/>
    </row>
    <row r="13" customFormat="false" ht="17.25" hidden="false" customHeight="true" outlineLevel="0" collapsed="false">
      <c r="B13" s="12" t="s">
        <v>60</v>
      </c>
      <c r="C13" s="12"/>
      <c r="D13" s="12"/>
      <c r="E13" s="12"/>
      <c r="F13" s="12"/>
      <c r="G13" s="12"/>
      <c r="H13" s="12"/>
      <c r="I13" s="13" t="s">
        <v>61</v>
      </c>
      <c r="J13" s="13"/>
      <c r="K13" s="13"/>
      <c r="L13" s="13"/>
      <c r="M13" s="13"/>
      <c r="N13" s="13"/>
      <c r="O13" s="13"/>
      <c r="P13" s="13"/>
      <c r="Q13" s="13"/>
      <c r="R13" s="13"/>
      <c r="S13" s="13"/>
      <c r="T13" s="13"/>
      <c r="U13" s="13" t="s">
        <v>62</v>
      </c>
      <c r="V13" s="13"/>
      <c r="W13" s="13"/>
      <c r="X13" s="13"/>
      <c r="Y13" s="13"/>
      <c r="Z13" s="13"/>
      <c r="AA13" s="13"/>
      <c r="AB13" s="13"/>
      <c r="AC13" s="13"/>
      <c r="AD13" s="13"/>
      <c r="AE13" s="13"/>
      <c r="AF13" s="13"/>
    </row>
    <row r="14" customFormat="false" ht="17.25" hidden="false" customHeight="true" outlineLevel="0" collapsed="false">
      <c r="B14" s="12" t="s">
        <v>63</v>
      </c>
      <c r="C14" s="12"/>
      <c r="D14" s="12"/>
      <c r="E14" s="12"/>
      <c r="F14" s="12"/>
      <c r="G14" s="12"/>
      <c r="H14" s="12"/>
      <c r="I14" s="13" t="s">
        <v>64</v>
      </c>
      <c r="J14" s="13"/>
      <c r="K14" s="13"/>
      <c r="L14" s="13"/>
      <c r="M14" s="13"/>
      <c r="N14" s="13"/>
      <c r="O14" s="13"/>
      <c r="P14" s="13"/>
      <c r="Q14" s="13"/>
      <c r="R14" s="13"/>
      <c r="S14" s="13"/>
      <c r="T14" s="13"/>
      <c r="U14" s="13" t="s">
        <v>65</v>
      </c>
      <c r="V14" s="13"/>
      <c r="W14" s="13"/>
      <c r="X14" s="13"/>
      <c r="Y14" s="13"/>
      <c r="Z14" s="13"/>
      <c r="AA14" s="13"/>
      <c r="AB14" s="13"/>
      <c r="AC14" s="13"/>
      <c r="AD14" s="13"/>
      <c r="AE14" s="13"/>
      <c r="AF14" s="13"/>
    </row>
    <row r="15" customFormat="false" ht="17.25" hidden="false" customHeight="true" outlineLevel="0" collapsed="false">
      <c r="B15" s="12" t="s">
        <v>66</v>
      </c>
      <c r="C15" s="12"/>
      <c r="D15" s="12"/>
      <c r="E15" s="12"/>
      <c r="F15" s="12"/>
      <c r="G15" s="12"/>
      <c r="H15" s="12"/>
      <c r="I15" s="13" t="s">
        <v>67</v>
      </c>
      <c r="J15" s="13"/>
      <c r="K15" s="13"/>
      <c r="L15" s="13"/>
      <c r="M15" s="13"/>
      <c r="N15" s="13"/>
      <c r="O15" s="13"/>
      <c r="P15" s="13"/>
      <c r="Q15" s="13"/>
      <c r="R15" s="13"/>
      <c r="S15" s="13"/>
      <c r="T15" s="13"/>
      <c r="U15" s="13" t="s">
        <v>68</v>
      </c>
      <c r="V15" s="13"/>
      <c r="W15" s="13"/>
      <c r="X15" s="13"/>
      <c r="Y15" s="13"/>
      <c r="Z15" s="13"/>
      <c r="AA15" s="13"/>
      <c r="AB15" s="13"/>
      <c r="AC15" s="13"/>
      <c r="AD15" s="13"/>
      <c r="AE15" s="13"/>
      <c r="AF15" s="13"/>
    </row>
    <row r="16" customFormat="false" ht="17.25" hidden="false" customHeight="true" outlineLevel="0" collapsed="false">
      <c r="B16" s="12" t="s">
        <v>69</v>
      </c>
      <c r="C16" s="12"/>
      <c r="D16" s="12"/>
      <c r="E16" s="12"/>
      <c r="F16" s="12"/>
      <c r="G16" s="12"/>
      <c r="H16" s="12"/>
      <c r="I16" s="13" t="s">
        <v>70</v>
      </c>
      <c r="J16" s="13"/>
      <c r="K16" s="13"/>
      <c r="L16" s="13"/>
      <c r="M16" s="13"/>
      <c r="N16" s="13"/>
      <c r="O16" s="13"/>
      <c r="P16" s="13"/>
      <c r="Q16" s="13"/>
      <c r="R16" s="13"/>
      <c r="S16" s="13"/>
      <c r="T16" s="13"/>
      <c r="U16" s="13" t="s">
        <v>71</v>
      </c>
      <c r="V16" s="13"/>
      <c r="W16" s="13"/>
      <c r="X16" s="13"/>
      <c r="Y16" s="13"/>
      <c r="Z16" s="13"/>
      <c r="AA16" s="13"/>
      <c r="AB16" s="13"/>
      <c r="AC16" s="13"/>
      <c r="AD16" s="13"/>
      <c r="AE16" s="13"/>
      <c r="AF16" s="13"/>
    </row>
    <row r="18" customFormat="false" ht="18.75" hidden="false" customHeight="true" outlineLevel="0" collapsed="false">
      <c r="B18" s="3" t="s">
        <v>72</v>
      </c>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ustomFormat="false" ht="15" hidden="false" customHeight="false" outlineLevel="0" collapsed="false">
      <c r="B19" s="15" t="s">
        <v>73</v>
      </c>
      <c r="C19" s="15"/>
      <c r="D19" s="15"/>
      <c r="E19" s="15"/>
      <c r="F19" s="15"/>
      <c r="G19" s="15"/>
      <c r="H19" s="15"/>
      <c r="I19" s="15"/>
      <c r="J19" s="15"/>
      <c r="K19" s="15"/>
      <c r="L19" s="15"/>
      <c r="M19" s="15"/>
      <c r="N19" s="15"/>
      <c r="O19" s="15"/>
      <c r="P19" s="15"/>
      <c r="Q19" s="15"/>
      <c r="R19" s="15"/>
      <c r="S19" s="15"/>
      <c r="T19" s="15"/>
      <c r="U19" s="15"/>
      <c r="V19" s="15"/>
      <c r="W19" s="15"/>
      <c r="X19" s="16" t="s">
        <v>74</v>
      </c>
      <c r="Y19" s="16"/>
      <c r="Z19" s="16"/>
      <c r="AA19" s="16"/>
      <c r="AB19" s="16"/>
      <c r="AC19" s="16"/>
    </row>
    <row r="20" customFormat="false" ht="16.5" hidden="false" customHeight="true" outlineLevel="0" collapsed="false">
      <c r="B20" s="12" t="s">
        <v>75</v>
      </c>
      <c r="C20" s="12"/>
      <c r="D20" s="12"/>
      <c r="E20" s="12"/>
      <c r="F20" s="12"/>
      <c r="G20" s="12"/>
      <c r="H20" s="12"/>
      <c r="I20" s="12"/>
      <c r="J20" s="12"/>
      <c r="K20" s="12"/>
      <c r="L20" s="12"/>
      <c r="M20" s="12"/>
      <c r="N20" s="12"/>
      <c r="O20" s="12"/>
      <c r="P20" s="12"/>
      <c r="Q20" s="12"/>
      <c r="R20" s="12"/>
      <c r="S20" s="12"/>
      <c r="T20" s="12"/>
      <c r="U20" s="12"/>
      <c r="V20" s="12"/>
      <c r="W20" s="12"/>
      <c r="X20" s="17" t="n">
        <v>800</v>
      </c>
      <c r="Y20" s="17"/>
      <c r="Z20" s="17"/>
      <c r="AA20" s="17"/>
      <c r="AB20" s="17"/>
      <c r="AC20" s="17"/>
    </row>
    <row r="21" customFormat="false" ht="16.5" hidden="false" customHeight="true" outlineLevel="0" collapsed="false">
      <c r="B21" s="12" t="s">
        <v>76</v>
      </c>
      <c r="C21" s="12"/>
      <c r="D21" s="12"/>
      <c r="E21" s="12"/>
      <c r="F21" s="12"/>
      <c r="G21" s="12"/>
      <c r="H21" s="12"/>
      <c r="I21" s="12"/>
      <c r="J21" s="12"/>
      <c r="K21" s="12"/>
      <c r="L21" s="12"/>
      <c r="M21" s="12"/>
      <c r="N21" s="12"/>
      <c r="O21" s="12"/>
      <c r="P21" s="12"/>
      <c r="Q21" s="12"/>
      <c r="R21" s="12"/>
      <c r="S21" s="12"/>
      <c r="T21" s="12"/>
      <c r="U21" s="12"/>
      <c r="V21" s="12"/>
      <c r="W21" s="12"/>
      <c r="X21" s="17" t="n">
        <v>700</v>
      </c>
      <c r="Y21" s="17"/>
      <c r="Z21" s="17"/>
      <c r="AA21" s="17"/>
      <c r="AB21" s="17"/>
      <c r="AC21" s="17"/>
    </row>
    <row r="22" customFormat="false" ht="16.5" hidden="false" customHeight="true" outlineLevel="0" collapsed="false">
      <c r="B22" s="12" t="s">
        <v>77</v>
      </c>
      <c r="C22" s="12"/>
      <c r="D22" s="12"/>
      <c r="E22" s="12"/>
      <c r="F22" s="12"/>
      <c r="G22" s="12"/>
      <c r="H22" s="12"/>
      <c r="I22" s="12"/>
      <c r="J22" s="12"/>
      <c r="K22" s="12"/>
      <c r="L22" s="12"/>
      <c r="M22" s="12"/>
      <c r="N22" s="12"/>
      <c r="O22" s="12"/>
      <c r="P22" s="12"/>
      <c r="Q22" s="12"/>
      <c r="R22" s="12"/>
      <c r="S22" s="12"/>
      <c r="T22" s="12"/>
      <c r="U22" s="12"/>
      <c r="V22" s="12"/>
      <c r="W22" s="12"/>
      <c r="X22" s="17" t="n">
        <v>50</v>
      </c>
      <c r="Y22" s="17"/>
      <c r="Z22" s="17"/>
      <c r="AA22" s="17"/>
      <c r="AB22" s="17"/>
      <c r="AC22" s="17"/>
    </row>
    <row r="24" customFormat="false" ht="17.25" hidden="false" customHeight="true" outlineLevel="0" collapsed="false">
      <c r="B24" s="18" t="s">
        <v>78</v>
      </c>
      <c r="C24" s="18"/>
      <c r="D24" s="18"/>
      <c r="E24" s="18"/>
      <c r="F24" s="18"/>
      <c r="G24" s="18"/>
      <c r="H24" s="18"/>
      <c r="I24" s="18"/>
      <c r="J24" s="18"/>
      <c r="K24" s="18"/>
      <c r="L24" s="18"/>
      <c r="M24" s="18"/>
      <c r="N24" s="18"/>
      <c r="O24" s="18"/>
      <c r="P24" s="18"/>
      <c r="Q24" s="18"/>
      <c r="R24" s="18"/>
      <c r="S24" s="18"/>
      <c r="T24" s="18"/>
      <c r="U24" s="18"/>
      <c r="V24" s="18"/>
      <c r="W24" s="18"/>
      <c r="X24" s="7" t="n">
        <f aca="false">$X$21-$X$22</f>
        <v>650</v>
      </c>
      <c r="Y24" s="7"/>
      <c r="Z24" s="7"/>
      <c r="AA24" s="7"/>
      <c r="AB24" s="7"/>
    </row>
    <row r="25" customFormat="false" ht="17.25" hidden="false" customHeight="true" outlineLevel="0" collapsed="false">
      <c r="B25" s="18" t="s">
        <v>79</v>
      </c>
      <c r="C25" s="18"/>
      <c r="D25" s="18"/>
      <c r="E25" s="18"/>
      <c r="F25" s="18"/>
      <c r="G25" s="18"/>
      <c r="H25" s="18"/>
      <c r="I25" s="18"/>
      <c r="J25" s="18"/>
      <c r="K25" s="18"/>
      <c r="L25" s="18"/>
      <c r="M25" s="18"/>
      <c r="N25" s="18"/>
      <c r="O25" s="18"/>
      <c r="P25" s="18"/>
      <c r="Q25" s="18"/>
      <c r="R25" s="18"/>
      <c r="S25" s="18"/>
      <c r="T25" s="18"/>
      <c r="U25" s="18"/>
      <c r="V25" s="18"/>
      <c r="W25" s="18"/>
      <c r="X25" s="7" t="n">
        <f aca="false">MIN($X$20,$X$24)</f>
        <v>650</v>
      </c>
      <c r="Y25" s="7"/>
      <c r="Z25" s="7"/>
      <c r="AA25" s="7"/>
      <c r="AB25" s="7"/>
    </row>
  </sheetData>
  <mergeCells count="50">
    <mergeCell ref="B1:AF1"/>
    <mergeCell ref="B2:AF2"/>
    <mergeCell ref="B3:AF3"/>
    <mergeCell ref="B5:AF5"/>
    <mergeCell ref="B6:H6"/>
    <mergeCell ref="I6:T6"/>
    <mergeCell ref="U6:AF6"/>
    <mergeCell ref="B7:H7"/>
    <mergeCell ref="I7:T7"/>
    <mergeCell ref="U7:AF7"/>
    <mergeCell ref="B8:H8"/>
    <mergeCell ref="I8:T8"/>
    <mergeCell ref="U8:AF8"/>
    <mergeCell ref="B9:H9"/>
    <mergeCell ref="I9:T9"/>
    <mergeCell ref="U9:AF9"/>
    <mergeCell ref="B10:H10"/>
    <mergeCell ref="I10:T10"/>
    <mergeCell ref="U10:AF10"/>
    <mergeCell ref="B11:H11"/>
    <mergeCell ref="I11:T11"/>
    <mergeCell ref="U11:AF11"/>
    <mergeCell ref="B12:H12"/>
    <mergeCell ref="I12:T12"/>
    <mergeCell ref="U12:AF12"/>
    <mergeCell ref="B13:H13"/>
    <mergeCell ref="I13:T13"/>
    <mergeCell ref="U13:AF13"/>
    <mergeCell ref="B14:H14"/>
    <mergeCell ref="I14:T14"/>
    <mergeCell ref="U14:AF14"/>
    <mergeCell ref="B15:H15"/>
    <mergeCell ref="I15:T15"/>
    <mergeCell ref="U15:AF15"/>
    <mergeCell ref="B16:H16"/>
    <mergeCell ref="I16:T16"/>
    <mergeCell ref="U16:AF16"/>
    <mergeCell ref="B18:AF18"/>
    <mergeCell ref="B19:W19"/>
    <mergeCell ref="X19:AC19"/>
    <mergeCell ref="B20:W20"/>
    <mergeCell ref="X20:AC20"/>
    <mergeCell ref="B21:W21"/>
    <mergeCell ref="X21:AC21"/>
    <mergeCell ref="B22:W22"/>
    <mergeCell ref="X22:AC22"/>
    <mergeCell ref="B24:W24"/>
    <mergeCell ref="X24:AB24"/>
    <mergeCell ref="B25:W25"/>
    <mergeCell ref="X25:AB25"/>
  </mergeCells>
  <conditionalFormatting sqref="B1: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80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COUNTIF(B4:AG16,"✓")&amp;" correct out of 6 answer cells"</f>
        <v>0 correct out of 6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83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84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85</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IF(T8="","",IF(LOWER(TRIM(T8))=LOWER('Q12.15 Ans'!T8),"✓","✗"))</f>
        <v/>
      </c>
    </row>
    <row r="9" customFormat="false" ht="17.25" hidden="false" customHeight="true" outlineLevel="0" collapsed="false">
      <c r="B9" s="18" t="s">
        <v>86</v>
      </c>
      <c r="C9" s="18"/>
      <c r="D9" s="18"/>
      <c r="E9" s="18"/>
      <c r="F9" s="18"/>
      <c r="G9" s="18"/>
      <c r="H9" s="18"/>
      <c r="I9" s="18"/>
      <c r="J9" s="18"/>
      <c r="K9" s="18"/>
      <c r="L9" s="18"/>
      <c r="M9" s="18"/>
      <c r="N9" s="18"/>
      <c r="O9" s="18"/>
      <c r="P9" s="18"/>
      <c r="Q9" s="18"/>
      <c r="R9" s="18"/>
      <c r="S9" s="18"/>
      <c r="T9" s="20"/>
      <c r="U9" s="20"/>
      <c r="V9" s="20"/>
      <c r="W9" s="20"/>
      <c r="X9" s="20"/>
      <c r="Y9" s="20"/>
      <c r="Z9" s="20"/>
      <c r="AA9" s="20"/>
      <c r="AB9" s="20"/>
      <c r="AC9" s="21" t="str">
        <f aca="false">IF(T9="","",IF(LOWER(TRIM(T9))=LOWER('Q12.15 Ans'!T9),"✓","✗"))</f>
        <v/>
      </c>
    </row>
    <row r="10" customFormat="false" ht="17.25" hidden="false" customHeight="true" outlineLevel="0" collapsed="false">
      <c r="B10" s="18" t="s">
        <v>87</v>
      </c>
      <c r="C10" s="18"/>
      <c r="D10" s="18"/>
      <c r="E10" s="18"/>
      <c r="F10" s="18"/>
      <c r="G10" s="18"/>
      <c r="H10" s="18"/>
      <c r="I10" s="18"/>
      <c r="J10" s="18"/>
      <c r="K10" s="18"/>
      <c r="L10" s="18"/>
      <c r="M10" s="18"/>
      <c r="N10" s="18"/>
      <c r="O10" s="18"/>
      <c r="P10" s="18"/>
      <c r="Q10" s="18"/>
      <c r="R10" s="18"/>
      <c r="S10" s="18"/>
      <c r="T10" s="20"/>
      <c r="U10" s="20"/>
      <c r="V10" s="20"/>
      <c r="W10" s="20"/>
      <c r="X10" s="20"/>
      <c r="Y10" s="20"/>
      <c r="Z10" s="20"/>
      <c r="AA10" s="20"/>
      <c r="AB10" s="20"/>
      <c r="AC10" s="21" t="str">
        <f aca="false">IF(T10="","",IF(LOWER(TRIM(T10))=LOWER('Q12.15 Ans'!T10),"✓","✗"))</f>
        <v/>
      </c>
    </row>
    <row r="11" customFormat="false" ht="17.25" hidden="false" customHeight="true" outlineLevel="0" collapsed="false">
      <c r="B11" s="18" t="s">
        <v>88</v>
      </c>
      <c r="C11" s="18"/>
      <c r="D11" s="18"/>
      <c r="E11" s="18"/>
      <c r="F11" s="18"/>
      <c r="G11" s="18"/>
      <c r="H11" s="18"/>
      <c r="I11" s="18"/>
      <c r="J11" s="18"/>
      <c r="K11" s="18"/>
      <c r="L11" s="18"/>
      <c r="M11" s="18"/>
      <c r="N11" s="18"/>
      <c r="O11" s="18"/>
      <c r="P11" s="18"/>
      <c r="Q11" s="18"/>
      <c r="R11" s="18"/>
      <c r="S11" s="18"/>
      <c r="T11" s="20"/>
      <c r="U11" s="20"/>
      <c r="V11" s="20"/>
      <c r="W11" s="20"/>
      <c r="X11" s="20"/>
      <c r="Y11" s="20"/>
      <c r="Z11" s="20"/>
      <c r="AA11" s="20"/>
      <c r="AB11" s="20"/>
      <c r="AC11" s="21" t="str">
        <f aca="false">IF(T11="","",IF(LOWER(TRIM(T11))=LOWER('Q12.15 Ans'!T11),"✓","✗"))</f>
        <v/>
      </c>
    </row>
    <row r="12" customFormat="false" ht="17.25" hidden="false" customHeight="true" outlineLevel="0" collapsed="false">
      <c r="B12" s="18" t="s">
        <v>89</v>
      </c>
      <c r="C12" s="18"/>
      <c r="D12" s="18"/>
      <c r="E12" s="18"/>
      <c r="F12" s="18"/>
      <c r="G12" s="18"/>
      <c r="H12" s="18"/>
      <c r="I12" s="18"/>
      <c r="J12" s="18"/>
      <c r="K12" s="18"/>
      <c r="L12" s="18"/>
      <c r="M12" s="18"/>
      <c r="N12" s="18"/>
      <c r="O12" s="18"/>
      <c r="P12" s="18"/>
      <c r="Q12" s="18"/>
      <c r="R12" s="18"/>
      <c r="S12" s="18"/>
      <c r="T12" s="20"/>
      <c r="U12" s="20"/>
      <c r="V12" s="20"/>
      <c r="W12" s="20"/>
      <c r="X12" s="20"/>
      <c r="Y12" s="20"/>
      <c r="Z12" s="20"/>
      <c r="AA12" s="20"/>
      <c r="AB12" s="20"/>
      <c r="AC12" s="21" t="str">
        <f aca="false">IF(T12="","",IF(LOWER(TRIM(T12))=LOWER('Q12.15 Ans'!T12),"✓","✗"))</f>
        <v/>
      </c>
    </row>
    <row r="14" customFormat="false" ht="18.75" hidden="false" customHeight="true" outlineLevel="0" collapsed="false">
      <c r="B14" s="3" t="s">
        <v>90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8" t="s">
        <v>91</v>
      </c>
      <c r="C15" s="18"/>
      <c r="D15" s="18"/>
      <c r="E15" s="18"/>
      <c r="F15" s="18"/>
      <c r="G15" s="18"/>
      <c r="H15" s="18"/>
      <c r="I15" s="18"/>
      <c r="J15" s="18"/>
      <c r="K15" s="18"/>
      <c r="L15" s="18"/>
      <c r="M15" s="18"/>
      <c r="N15" s="18"/>
      <c r="O15" s="18"/>
      <c r="P15" s="18"/>
      <c r="Q15" s="18"/>
      <c r="R15" s="18"/>
      <c r="S15" s="18"/>
      <c r="T15" s="20"/>
      <c r="U15" s="20"/>
      <c r="V15" s="20"/>
      <c r="W15" s="20"/>
      <c r="X15" s="20"/>
      <c r="Y15" s="20"/>
      <c r="Z15" s="20"/>
      <c r="AA15" s="20"/>
      <c r="AB15" s="20"/>
      <c r="AC15" s="21" t="str">
        <f aca="false">IF(T15="","",IF(OR(LOWER(TRIM(T15))="relevance",LOWER(TRIM(T15))="reliability",LOWER(TRIM(T15))="comparability",LOWER(TRIM(T15))="understandability"),"✓","✗"))</f>
        <v/>
      </c>
    </row>
  </sheetData>
  <mergeCells count="19">
    <mergeCell ref="B1:AF1"/>
    <mergeCell ref="B2:AF2"/>
    <mergeCell ref="B3:G3"/>
    <mergeCell ref="H3:AF3"/>
    <mergeCell ref="B5:AF5"/>
    <mergeCell ref="B7:AF7"/>
    <mergeCell ref="B8:S8"/>
    <mergeCell ref="T8:AB8"/>
    <mergeCell ref="B9:S9"/>
    <mergeCell ref="T9:AB9"/>
    <mergeCell ref="B10:S10"/>
    <mergeCell ref="T10:AB10"/>
    <mergeCell ref="B11:S11"/>
    <mergeCell ref="T11:AB11"/>
    <mergeCell ref="B12:S12"/>
    <mergeCell ref="T12:AB12"/>
    <mergeCell ref="B14:AF14"/>
    <mergeCell ref="B15:S15"/>
    <mergeCell ref="T15:AB15"/>
  </mergeCells>
  <conditionalFormatting sqref="B4:AG16">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6">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0"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1"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5" type="list">
      <formula1>"Relevance,Reliability,Comparability,Understandability"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92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COUNTIF(B4:AG26,"✓")&amp;" correct out of 4 answer cells"</f>
        <v>0 correct out of 4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93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94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39</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IF(T8="","",IF(LOWER(TRIM(T8))=LOWER('Q12.16 Ans'!T8),"✓","✗"))</f>
        <v/>
      </c>
    </row>
    <row r="9" customFormat="false" ht="16.5" hidden="false" customHeight="true" outlineLevel="0" collapsed="false">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row>
    <row r="10" customFormat="false" ht="16.5" hidden="false" customHeight="true" outlineLevel="0" collapsed="false">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row>
    <row r="12" customFormat="false" ht="18.75" hidden="false" customHeight="true" outlineLevel="0" collapsed="false">
      <c r="B12" s="3" t="s">
        <v>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39</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IF(T13="","",IF(LOWER(TRIM(T13))=LOWER('Q12.16 Ans'!T13),"✓","✗"))</f>
        <v/>
      </c>
    </row>
    <row r="14" customFormat="false" ht="16.5" hidden="false" customHeight="true" outlineLevel="0" collapsed="false">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ustomFormat="false" ht="16.5" hidden="false" customHeight="true" outlineLevel="0" collapsed="false">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7" customFormat="false" ht="18.75" hidden="false" customHeight="true" outlineLevel="0" collapsed="false">
      <c r="B17" s="3" t="s">
        <v>96</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39</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IF(T18="","",IF(LOWER(TRIM(T18))=LOWER('Q12.16 Ans'!T18),"✓","✗"))</f>
        <v/>
      </c>
    </row>
    <row r="19" customFormat="false" ht="16.5" hidden="false" customHeight="true" outlineLevel="0" collapsed="false">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ustomFormat="false" ht="16.5" hidden="false" customHeight="true" outlineLevel="0" collapsed="false">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2" customFormat="false" ht="18.75" hidden="false" customHeight="true" outlineLevel="0" collapsed="false">
      <c r="B22" s="3" t="s">
        <v>97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39</v>
      </c>
      <c r="C23" s="18"/>
      <c r="D23" s="18"/>
      <c r="E23" s="18"/>
      <c r="F23" s="18"/>
      <c r="G23" s="18"/>
      <c r="H23" s="18"/>
      <c r="I23" s="18"/>
      <c r="J23" s="18"/>
      <c r="K23" s="18"/>
      <c r="L23" s="18"/>
      <c r="M23" s="18"/>
      <c r="N23" s="18"/>
      <c r="O23" s="18"/>
      <c r="P23" s="18"/>
      <c r="Q23" s="18"/>
      <c r="R23" s="18"/>
      <c r="S23" s="18"/>
      <c r="T23" s="20"/>
      <c r="U23" s="20"/>
      <c r="V23" s="20"/>
      <c r="W23" s="20"/>
      <c r="X23" s="20"/>
      <c r="Y23" s="20"/>
      <c r="Z23" s="20"/>
      <c r="AA23" s="20"/>
      <c r="AB23" s="20"/>
      <c r="AC23" s="21" t="str">
        <f aca="false">IF(T23="","",IF(LOWER(TRIM(T23))=LOWER('Q12.16 Ans'!T23),"✓","✗"))</f>
        <v/>
      </c>
    </row>
    <row r="24" customFormat="false" ht="16.5" hidden="false" customHeight="true" outlineLevel="0" collapsed="false">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ustomFormat="false" ht="16.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sheetData>
  <mergeCells count="21">
    <mergeCell ref="B1:AF1"/>
    <mergeCell ref="B2:AF2"/>
    <mergeCell ref="B3:G3"/>
    <mergeCell ref="H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s>
  <conditionalFormatting sqref="B4: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4">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3"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98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COUNTIF(B4:AG27,"✓")&amp;" correct out of 11 answer cells"</f>
        <v>0 correct out of 11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99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100</v>
      </c>
      <c r="C6" s="10"/>
      <c r="D6" s="10"/>
      <c r="E6" s="10"/>
      <c r="F6" s="10"/>
      <c r="G6" s="10"/>
      <c r="H6" s="10"/>
      <c r="I6" s="11" t="s">
        <v>101</v>
      </c>
      <c r="J6" s="11"/>
      <c r="K6" s="11"/>
      <c r="L6" s="11"/>
      <c r="M6" s="11"/>
      <c r="N6" s="11"/>
      <c r="O6" s="11"/>
      <c r="P6" s="11"/>
      <c r="Q6" s="11" t="s">
        <v>76</v>
      </c>
      <c r="R6" s="11"/>
      <c r="S6" s="11"/>
      <c r="T6" s="11"/>
      <c r="U6" s="11"/>
      <c r="V6" s="11"/>
      <c r="W6" s="11"/>
      <c r="X6" s="11"/>
      <c r="Y6" s="11" t="s">
        <v>77</v>
      </c>
      <c r="Z6" s="11"/>
      <c r="AA6" s="11"/>
      <c r="AB6" s="11"/>
      <c r="AC6" s="11"/>
      <c r="AD6" s="11"/>
      <c r="AE6" s="11"/>
      <c r="AF6" s="11"/>
    </row>
    <row r="7" customFormat="false" ht="17.25" hidden="false" customHeight="true" outlineLevel="0" collapsed="false">
      <c r="B7" s="12" t="s">
        <v>102</v>
      </c>
      <c r="C7" s="12"/>
      <c r="D7" s="12"/>
      <c r="E7" s="12"/>
      <c r="F7" s="12"/>
      <c r="G7" s="12"/>
      <c r="H7" s="12"/>
      <c r="I7" s="17" t="n">
        <v>1200</v>
      </c>
      <c r="J7" s="17"/>
      <c r="K7" s="17"/>
      <c r="L7" s="17"/>
      <c r="M7" s="17"/>
      <c r="N7" s="17"/>
      <c r="O7" s="17"/>
      <c r="P7" s="17"/>
      <c r="Q7" s="17" t="n">
        <v>1800</v>
      </c>
      <c r="R7" s="17"/>
      <c r="S7" s="17"/>
      <c r="T7" s="17"/>
      <c r="U7" s="17"/>
      <c r="V7" s="17"/>
      <c r="W7" s="17"/>
      <c r="X7" s="17"/>
      <c r="Y7" s="17" t="n">
        <v>100</v>
      </c>
      <c r="Z7" s="17"/>
      <c r="AA7" s="17"/>
      <c r="AB7" s="17"/>
      <c r="AC7" s="17"/>
      <c r="AD7" s="17"/>
      <c r="AE7" s="17"/>
      <c r="AF7" s="17"/>
    </row>
    <row r="8" customFormat="false" ht="17.25" hidden="false" customHeight="true" outlineLevel="0" collapsed="false">
      <c r="B8" s="12" t="s">
        <v>103</v>
      </c>
      <c r="C8" s="12"/>
      <c r="D8" s="12"/>
      <c r="E8" s="12"/>
      <c r="F8" s="12"/>
      <c r="G8" s="12"/>
      <c r="H8" s="12"/>
      <c r="I8" s="17" t="n">
        <v>900</v>
      </c>
      <c r="J8" s="17"/>
      <c r="K8" s="17"/>
      <c r="L8" s="17"/>
      <c r="M8" s="17"/>
      <c r="N8" s="17"/>
      <c r="O8" s="17"/>
      <c r="P8" s="17"/>
      <c r="Q8" s="17" t="n">
        <v>950</v>
      </c>
      <c r="R8" s="17"/>
      <c r="S8" s="17"/>
      <c r="T8" s="17"/>
      <c r="U8" s="17"/>
      <c r="V8" s="17"/>
      <c r="W8" s="17"/>
      <c r="X8" s="17"/>
      <c r="Y8" s="17" t="n">
        <v>200</v>
      </c>
      <c r="Z8" s="17"/>
      <c r="AA8" s="17"/>
      <c r="AB8" s="17"/>
      <c r="AC8" s="17"/>
      <c r="AD8" s="17"/>
      <c r="AE8" s="17"/>
      <c r="AF8" s="17"/>
    </row>
    <row r="9" customFormat="false" ht="17.25" hidden="false" customHeight="true" outlineLevel="0" collapsed="false">
      <c r="B9" s="12" t="s">
        <v>104</v>
      </c>
      <c r="C9" s="12"/>
      <c r="D9" s="12"/>
      <c r="E9" s="12"/>
      <c r="F9" s="12"/>
      <c r="G9" s="12"/>
      <c r="H9" s="12"/>
      <c r="I9" s="17" t="n">
        <v>2000</v>
      </c>
      <c r="J9" s="17"/>
      <c r="K9" s="17"/>
      <c r="L9" s="17"/>
      <c r="M9" s="17"/>
      <c r="N9" s="17"/>
      <c r="O9" s="17"/>
      <c r="P9" s="17"/>
      <c r="Q9" s="17" t="n">
        <v>2500</v>
      </c>
      <c r="R9" s="17"/>
      <c r="S9" s="17"/>
      <c r="T9" s="17"/>
      <c r="U9" s="17"/>
      <c r="V9" s="17"/>
      <c r="W9" s="17"/>
      <c r="X9" s="17"/>
      <c r="Y9" s="17" t="n">
        <v>300</v>
      </c>
      <c r="Z9" s="17"/>
      <c r="AA9" s="17"/>
      <c r="AB9" s="17"/>
      <c r="AC9" s="17"/>
      <c r="AD9" s="17"/>
      <c r="AE9" s="17"/>
      <c r="AF9" s="17"/>
    </row>
    <row r="10" customFormat="false" ht="17.25" hidden="false" customHeight="true" outlineLevel="0" collapsed="false">
      <c r="B10" s="12" t="s">
        <v>105</v>
      </c>
      <c r="C10" s="12"/>
      <c r="D10" s="12"/>
      <c r="E10" s="12"/>
      <c r="F10" s="12"/>
      <c r="G10" s="12"/>
      <c r="H10" s="12"/>
      <c r="I10" s="17" t="n">
        <v>600</v>
      </c>
      <c r="J10" s="17"/>
      <c r="K10" s="17"/>
      <c r="L10" s="17"/>
      <c r="M10" s="17"/>
      <c r="N10" s="17"/>
      <c r="O10" s="17"/>
      <c r="P10" s="17"/>
      <c r="Q10" s="17" t="n">
        <v>250</v>
      </c>
      <c r="R10" s="17"/>
      <c r="S10" s="17"/>
      <c r="T10" s="17"/>
      <c r="U10" s="17"/>
      <c r="V10" s="17"/>
      <c r="W10" s="17"/>
      <c r="X10" s="17"/>
      <c r="Y10" s="17" t="n">
        <v>0</v>
      </c>
      <c r="Z10" s="17"/>
      <c r="AA10" s="17"/>
      <c r="AB10" s="17"/>
      <c r="AC10" s="17"/>
      <c r="AD10" s="17"/>
      <c r="AE10" s="17"/>
      <c r="AF10" s="17"/>
    </row>
    <row r="12" customFormat="false" ht="18.75" hidden="false" customHeight="true" outlineLevel="0" collapsed="false">
      <c r="B12" s="3" t="s">
        <v>106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100</v>
      </c>
      <c r="C13" s="10"/>
      <c r="D13" s="10"/>
      <c r="E13" s="10"/>
      <c r="F13" s="10"/>
      <c r="G13" s="10"/>
      <c r="H13" s="10"/>
      <c r="I13" s="11" t="s">
        <v>78</v>
      </c>
      <c r="J13" s="11"/>
      <c r="K13" s="11"/>
      <c r="L13" s="11"/>
      <c r="M13" s="11"/>
      <c r="N13" s="11"/>
      <c r="O13" s="11"/>
      <c r="P13" s="11"/>
      <c r="Q13" s="11"/>
      <c r="R13" s="11"/>
      <c r="S13" s="11"/>
      <c r="T13" s="11"/>
      <c r="U13" s="11" t="s">
        <v>107</v>
      </c>
      <c r="V13" s="11"/>
      <c r="W13" s="11"/>
      <c r="X13" s="11"/>
      <c r="Y13" s="11"/>
      <c r="Z13" s="11"/>
      <c r="AA13" s="11"/>
      <c r="AB13" s="11"/>
      <c r="AC13" s="11"/>
      <c r="AD13" s="11"/>
      <c r="AE13" s="11"/>
      <c r="AF13" s="11"/>
    </row>
    <row r="14" customFormat="false" ht="17.25" hidden="false" customHeight="true" outlineLevel="0" collapsed="false">
      <c r="B14" s="12" t="s">
        <v>102</v>
      </c>
      <c r="C14" s="12"/>
      <c r="D14" s="12"/>
      <c r="E14" s="12"/>
      <c r="F14" s="12"/>
      <c r="G14" s="12"/>
      <c r="H14" s="12"/>
      <c r="I14" s="23"/>
      <c r="J14" s="23"/>
      <c r="K14" s="23"/>
      <c r="L14" s="23"/>
      <c r="M14" s="23"/>
      <c r="N14" s="23"/>
      <c r="O14" s="23"/>
      <c r="P14" s="23"/>
      <c r="Q14" s="23"/>
      <c r="R14" s="23"/>
      <c r="S14" s="23"/>
      <c r="T14" s="24" t="str">
        <f aca="false">IF(I14="","",IFERROR(IF(ABS(ABS(I14)-ABS('Q12.17 Ans'!I14))&lt;0.5,"✓","✗"),"✗"))</f>
        <v/>
      </c>
      <c r="U14" s="23"/>
      <c r="V14" s="23"/>
      <c r="W14" s="23"/>
      <c r="X14" s="23"/>
      <c r="Y14" s="23"/>
      <c r="Z14" s="23"/>
      <c r="AA14" s="23"/>
      <c r="AB14" s="23"/>
      <c r="AC14" s="23"/>
      <c r="AD14" s="23"/>
      <c r="AE14" s="23"/>
      <c r="AF14" s="24" t="str">
        <f aca="false">IF(U14="","",IFERROR(IF(ABS(ABS(U14)-ABS('Q12.17 Ans'!U14))&lt;0.5,"✓","✗"),"✗"))</f>
        <v/>
      </c>
    </row>
    <row r="15" customFormat="false" ht="17.25" hidden="false" customHeight="true" outlineLevel="0" collapsed="false">
      <c r="B15" s="12" t="s">
        <v>103</v>
      </c>
      <c r="C15" s="12"/>
      <c r="D15" s="12"/>
      <c r="E15" s="12"/>
      <c r="F15" s="12"/>
      <c r="G15" s="12"/>
      <c r="H15" s="12"/>
      <c r="I15" s="23"/>
      <c r="J15" s="23"/>
      <c r="K15" s="23"/>
      <c r="L15" s="23"/>
      <c r="M15" s="23"/>
      <c r="N15" s="23"/>
      <c r="O15" s="23"/>
      <c r="P15" s="23"/>
      <c r="Q15" s="23"/>
      <c r="R15" s="23"/>
      <c r="S15" s="23"/>
      <c r="T15" s="24" t="str">
        <f aca="false">IF(I15="","",IFERROR(IF(ABS(ABS(I15)-ABS('Q12.17 Ans'!I15))&lt;0.5,"✓","✗"),"✗"))</f>
        <v/>
      </c>
      <c r="U15" s="23"/>
      <c r="V15" s="23"/>
      <c r="W15" s="23"/>
      <c r="X15" s="23"/>
      <c r="Y15" s="23"/>
      <c r="Z15" s="23"/>
      <c r="AA15" s="23"/>
      <c r="AB15" s="23"/>
      <c r="AC15" s="23"/>
      <c r="AD15" s="23"/>
      <c r="AE15" s="23"/>
      <c r="AF15" s="24" t="str">
        <f aca="false">IF(U15="","",IFERROR(IF(ABS(ABS(U15)-ABS('Q12.17 Ans'!U15))&lt;0.5,"✓","✗"),"✗"))</f>
        <v/>
      </c>
    </row>
    <row r="16" customFormat="false" ht="17.25" hidden="false" customHeight="true" outlineLevel="0" collapsed="false">
      <c r="B16" s="12" t="s">
        <v>104</v>
      </c>
      <c r="C16" s="12"/>
      <c r="D16" s="12"/>
      <c r="E16" s="12"/>
      <c r="F16" s="12"/>
      <c r="G16" s="12"/>
      <c r="H16" s="12"/>
      <c r="I16" s="23"/>
      <c r="J16" s="23"/>
      <c r="K16" s="23"/>
      <c r="L16" s="23"/>
      <c r="M16" s="23"/>
      <c r="N16" s="23"/>
      <c r="O16" s="23"/>
      <c r="P16" s="23"/>
      <c r="Q16" s="23"/>
      <c r="R16" s="23"/>
      <c r="S16" s="23"/>
      <c r="T16" s="24" t="str">
        <f aca="false">IF(I16="","",IFERROR(IF(ABS(ABS(I16)-ABS('Q12.17 Ans'!I16))&lt;0.5,"✓","✗"),"✗"))</f>
        <v/>
      </c>
      <c r="U16" s="23"/>
      <c r="V16" s="23"/>
      <c r="W16" s="23"/>
      <c r="X16" s="23"/>
      <c r="Y16" s="23"/>
      <c r="Z16" s="23"/>
      <c r="AA16" s="23"/>
      <c r="AB16" s="23"/>
      <c r="AC16" s="23"/>
      <c r="AD16" s="23"/>
      <c r="AE16" s="23"/>
      <c r="AF16" s="24" t="str">
        <f aca="false">IF(U16="","",IFERROR(IF(ABS(ABS(U16)-ABS('Q12.17 Ans'!U16))&lt;0.5,"✓","✗"),"✗"))</f>
        <v/>
      </c>
    </row>
    <row r="17" customFormat="false" ht="17.25" hidden="false" customHeight="true" outlineLevel="0" collapsed="false">
      <c r="B17" s="12" t="s">
        <v>105</v>
      </c>
      <c r="C17" s="12"/>
      <c r="D17" s="12"/>
      <c r="E17" s="12"/>
      <c r="F17" s="12"/>
      <c r="G17" s="12"/>
      <c r="H17" s="12"/>
      <c r="I17" s="23"/>
      <c r="J17" s="23"/>
      <c r="K17" s="23"/>
      <c r="L17" s="23"/>
      <c r="M17" s="23"/>
      <c r="N17" s="23"/>
      <c r="O17" s="23"/>
      <c r="P17" s="23"/>
      <c r="Q17" s="23"/>
      <c r="R17" s="23"/>
      <c r="S17" s="23"/>
      <c r="T17" s="24" t="str">
        <f aca="false">IF(I17="","",IFERROR(IF(ABS(ABS(I17)-ABS('Q12.17 Ans'!I17))&lt;0.5,"✓","✗"),"✗"))</f>
        <v/>
      </c>
      <c r="U17" s="23"/>
      <c r="V17" s="23"/>
      <c r="W17" s="23"/>
      <c r="X17" s="23"/>
      <c r="Y17" s="23"/>
      <c r="Z17" s="23"/>
      <c r="AA17" s="23"/>
      <c r="AB17" s="23"/>
      <c r="AC17" s="23"/>
      <c r="AD17" s="23"/>
      <c r="AE17" s="23"/>
      <c r="AF17" s="24" t="str">
        <f aca="false">IF(U17="","",IFERROR(IF(ABS(ABS(U17)-ABS('Q12.17 Ans'!U17))&lt;0.5,"✓","✗"),"✗"))</f>
        <v/>
      </c>
    </row>
    <row r="18" customFormat="false" ht="17.25" hidden="false" customHeight="true" outlineLevel="0" collapsed="false">
      <c r="B18" s="25" t="s">
        <v>108</v>
      </c>
      <c r="C18" s="25"/>
      <c r="D18" s="25"/>
      <c r="E18" s="25"/>
      <c r="F18" s="25"/>
      <c r="G18" s="25"/>
      <c r="H18" s="25"/>
      <c r="I18" s="26"/>
      <c r="J18" s="26"/>
      <c r="K18" s="26"/>
      <c r="L18" s="26"/>
      <c r="M18" s="26"/>
      <c r="N18" s="26"/>
      <c r="O18" s="26"/>
      <c r="P18" s="26"/>
      <c r="Q18" s="26"/>
      <c r="R18" s="26"/>
      <c r="S18" s="26"/>
      <c r="T18" s="26"/>
      <c r="U18" s="27"/>
      <c r="V18" s="27"/>
      <c r="W18" s="27"/>
      <c r="X18" s="27"/>
      <c r="Y18" s="27"/>
      <c r="Z18" s="27"/>
      <c r="AA18" s="27"/>
      <c r="AB18" s="27"/>
      <c r="AC18" s="27"/>
      <c r="AD18" s="27"/>
      <c r="AE18" s="27"/>
      <c r="AF18" s="24" t="str">
        <f aca="false">IF(U18="","",IFERROR(IF(ABS(ABS(U18)-ABS('Q12.17 Ans'!U18))&lt;0.5,"✓","✗"),"✗"))</f>
        <v/>
      </c>
    </row>
    <row r="20" customFormat="false" ht="18.75" hidden="false" customHeight="true" outlineLevel="0" collapsed="false">
      <c r="B20" s="3" t="s">
        <v>109</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18" t="s">
        <v>110</v>
      </c>
      <c r="C21" s="18"/>
      <c r="D21" s="18"/>
      <c r="E21" s="18"/>
      <c r="F21" s="18"/>
      <c r="G21" s="18"/>
      <c r="H21" s="18"/>
      <c r="I21" s="18"/>
      <c r="J21" s="18"/>
      <c r="K21" s="18"/>
      <c r="L21" s="18"/>
      <c r="M21" s="18"/>
      <c r="N21" s="18"/>
      <c r="O21" s="18"/>
      <c r="P21" s="18"/>
      <c r="Q21" s="18"/>
      <c r="R21" s="18"/>
      <c r="S21" s="18"/>
      <c r="T21" s="18"/>
      <c r="U21" s="18"/>
      <c r="V21" s="18"/>
      <c r="W21" s="18"/>
      <c r="X21" s="23"/>
      <c r="Y21" s="23"/>
      <c r="Z21" s="23"/>
      <c r="AA21" s="23"/>
      <c r="AB21" s="23"/>
      <c r="AC21" s="28" t="str">
        <f aca="false">IF(X21="","",IFERROR(IF(ABS(ABS(X21)-ABS('Q12.17 Ans'!X21))&lt;0.5,"✓","✗"),"✗"))</f>
        <v/>
      </c>
    </row>
    <row r="23" customFormat="false" ht="18.75" hidden="false" customHeight="true" outlineLevel="0" collapsed="false">
      <c r="B23" s="3" t="s">
        <v>111</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ustomFormat="false" ht="17.25" hidden="false" customHeight="true" outlineLevel="0" collapsed="false">
      <c r="B24" s="18" t="s">
        <v>39</v>
      </c>
      <c r="C24" s="18"/>
      <c r="D24" s="18"/>
      <c r="E24" s="18"/>
      <c r="F24" s="18"/>
      <c r="G24" s="18"/>
      <c r="H24" s="18"/>
      <c r="I24" s="18"/>
      <c r="J24" s="18"/>
      <c r="K24" s="18"/>
      <c r="L24" s="18"/>
      <c r="M24" s="18"/>
      <c r="N24" s="18"/>
      <c r="O24" s="18"/>
      <c r="P24" s="18"/>
      <c r="Q24" s="18"/>
      <c r="R24" s="18"/>
      <c r="S24" s="18"/>
      <c r="T24" s="20"/>
      <c r="U24" s="20"/>
      <c r="V24" s="20"/>
      <c r="W24" s="20"/>
      <c r="X24" s="20"/>
      <c r="Y24" s="20"/>
      <c r="Z24" s="20"/>
      <c r="AA24" s="20"/>
      <c r="AB24" s="20"/>
      <c r="AC24" s="21" t="str">
        <f aca="false">IF(T24="","",IF(LOWER(TRIM(T24))=LOWER('Q12.17 Ans'!T24),"✓","✗"))</f>
        <v/>
      </c>
    </row>
    <row r="25" customFormat="false" ht="17.2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6" customFormat="false" ht="17.25" hidden="false" customHeight="true" outlineLevel="0" collapsed="false">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row>
  </sheetData>
  <mergeCells count="51">
    <mergeCell ref="B1:AF1"/>
    <mergeCell ref="B2:AF2"/>
    <mergeCell ref="B3:G3"/>
    <mergeCell ref="H3:AF3"/>
    <mergeCell ref="B5:AF5"/>
    <mergeCell ref="B6:H6"/>
    <mergeCell ref="I6:P6"/>
    <mergeCell ref="Q6:X6"/>
    <mergeCell ref="Y6:AF6"/>
    <mergeCell ref="B7:H7"/>
    <mergeCell ref="I7:P7"/>
    <mergeCell ref="Q7:X7"/>
    <mergeCell ref="Y7:AF7"/>
    <mergeCell ref="B8:H8"/>
    <mergeCell ref="I8:P8"/>
    <mergeCell ref="Q8:X8"/>
    <mergeCell ref="Y8:AF8"/>
    <mergeCell ref="B9:H9"/>
    <mergeCell ref="I9:P9"/>
    <mergeCell ref="Q9:X9"/>
    <mergeCell ref="Y9:AF9"/>
    <mergeCell ref="B10:H10"/>
    <mergeCell ref="I10:P10"/>
    <mergeCell ref="Q10:X10"/>
    <mergeCell ref="Y10:AF10"/>
    <mergeCell ref="B12:AF12"/>
    <mergeCell ref="B13:H13"/>
    <mergeCell ref="I13:T13"/>
    <mergeCell ref="U13:AF13"/>
    <mergeCell ref="B14:H14"/>
    <mergeCell ref="I14:S14"/>
    <mergeCell ref="U14:AE14"/>
    <mergeCell ref="B15:H15"/>
    <mergeCell ref="I15:S15"/>
    <mergeCell ref="U15:AE15"/>
    <mergeCell ref="B16:H16"/>
    <mergeCell ref="I16:S16"/>
    <mergeCell ref="U16:AE16"/>
    <mergeCell ref="B17:H17"/>
    <mergeCell ref="I17:S17"/>
    <mergeCell ref="U17:AE17"/>
    <mergeCell ref="B18:H18"/>
    <mergeCell ref="I18:T18"/>
    <mergeCell ref="U18:AE18"/>
    <mergeCell ref="B20:AF20"/>
    <mergeCell ref="B21:W21"/>
    <mergeCell ref="X21:AB21"/>
    <mergeCell ref="B23:AF23"/>
    <mergeCell ref="B24:S24"/>
    <mergeCell ref="T24:AB24"/>
    <mergeCell ref="B25:AF26"/>
  </mergeCells>
  <conditionalFormatting sqref="B4: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
    <dataValidation allowBlank="true" errorStyle="stop" operator="between" showDropDown="false" showErrorMessage="false" showInputMessage="false" sqref="T24"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112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COUNTIF(B4:AG31,"✓")&amp;" correct out of 5 answer cells"</f>
        <v>0 correct out of 5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113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114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115</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IF(T8="","",IF(LOWER(TRIM(T8))=LOWER('Q12.18 Ans'!T8),"✓","✗"))</f>
        <v/>
      </c>
    </row>
    <row r="9" customFormat="false" ht="17.25" hidden="false" customHeight="true" outlineLevel="0" collapsed="false">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row>
    <row r="10" customFormat="false" ht="17.25" hidden="false" customHeight="true" outlineLevel="0" collapsed="false">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row>
    <row r="12" customFormat="false" ht="18.75" hidden="false" customHeight="true" outlineLevel="0" collapsed="false">
      <c r="B12" s="3" t="s">
        <v>116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115</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IF(T13="","",IF(LOWER(TRIM(T13))=LOWER('Q12.18 Ans'!T13),"✓","✗"))</f>
        <v/>
      </c>
    </row>
    <row r="14" customFormat="false" ht="17.25" hidden="false" customHeight="true" outlineLevel="0" collapsed="false">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ustomFormat="false" ht="17.25" hidden="false" customHeight="true" outlineLevel="0" collapsed="false">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7" customFormat="false" ht="18.75" hidden="false" customHeight="true" outlineLevel="0" collapsed="false">
      <c r="B17" s="3" t="s">
        <v>117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115</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IF(T18="","",IF(LOWER(TRIM(T18))=LOWER('Q12.18 Ans'!T18),"✓","✗"))</f>
        <v/>
      </c>
    </row>
    <row r="19" customFormat="false" ht="17.25" hidden="false" customHeight="true" outlineLevel="0" collapsed="false">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ustomFormat="false" ht="17.25" hidden="false" customHeight="true" outlineLevel="0" collapsed="false">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2" customFormat="false" ht="18.75" hidden="false" customHeight="true" outlineLevel="0" collapsed="false">
      <c r="B22" s="3" t="s">
        <v>118</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115</v>
      </c>
      <c r="C23" s="18"/>
      <c r="D23" s="18"/>
      <c r="E23" s="18"/>
      <c r="F23" s="18"/>
      <c r="G23" s="18"/>
      <c r="H23" s="18"/>
      <c r="I23" s="18"/>
      <c r="J23" s="18"/>
      <c r="K23" s="18"/>
      <c r="L23" s="18"/>
      <c r="M23" s="18"/>
      <c r="N23" s="18"/>
      <c r="O23" s="18"/>
      <c r="P23" s="18"/>
      <c r="Q23" s="18"/>
      <c r="R23" s="18"/>
      <c r="S23" s="18"/>
      <c r="T23" s="20"/>
      <c r="U23" s="20"/>
      <c r="V23" s="20"/>
      <c r="W23" s="20"/>
      <c r="X23" s="20"/>
      <c r="Y23" s="20"/>
      <c r="Z23" s="20"/>
      <c r="AA23" s="20"/>
      <c r="AB23" s="20"/>
      <c r="AC23" s="21" t="str">
        <f aca="false">IF(T23="","",IF(LOWER(TRIM(T23))=LOWER('Q12.18 Ans'!T23),"✓","✗"))</f>
        <v/>
      </c>
    </row>
    <row r="24" customFormat="false" ht="17.25" hidden="false" customHeight="true" outlineLevel="0" collapsed="false">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ustomFormat="false" ht="17.25" hidden="false" customHeight="true" outlineLevel="0" collapsed="false">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7" customFormat="false" ht="18.75" hidden="false" customHeight="true" outlineLevel="0" collapsed="false">
      <c r="B27" s="3" t="s">
        <v>119</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8" t="s">
        <v>115</v>
      </c>
      <c r="C28" s="18"/>
      <c r="D28" s="18"/>
      <c r="E28" s="18"/>
      <c r="F28" s="18"/>
      <c r="G28" s="18"/>
      <c r="H28" s="18"/>
      <c r="I28" s="18"/>
      <c r="J28" s="18"/>
      <c r="K28" s="18"/>
      <c r="L28" s="18"/>
      <c r="M28" s="18"/>
      <c r="N28" s="18"/>
      <c r="O28" s="18"/>
      <c r="P28" s="18"/>
      <c r="Q28" s="18"/>
      <c r="R28" s="18"/>
      <c r="S28" s="18"/>
      <c r="T28" s="20"/>
      <c r="U28" s="20"/>
      <c r="V28" s="20"/>
      <c r="W28" s="20"/>
      <c r="X28" s="20"/>
      <c r="Y28" s="20"/>
      <c r="Z28" s="20"/>
      <c r="AA28" s="20"/>
      <c r="AB28" s="20"/>
      <c r="AC28" s="21" t="str">
        <f aca="false">IF(T28="","",IF(OR(LOWER(TRIM(T28))="historical cost",LOWER(TRIM(T28))="prudence",LOWER(TRIM(T28))="realisation"),"✓","✗"))</f>
        <v/>
      </c>
    </row>
    <row r="29" customFormat="false" ht="17.25" hidden="false" customHeight="true" outlineLevel="0" collapsed="false">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0" customFormat="false" ht="17.25" hidden="false" customHeight="true" outlineLevel="0" collapsed="false">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row>
  </sheetData>
  <mergeCells count="25">
    <mergeCell ref="B1:AF1"/>
    <mergeCell ref="B2:AF2"/>
    <mergeCell ref="B3:G3"/>
    <mergeCell ref="H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 ref="B27:AF27"/>
    <mergeCell ref="B28:S28"/>
    <mergeCell ref="T28:AB28"/>
    <mergeCell ref="B29:AF30"/>
  </mergeCells>
  <conditionalFormatting sqref="B4: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5">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8"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120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COUNTIF(B4:AG40,"✓")&amp;" correct out of 7 answer cells"</f>
        <v>0 correct out of 7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121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100</v>
      </c>
      <c r="C6" s="10"/>
      <c r="D6" s="10"/>
      <c r="E6" s="10"/>
      <c r="F6" s="10"/>
      <c r="G6" s="10"/>
      <c r="H6" s="10"/>
      <c r="I6" s="10"/>
      <c r="J6" s="10"/>
      <c r="K6" s="10"/>
      <c r="L6" s="10"/>
      <c r="M6" s="10"/>
      <c r="N6" s="10"/>
      <c r="O6" s="11" t="s">
        <v>122</v>
      </c>
      <c r="P6" s="11"/>
      <c r="Q6" s="11"/>
      <c r="R6" s="11"/>
      <c r="S6" s="11"/>
      <c r="T6" s="11"/>
      <c r="U6" s="11"/>
      <c r="V6" s="11"/>
      <c r="W6" s="11"/>
      <c r="X6" s="11" t="s">
        <v>123</v>
      </c>
      <c r="Y6" s="11"/>
      <c r="Z6" s="11"/>
      <c r="AA6" s="11"/>
      <c r="AB6" s="11"/>
      <c r="AC6" s="11"/>
      <c r="AD6" s="11"/>
      <c r="AE6" s="11"/>
      <c r="AF6" s="11"/>
    </row>
    <row r="7" customFormat="false" ht="17.25" hidden="false" customHeight="true" outlineLevel="0" collapsed="false">
      <c r="B7" s="12" t="s">
        <v>124</v>
      </c>
      <c r="C7" s="12"/>
      <c r="D7" s="12"/>
      <c r="E7" s="12"/>
      <c r="F7" s="12"/>
      <c r="G7" s="12"/>
      <c r="H7" s="12"/>
      <c r="I7" s="12"/>
      <c r="J7" s="12"/>
      <c r="K7" s="12"/>
      <c r="L7" s="12"/>
      <c r="M7" s="12"/>
      <c r="N7" s="12"/>
      <c r="O7" s="17" t="n">
        <v>80000</v>
      </c>
      <c r="P7" s="17"/>
      <c r="Q7" s="17"/>
      <c r="R7" s="17"/>
      <c r="S7" s="17"/>
      <c r="T7" s="17"/>
      <c r="U7" s="17"/>
      <c r="V7" s="17"/>
      <c r="W7" s="17"/>
      <c r="X7" s="17" t="n">
        <v>95000</v>
      </c>
      <c r="Y7" s="17"/>
      <c r="Z7" s="17"/>
      <c r="AA7" s="17"/>
      <c r="AB7" s="17"/>
      <c r="AC7" s="17"/>
      <c r="AD7" s="17"/>
      <c r="AE7" s="17"/>
      <c r="AF7" s="17"/>
    </row>
    <row r="8" customFormat="false" ht="17.25" hidden="false" customHeight="true" outlineLevel="0" collapsed="false">
      <c r="B8" s="12" t="s">
        <v>125</v>
      </c>
      <c r="C8" s="12"/>
      <c r="D8" s="12"/>
      <c r="E8" s="12"/>
      <c r="F8" s="12"/>
      <c r="G8" s="12"/>
      <c r="H8" s="12"/>
      <c r="I8" s="12"/>
      <c r="J8" s="12"/>
      <c r="K8" s="12"/>
      <c r="L8" s="12"/>
      <c r="M8" s="12"/>
      <c r="N8" s="12"/>
      <c r="O8" s="17" t="n">
        <v>20000</v>
      </c>
      <c r="P8" s="17"/>
      <c r="Q8" s="17"/>
      <c r="R8" s="17"/>
      <c r="S8" s="17"/>
      <c r="T8" s="17"/>
      <c r="U8" s="17"/>
      <c r="V8" s="17"/>
      <c r="W8" s="17"/>
      <c r="X8" s="17" t="n">
        <v>6000</v>
      </c>
      <c r="Y8" s="17"/>
      <c r="Z8" s="17"/>
      <c r="AA8" s="17"/>
      <c r="AB8" s="17"/>
      <c r="AC8" s="17"/>
      <c r="AD8" s="17"/>
      <c r="AE8" s="17"/>
      <c r="AF8" s="17"/>
    </row>
    <row r="9" customFormat="false" ht="17.25" hidden="false" customHeight="true" outlineLevel="0" collapsed="false">
      <c r="B9" s="12" t="s">
        <v>126</v>
      </c>
      <c r="C9" s="12"/>
      <c r="D9" s="12"/>
      <c r="E9" s="12"/>
      <c r="F9" s="12"/>
      <c r="G9" s="12"/>
      <c r="H9" s="12"/>
      <c r="I9" s="12"/>
      <c r="J9" s="12"/>
      <c r="K9" s="12"/>
      <c r="L9" s="12"/>
      <c r="M9" s="12"/>
      <c r="N9" s="12"/>
      <c r="O9" s="17" t="n">
        <v>15000</v>
      </c>
      <c r="P9" s="17"/>
      <c r="Q9" s="17"/>
      <c r="R9" s="17"/>
      <c r="S9" s="17"/>
      <c r="T9" s="17"/>
      <c r="U9" s="17"/>
      <c r="V9" s="17"/>
      <c r="W9" s="17"/>
      <c r="X9" s="17" t="n">
        <v>9000</v>
      </c>
      <c r="Y9" s="17"/>
      <c r="Z9" s="17"/>
      <c r="AA9" s="17"/>
      <c r="AB9" s="17"/>
      <c r="AC9" s="17"/>
      <c r="AD9" s="17"/>
      <c r="AE9" s="17"/>
      <c r="AF9" s="17"/>
    </row>
    <row r="10" customFormat="false" ht="17.25" hidden="false" customHeight="true" outlineLevel="0" collapsed="false">
      <c r="B10" s="12" t="s">
        <v>127</v>
      </c>
      <c r="C10" s="12"/>
      <c r="D10" s="12"/>
      <c r="E10" s="12"/>
      <c r="F10" s="12"/>
      <c r="G10" s="12"/>
      <c r="H10" s="12"/>
      <c r="I10" s="12"/>
      <c r="J10" s="12"/>
      <c r="K10" s="12"/>
      <c r="L10" s="12"/>
      <c r="M10" s="12"/>
      <c r="N10" s="12"/>
      <c r="O10" s="17" t="n">
        <v>12000</v>
      </c>
      <c r="P10" s="17"/>
      <c r="Q10" s="17"/>
      <c r="R10" s="17"/>
      <c r="S10" s="17"/>
      <c r="T10" s="17"/>
      <c r="U10" s="17"/>
      <c r="V10" s="17"/>
      <c r="W10" s="17"/>
      <c r="X10" s="17" t="n">
        <v>10500</v>
      </c>
      <c r="Y10" s="17"/>
      <c r="Z10" s="17"/>
      <c r="AA10" s="17"/>
      <c r="AB10" s="17"/>
      <c r="AC10" s="17"/>
      <c r="AD10" s="17"/>
      <c r="AE10" s="17"/>
      <c r="AF10" s="17"/>
    </row>
    <row r="11" customFormat="false" ht="17.25" hidden="false" customHeight="true" outlineLevel="0" collapsed="false">
      <c r="B11" s="12" t="s">
        <v>128</v>
      </c>
      <c r="C11" s="12"/>
      <c r="D11" s="12"/>
      <c r="E11" s="12"/>
      <c r="F11" s="12"/>
      <c r="G11" s="12"/>
      <c r="H11" s="12"/>
      <c r="I11" s="12"/>
      <c r="J11" s="12"/>
      <c r="K11" s="12"/>
      <c r="L11" s="12"/>
      <c r="M11" s="12"/>
      <c r="N11" s="12"/>
      <c r="O11" s="17" t="n">
        <v>600</v>
      </c>
      <c r="P11" s="17"/>
      <c r="Q11" s="17"/>
      <c r="R11" s="17"/>
      <c r="S11" s="17"/>
      <c r="T11" s="17"/>
      <c r="U11" s="17"/>
      <c r="V11" s="17"/>
      <c r="W11" s="17"/>
      <c r="X11" s="13" t="s">
        <v>129</v>
      </c>
      <c r="Y11" s="13"/>
      <c r="Z11" s="13"/>
      <c r="AA11" s="13"/>
      <c r="AB11" s="13"/>
      <c r="AC11" s="13"/>
      <c r="AD11" s="13"/>
      <c r="AE11" s="13"/>
      <c r="AF11" s="13"/>
    </row>
    <row r="12" customFormat="false" ht="17.25" hidden="false" customHeight="true" outlineLevel="0" collapsed="false">
      <c r="B12" s="12" t="s">
        <v>130</v>
      </c>
      <c r="C12" s="12"/>
      <c r="D12" s="12"/>
      <c r="E12" s="12"/>
      <c r="F12" s="12"/>
      <c r="G12" s="12"/>
      <c r="H12" s="12"/>
      <c r="I12" s="12"/>
      <c r="J12" s="12"/>
      <c r="K12" s="12"/>
      <c r="L12" s="12"/>
      <c r="M12" s="12"/>
      <c r="N12" s="12"/>
      <c r="O12" s="17" t="n">
        <v>3000</v>
      </c>
      <c r="P12" s="17"/>
      <c r="Q12" s="17"/>
      <c r="R12" s="17"/>
      <c r="S12" s="17"/>
      <c r="T12" s="17"/>
      <c r="U12" s="17"/>
      <c r="V12" s="17"/>
      <c r="W12" s="17"/>
      <c r="X12" s="17" t="n">
        <v>3000</v>
      </c>
      <c r="Y12" s="17"/>
      <c r="Z12" s="17"/>
      <c r="AA12" s="17"/>
      <c r="AB12" s="17"/>
      <c r="AC12" s="17"/>
      <c r="AD12" s="17"/>
      <c r="AE12" s="17"/>
      <c r="AF12" s="17"/>
    </row>
    <row r="13" customFormat="false" ht="17.25" hidden="false" customHeight="true" outlineLevel="0" collapsed="false">
      <c r="B13" s="12" t="s">
        <v>131</v>
      </c>
      <c r="C13" s="12"/>
      <c r="D13" s="12"/>
      <c r="E13" s="12"/>
      <c r="F13" s="12"/>
      <c r="G13" s="12"/>
      <c r="H13" s="12"/>
      <c r="I13" s="12"/>
      <c r="J13" s="12"/>
      <c r="K13" s="12"/>
      <c r="L13" s="12"/>
      <c r="M13" s="12"/>
      <c r="N13" s="12"/>
      <c r="O13" s="17" t="n">
        <v>8000</v>
      </c>
      <c r="P13" s="17"/>
      <c r="Q13" s="17"/>
      <c r="R13" s="17"/>
      <c r="S13" s="17"/>
      <c r="T13" s="17"/>
      <c r="U13" s="17"/>
      <c r="V13" s="17"/>
      <c r="W13" s="17"/>
      <c r="X13" s="17" t="n">
        <v>8000</v>
      </c>
      <c r="Y13" s="17"/>
      <c r="Z13" s="17"/>
      <c r="AA13" s="17"/>
      <c r="AB13" s="17"/>
      <c r="AC13" s="17"/>
      <c r="AD13" s="17"/>
      <c r="AE13" s="17"/>
      <c r="AF13" s="17"/>
    </row>
    <row r="14" customFormat="false" ht="17.25" hidden="false" customHeight="true" outlineLevel="0" collapsed="false">
      <c r="B14" s="12" t="s">
        <v>132</v>
      </c>
      <c r="C14" s="12"/>
      <c r="D14" s="12"/>
      <c r="E14" s="12"/>
      <c r="F14" s="12"/>
      <c r="G14" s="12"/>
      <c r="H14" s="12"/>
      <c r="I14" s="12"/>
      <c r="J14" s="12"/>
      <c r="K14" s="12"/>
      <c r="L14" s="12"/>
      <c r="M14" s="12"/>
      <c r="N14" s="12"/>
      <c r="O14" s="17" t="n">
        <v>25000</v>
      </c>
      <c r="P14" s="17"/>
      <c r="Q14" s="17"/>
      <c r="R14" s="17"/>
      <c r="S14" s="17"/>
      <c r="T14" s="17"/>
      <c r="U14" s="17"/>
      <c r="V14" s="17"/>
      <c r="W14" s="17"/>
      <c r="X14" s="17" t="n">
        <v>25000</v>
      </c>
      <c r="Y14" s="17"/>
      <c r="Z14" s="17"/>
      <c r="AA14" s="17"/>
      <c r="AB14" s="17"/>
      <c r="AC14" s="17"/>
      <c r="AD14" s="17"/>
      <c r="AE14" s="17"/>
      <c r="AF14" s="17"/>
    </row>
    <row r="15" customFormat="false" ht="16.5" hidden="false" customHeight="true" outlineLevel="0" collapsed="false">
      <c r="B15" s="4" t="s">
        <v>133</v>
      </c>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7" customFormat="false" ht="18.75" hidden="false" customHeight="true" outlineLevel="0" collapsed="false">
      <c r="B17" s="3" t="s">
        <v>134</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135</v>
      </c>
      <c r="C18" s="18"/>
      <c r="D18" s="18"/>
      <c r="E18" s="18"/>
      <c r="F18" s="18"/>
      <c r="G18" s="18"/>
      <c r="H18" s="18"/>
      <c r="I18" s="18"/>
      <c r="J18" s="18"/>
      <c r="K18" s="18"/>
      <c r="L18" s="18"/>
      <c r="M18" s="18"/>
      <c r="N18" s="18"/>
      <c r="O18" s="18"/>
      <c r="P18" s="18"/>
      <c r="Q18" s="18"/>
      <c r="R18" s="18"/>
      <c r="S18" s="18"/>
      <c r="T18" s="18"/>
      <c r="U18" s="18"/>
      <c r="V18" s="18"/>
      <c r="W18" s="18"/>
      <c r="X18" s="23"/>
      <c r="Y18" s="23"/>
      <c r="Z18" s="23"/>
      <c r="AA18" s="23"/>
      <c r="AB18" s="23"/>
      <c r="AC18" s="28" t="str">
        <f aca="false">IF(X18="","",IFERROR(IF(ABS(ABS(X18)-ABS('Q12.19 Ans'!X18))&lt;0.5,"✓","✗"),"✗"))</f>
        <v/>
      </c>
    </row>
    <row r="19" customFormat="false" ht="17.25" hidden="false" customHeight="true" outlineLevel="0" collapsed="false">
      <c r="B19" s="18" t="s">
        <v>136</v>
      </c>
      <c r="C19" s="18"/>
      <c r="D19" s="18"/>
      <c r="E19" s="18"/>
      <c r="F19" s="18"/>
      <c r="G19" s="18"/>
      <c r="H19" s="18"/>
      <c r="I19" s="18"/>
      <c r="J19" s="18"/>
      <c r="K19" s="18"/>
      <c r="L19" s="18"/>
      <c r="M19" s="18"/>
      <c r="N19" s="18"/>
      <c r="O19" s="18"/>
      <c r="P19" s="18"/>
      <c r="Q19" s="18"/>
      <c r="R19" s="18"/>
      <c r="S19" s="18"/>
      <c r="T19" s="18"/>
      <c r="U19" s="18"/>
      <c r="V19" s="18"/>
      <c r="W19" s="18"/>
      <c r="X19" s="23"/>
      <c r="Y19" s="23"/>
      <c r="Z19" s="23"/>
      <c r="AA19" s="23"/>
      <c r="AB19" s="23"/>
      <c r="AC19" s="28" t="str">
        <f aca="false">IF(X19="","",IFERROR(IF(ABS(ABS(X19)-ABS('Q12.19 Ans'!X19))&lt;0.5,"✓","✗"),"✗"))</f>
        <v/>
      </c>
    </row>
    <row r="21" customFormat="false" ht="18.75" hidden="false" customHeight="true" outlineLevel="0" collapsed="false">
      <c r="B21" s="3" t="s">
        <v>137</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8" t="s">
        <v>138</v>
      </c>
      <c r="C22" s="18"/>
      <c r="D22" s="18"/>
      <c r="E22" s="18"/>
      <c r="F22" s="18"/>
      <c r="G22" s="18"/>
      <c r="H22" s="18"/>
      <c r="I22" s="18"/>
      <c r="J22" s="18"/>
      <c r="K22" s="18"/>
      <c r="L22" s="18"/>
      <c r="M22" s="18"/>
      <c r="N22" s="18"/>
      <c r="O22" s="18"/>
      <c r="P22" s="18"/>
      <c r="Q22" s="18"/>
      <c r="R22" s="18"/>
      <c r="S22" s="18"/>
      <c r="T22" s="18"/>
      <c r="U22" s="18"/>
      <c r="V22" s="18"/>
      <c r="W22" s="18"/>
      <c r="X22" s="23"/>
      <c r="Y22" s="23"/>
      <c r="Z22" s="23"/>
      <c r="AA22" s="23"/>
      <c r="AB22" s="23"/>
      <c r="AC22" s="28" t="str">
        <f aca="false">IF(X22="","",IFERROR(IF(ABS(ABS(X22)-ABS('Q12.19 Ans'!X22))&lt;0.5,"✓","✗"),"✗"))</f>
        <v/>
      </c>
    </row>
    <row r="23" customFormat="false" ht="17.25" hidden="false" customHeight="true" outlineLevel="0" collapsed="false">
      <c r="B23" s="18" t="s">
        <v>139</v>
      </c>
      <c r="C23" s="18"/>
      <c r="D23" s="18"/>
      <c r="E23" s="18"/>
      <c r="F23" s="18"/>
      <c r="G23" s="18"/>
      <c r="H23" s="18"/>
      <c r="I23" s="18"/>
      <c r="J23" s="18"/>
      <c r="K23" s="18"/>
      <c r="L23" s="18"/>
      <c r="M23" s="18"/>
      <c r="N23" s="18"/>
      <c r="O23" s="18"/>
      <c r="P23" s="18"/>
      <c r="Q23" s="18"/>
      <c r="R23" s="18"/>
      <c r="S23" s="18"/>
      <c r="T23" s="18"/>
      <c r="U23" s="18"/>
      <c r="V23" s="18"/>
      <c r="W23" s="18"/>
      <c r="X23" s="23"/>
      <c r="Y23" s="23"/>
      <c r="Z23" s="23"/>
      <c r="AA23" s="23"/>
      <c r="AB23" s="23"/>
      <c r="AC23" s="28" t="str">
        <f aca="false">IF(X23="","",IFERROR(IF(ABS(ABS(X23)-ABS('Q12.19 Ans'!X23))&lt;0.5,"✓","✗"),"✗"))</f>
        <v/>
      </c>
    </row>
    <row r="25" customFormat="false" ht="18.75" hidden="false" customHeight="true" outlineLevel="0" collapsed="false">
      <c r="B25" s="3" t="s">
        <v>140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8" t="s">
        <v>39</v>
      </c>
      <c r="C26" s="18"/>
      <c r="D26" s="18"/>
      <c r="E26" s="18"/>
      <c r="F26" s="18"/>
      <c r="G26" s="18"/>
      <c r="H26" s="18"/>
      <c r="I26" s="18"/>
      <c r="J26" s="18"/>
      <c r="K26" s="18"/>
      <c r="L26" s="18"/>
      <c r="M26" s="18"/>
      <c r="N26" s="18"/>
      <c r="O26" s="18"/>
      <c r="P26" s="18"/>
      <c r="Q26" s="18"/>
      <c r="R26" s="18"/>
      <c r="S26" s="18"/>
      <c r="T26" s="20"/>
      <c r="U26" s="20"/>
      <c r="V26" s="20"/>
      <c r="W26" s="20"/>
      <c r="X26" s="20"/>
      <c r="Y26" s="20"/>
      <c r="Z26" s="20"/>
      <c r="AA26" s="20"/>
      <c r="AB26" s="20"/>
      <c r="AC26" s="21" t="str">
        <f aca="false">IF(T26="","",IF(LOWER(TRIM(T26))=LOWER('Q12.19 Ans'!T26),"✓","✗"))</f>
        <v/>
      </c>
    </row>
    <row r="27" customFormat="false" ht="16.5" hidden="false" customHeight="true" outlineLevel="0" collapsed="false">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row>
    <row r="28" customFormat="false" ht="16.5" hidden="false" customHeight="true" outlineLevel="0" collapsed="false">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row>
    <row r="29" customFormat="false" ht="16.5" hidden="false" customHeight="true" outlineLevel="0" collapsed="false">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1" customFormat="false" ht="18.75" hidden="false" customHeight="true" outlineLevel="0" collapsed="false">
      <c r="B31" s="3" t="s">
        <v>141</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8" t="s">
        <v>142</v>
      </c>
      <c r="C32" s="18"/>
      <c r="D32" s="18"/>
      <c r="E32" s="18"/>
      <c r="F32" s="18"/>
      <c r="G32" s="18"/>
      <c r="H32" s="18"/>
      <c r="I32" s="18"/>
      <c r="J32" s="18"/>
      <c r="K32" s="18"/>
      <c r="L32" s="18"/>
      <c r="M32" s="18"/>
      <c r="N32" s="18"/>
      <c r="O32" s="18"/>
      <c r="P32" s="18"/>
      <c r="Q32" s="18"/>
      <c r="R32" s="18"/>
      <c r="S32" s="18"/>
      <c r="T32" s="20"/>
      <c r="U32" s="20"/>
      <c r="V32" s="20"/>
      <c r="W32" s="20"/>
      <c r="X32" s="20"/>
      <c r="Y32" s="20"/>
      <c r="Z32" s="20"/>
      <c r="AA32" s="20"/>
      <c r="AB32" s="20"/>
      <c r="AC32" s="21" t="str">
        <f aca="false">IF(T32="","",IF(OR(LOWER(TRIM(T32))="historical cost",LOWER(TRIM(T32))="prudence",LOWER(TRIM(T32))="realisation"),"✓","✗"))</f>
        <v/>
      </c>
    </row>
    <row r="33" customFormat="false" ht="17.25" hidden="false" customHeight="true" outlineLevel="0" collapsed="false">
      <c r="B33" s="18" t="s">
        <v>143</v>
      </c>
      <c r="C33" s="18"/>
      <c r="D33" s="18"/>
      <c r="E33" s="18"/>
      <c r="F33" s="18"/>
      <c r="G33" s="18"/>
      <c r="H33" s="18"/>
      <c r="I33" s="18"/>
      <c r="J33" s="18"/>
      <c r="K33" s="18"/>
      <c r="L33" s="18"/>
      <c r="M33" s="18"/>
      <c r="N33" s="18"/>
      <c r="O33" s="18"/>
      <c r="P33" s="18"/>
      <c r="Q33" s="18"/>
      <c r="R33" s="18"/>
      <c r="S33" s="18"/>
      <c r="T33" s="20"/>
      <c r="U33" s="20"/>
      <c r="V33" s="20"/>
      <c r="W33" s="20"/>
      <c r="X33" s="20"/>
      <c r="Y33" s="20"/>
      <c r="Z33" s="20"/>
      <c r="AA33" s="20"/>
      <c r="AB33" s="20"/>
      <c r="AC33" s="21" t="str">
        <f aca="false">IF(T33="","",IF(OR(LOWER(TRIM(T33))="historical cost",LOWER(TRIM(T33))="prudence",LOWER(TRIM(T33))="realisation"),"✓","✗"))</f>
        <v/>
      </c>
    </row>
    <row r="35" customFormat="false" ht="18.75" hidden="false" customHeight="true" outlineLevel="0" collapsed="false">
      <c r="B35" s="3" t="s">
        <v>144</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8.75" hidden="false" customHeight="true" outlineLevel="0" collapsed="false">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row>
    <row r="37" customFormat="false" ht="18.75" hidden="false" customHeight="true" outlineLevel="0" collapsed="false">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row>
    <row r="38" customFormat="false" ht="18.75" hidden="false" customHeight="true" outlineLevel="0" collapsed="false">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row>
    <row r="39" customFormat="false" ht="18.75" hidden="false" customHeight="true" outlineLevel="0" collapsed="false">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row>
  </sheetData>
  <mergeCells count="54">
    <mergeCell ref="B1:AF1"/>
    <mergeCell ref="B2:AF2"/>
    <mergeCell ref="B3:G3"/>
    <mergeCell ref="H3:AF3"/>
    <mergeCell ref="B5:AF5"/>
    <mergeCell ref="B6:N6"/>
    <mergeCell ref="O6:W6"/>
    <mergeCell ref="X6:AF6"/>
    <mergeCell ref="B7:N7"/>
    <mergeCell ref="O7:W7"/>
    <mergeCell ref="X7:AF7"/>
    <mergeCell ref="B8:N8"/>
    <mergeCell ref="O8:W8"/>
    <mergeCell ref="X8:AF8"/>
    <mergeCell ref="B9:N9"/>
    <mergeCell ref="O9:W9"/>
    <mergeCell ref="X9:AF9"/>
    <mergeCell ref="B10:N10"/>
    <mergeCell ref="O10:W10"/>
    <mergeCell ref="X10:AF10"/>
    <mergeCell ref="B11:N11"/>
    <mergeCell ref="O11:W11"/>
    <mergeCell ref="X11:AF11"/>
    <mergeCell ref="B12:N12"/>
    <mergeCell ref="O12:W12"/>
    <mergeCell ref="X12:AF12"/>
    <mergeCell ref="B13:N13"/>
    <mergeCell ref="O13:W13"/>
    <mergeCell ref="X13:AF13"/>
    <mergeCell ref="B14:N14"/>
    <mergeCell ref="O14:W14"/>
    <mergeCell ref="X14:AF14"/>
    <mergeCell ref="B15:AF15"/>
    <mergeCell ref="B17:AF17"/>
    <mergeCell ref="B18:W18"/>
    <mergeCell ref="X18:AB18"/>
    <mergeCell ref="B19:W19"/>
    <mergeCell ref="X19:AB19"/>
    <mergeCell ref="B21:AF21"/>
    <mergeCell ref="B22:W22"/>
    <mergeCell ref="X22:AB22"/>
    <mergeCell ref="B23:W23"/>
    <mergeCell ref="X23:AB23"/>
    <mergeCell ref="B25:AF25"/>
    <mergeCell ref="B26:S26"/>
    <mergeCell ref="T26:AB26"/>
    <mergeCell ref="B27:AF29"/>
    <mergeCell ref="B31:AF31"/>
    <mergeCell ref="B32:S32"/>
    <mergeCell ref="T32:AB32"/>
    <mergeCell ref="B33:S33"/>
    <mergeCell ref="T33:AB33"/>
    <mergeCell ref="B35:AF35"/>
    <mergeCell ref="B36:AF39"/>
  </mergeCells>
  <conditionalFormatting sqref="B4:AG40">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3">
    <dataValidation allowBlank="true" errorStyle="stop" operator="between" showDropDown="false" showErrorMessage="false" showInputMessage="false" sqref="T2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3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33"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B1:AF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145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81</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9" t="s">
        <v>82</v>
      </c>
      <c r="C3" s="19"/>
      <c r="D3" s="19"/>
      <c r="E3" s="19"/>
      <c r="F3" s="19"/>
      <c r="G3" s="19"/>
      <c r="H3" s="19" t="str">
        <f aca="false">COUNTIF(B4:AG21,"✓")&amp;" correct out of 15 answer cells"</f>
        <v>0 correct out of 15 answer cells</v>
      </c>
      <c r="I3" s="19"/>
      <c r="J3" s="19"/>
      <c r="K3" s="19"/>
      <c r="L3" s="19"/>
      <c r="M3" s="19"/>
      <c r="N3" s="19"/>
      <c r="O3" s="19"/>
      <c r="P3" s="19"/>
      <c r="Q3" s="19"/>
      <c r="R3" s="19"/>
      <c r="S3" s="19"/>
      <c r="T3" s="19"/>
      <c r="U3" s="19"/>
      <c r="V3" s="19"/>
      <c r="W3" s="19"/>
      <c r="X3" s="19"/>
      <c r="Y3" s="19"/>
      <c r="Z3" s="19"/>
      <c r="AA3" s="19"/>
      <c r="AB3" s="19"/>
      <c r="AC3" s="19"/>
      <c r="AD3" s="19"/>
      <c r="AE3" s="19"/>
      <c r="AF3" s="19"/>
    </row>
    <row r="5" customFormat="false" ht="16.5" hidden="false" customHeight="true" outlineLevel="0" collapsed="false">
      <c r="B5" s="4" t="s">
        <v>146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8" t="s">
        <v>147</v>
      </c>
      <c r="C6" s="18"/>
      <c r="D6" s="18"/>
      <c r="E6" s="18"/>
      <c r="F6" s="18"/>
      <c r="G6" s="18"/>
      <c r="H6" s="18"/>
      <c r="I6" s="18"/>
      <c r="J6" s="18"/>
      <c r="K6" s="18"/>
      <c r="L6" s="18"/>
      <c r="M6" s="18"/>
      <c r="N6" s="18"/>
      <c r="O6" s="18"/>
      <c r="P6" s="18"/>
      <c r="Q6" s="18"/>
      <c r="R6" s="18"/>
      <c r="S6" s="18"/>
      <c r="T6" s="20"/>
      <c r="U6" s="20"/>
      <c r="V6" s="20"/>
      <c r="W6" s="20"/>
      <c r="X6" s="20"/>
      <c r="Y6" s="20"/>
      <c r="Z6" s="20"/>
      <c r="AA6" s="20"/>
      <c r="AB6" s="20"/>
      <c r="AC6" s="21" t="str">
        <f aca="false">IF(T6="","",IF(LOWER(TRIM(T6))=LOWER('Quiz Ans'!T6),"✓","✗"))</f>
        <v/>
      </c>
    </row>
    <row r="7" customFormat="false" ht="17.25" hidden="false" customHeight="true" outlineLevel="0" collapsed="false">
      <c r="B7" s="18" t="s">
        <v>148</v>
      </c>
      <c r="C7" s="18"/>
      <c r="D7" s="18"/>
      <c r="E7" s="18"/>
      <c r="F7" s="18"/>
      <c r="G7" s="18"/>
      <c r="H7" s="18"/>
      <c r="I7" s="18"/>
      <c r="J7" s="18"/>
      <c r="K7" s="18"/>
      <c r="L7" s="18"/>
      <c r="M7" s="18"/>
      <c r="N7" s="18"/>
      <c r="O7" s="18"/>
      <c r="P7" s="18"/>
      <c r="Q7" s="18"/>
      <c r="R7" s="18"/>
      <c r="S7" s="18"/>
      <c r="T7" s="20"/>
      <c r="U7" s="20"/>
      <c r="V7" s="20"/>
      <c r="W7" s="20"/>
      <c r="X7" s="20"/>
      <c r="Y7" s="20"/>
      <c r="Z7" s="20"/>
      <c r="AA7" s="20"/>
      <c r="AB7" s="20"/>
      <c r="AC7" s="21" t="str">
        <f aca="false">IF(T7="","",IF(LOWER(TRIM(T7))=LOWER('Quiz Ans'!T7),"✓","✗"))</f>
        <v/>
      </c>
    </row>
    <row r="8" customFormat="false" ht="17.25" hidden="false" customHeight="true" outlineLevel="0" collapsed="false">
      <c r="B8" s="18" t="s">
        <v>149</v>
      </c>
      <c r="C8" s="18"/>
      <c r="D8" s="18"/>
      <c r="E8" s="18"/>
      <c r="F8" s="18"/>
      <c r="G8" s="18"/>
      <c r="H8" s="18"/>
      <c r="I8" s="18"/>
      <c r="J8" s="18"/>
      <c r="K8" s="18"/>
      <c r="L8" s="18"/>
      <c r="M8" s="18"/>
      <c r="N8" s="18"/>
      <c r="O8" s="18"/>
      <c r="P8" s="18"/>
      <c r="Q8" s="18"/>
      <c r="R8" s="18"/>
      <c r="S8" s="18"/>
      <c r="T8" s="20"/>
      <c r="U8" s="20"/>
      <c r="V8" s="20"/>
      <c r="W8" s="20"/>
      <c r="X8" s="20"/>
      <c r="Y8" s="20"/>
      <c r="Z8" s="20"/>
      <c r="AA8" s="20"/>
      <c r="AB8" s="20"/>
      <c r="AC8" s="21" t="str">
        <f aca="false">IF(T8="","",IF(LOWER(TRIM(T8))=LOWER('Quiz Ans'!T8),"✓","✗"))</f>
        <v/>
      </c>
    </row>
    <row r="9" customFormat="false" ht="17.25" hidden="false" customHeight="true" outlineLevel="0" collapsed="false">
      <c r="B9" s="18" t="s">
        <v>150</v>
      </c>
      <c r="C9" s="18"/>
      <c r="D9" s="18"/>
      <c r="E9" s="18"/>
      <c r="F9" s="18"/>
      <c r="G9" s="18"/>
      <c r="H9" s="18"/>
      <c r="I9" s="18"/>
      <c r="J9" s="18"/>
      <c r="K9" s="18"/>
      <c r="L9" s="18"/>
      <c r="M9" s="18"/>
      <c r="N9" s="18"/>
      <c r="O9" s="18"/>
      <c r="P9" s="18"/>
      <c r="Q9" s="18"/>
      <c r="R9" s="18"/>
      <c r="S9" s="18"/>
      <c r="T9" s="20"/>
      <c r="U9" s="20"/>
      <c r="V9" s="20"/>
      <c r="W9" s="20"/>
      <c r="X9" s="20"/>
      <c r="Y9" s="20"/>
      <c r="Z9" s="20"/>
      <c r="AA9" s="20"/>
      <c r="AB9" s="20"/>
      <c r="AC9" s="21" t="str">
        <f aca="false">IF(T9="","",IF(LOWER(TRIM(T9))=LOWER('Quiz Ans'!T9),"✓","✗"))</f>
        <v/>
      </c>
    </row>
    <row r="10" customFormat="false" ht="17.25" hidden="false" customHeight="true" outlineLevel="0" collapsed="false">
      <c r="B10" s="18" t="s">
        <v>151</v>
      </c>
      <c r="C10" s="18"/>
      <c r="D10" s="18"/>
      <c r="E10" s="18"/>
      <c r="F10" s="18"/>
      <c r="G10" s="18"/>
      <c r="H10" s="18"/>
      <c r="I10" s="18"/>
      <c r="J10" s="18"/>
      <c r="K10" s="18"/>
      <c r="L10" s="18"/>
      <c r="M10" s="18"/>
      <c r="N10" s="18"/>
      <c r="O10" s="18"/>
      <c r="P10" s="18"/>
      <c r="Q10" s="18"/>
      <c r="R10" s="18"/>
      <c r="S10" s="18"/>
      <c r="T10" s="20"/>
      <c r="U10" s="20"/>
      <c r="V10" s="20"/>
      <c r="W10" s="20"/>
      <c r="X10" s="20"/>
      <c r="Y10" s="20"/>
      <c r="Z10" s="20"/>
      <c r="AA10" s="20"/>
      <c r="AB10" s="20"/>
      <c r="AC10" s="21" t="str">
        <f aca="false">IF(T10="","",IF(LOWER(TRIM(T10))=LOWER('Quiz Ans'!T10),"✓","✗"))</f>
        <v/>
      </c>
    </row>
    <row r="11" customFormat="false" ht="17.25" hidden="false" customHeight="true" outlineLevel="0" collapsed="false">
      <c r="B11" s="18" t="s">
        <v>152</v>
      </c>
      <c r="C11" s="18"/>
      <c r="D11" s="18"/>
      <c r="E11" s="18"/>
      <c r="F11" s="18"/>
      <c r="G11" s="18"/>
      <c r="H11" s="18"/>
      <c r="I11" s="18"/>
      <c r="J11" s="18"/>
      <c r="K11" s="18"/>
      <c r="L11" s="18"/>
      <c r="M11" s="18"/>
      <c r="N11" s="18"/>
      <c r="O11" s="18"/>
      <c r="P11" s="18"/>
      <c r="Q11" s="18"/>
      <c r="R11" s="18"/>
      <c r="S11" s="18"/>
      <c r="T11" s="20"/>
      <c r="U11" s="20"/>
      <c r="V11" s="20"/>
      <c r="W11" s="20"/>
      <c r="X11" s="20"/>
      <c r="Y11" s="20"/>
      <c r="Z11" s="20"/>
      <c r="AA11" s="20"/>
      <c r="AB11" s="20"/>
      <c r="AC11" s="21" t="str">
        <f aca="false">IF(T11="","",IF(LOWER(TRIM(T11))=LOWER('Quiz Ans'!T11),"✓","✗"))</f>
        <v/>
      </c>
    </row>
    <row r="12" customFormat="false" ht="17.25" hidden="false" customHeight="true" outlineLevel="0" collapsed="false">
      <c r="B12" s="18" t="s">
        <v>153</v>
      </c>
      <c r="C12" s="18"/>
      <c r="D12" s="18"/>
      <c r="E12" s="18"/>
      <c r="F12" s="18"/>
      <c r="G12" s="18"/>
      <c r="H12" s="18"/>
      <c r="I12" s="18"/>
      <c r="J12" s="18"/>
      <c r="K12" s="18"/>
      <c r="L12" s="18"/>
      <c r="M12" s="18"/>
      <c r="N12" s="18"/>
      <c r="O12" s="18"/>
      <c r="P12" s="18"/>
      <c r="Q12" s="18"/>
      <c r="R12" s="18"/>
      <c r="S12" s="18"/>
      <c r="T12" s="20"/>
      <c r="U12" s="20"/>
      <c r="V12" s="20"/>
      <c r="W12" s="20"/>
      <c r="X12" s="20"/>
      <c r="Y12" s="20"/>
      <c r="Z12" s="20"/>
      <c r="AA12" s="20"/>
      <c r="AB12" s="20"/>
      <c r="AC12" s="21" t="str">
        <f aca="false">IF(T12="","",IF(LOWER(TRIM(T12))=LOWER('Quiz Ans'!T12),"✓","✗"))</f>
        <v/>
      </c>
    </row>
    <row r="13" customFormat="false" ht="17.25" hidden="false" customHeight="true" outlineLevel="0" collapsed="false">
      <c r="B13" s="18" t="s">
        <v>154</v>
      </c>
      <c r="C13" s="18"/>
      <c r="D13" s="18"/>
      <c r="E13" s="18"/>
      <c r="F13" s="18"/>
      <c r="G13" s="18"/>
      <c r="H13" s="18"/>
      <c r="I13" s="18"/>
      <c r="J13" s="18"/>
      <c r="K13" s="18"/>
      <c r="L13" s="18"/>
      <c r="M13" s="18"/>
      <c r="N13" s="18"/>
      <c r="O13" s="18"/>
      <c r="P13" s="18"/>
      <c r="Q13" s="18"/>
      <c r="R13" s="18"/>
      <c r="S13" s="18"/>
      <c r="T13" s="20"/>
      <c r="U13" s="20"/>
      <c r="V13" s="20"/>
      <c r="W13" s="20"/>
      <c r="X13" s="20"/>
      <c r="Y13" s="20"/>
      <c r="Z13" s="20"/>
      <c r="AA13" s="20"/>
      <c r="AB13" s="20"/>
      <c r="AC13" s="21" t="str">
        <f aca="false">IF(T13="","",IF(LOWER(TRIM(T13))=LOWER('Quiz Ans'!T13),"✓","✗"))</f>
        <v/>
      </c>
    </row>
    <row r="14" customFormat="false" ht="17.25" hidden="false" customHeight="true" outlineLevel="0" collapsed="false">
      <c r="B14" s="18" t="s">
        <v>155</v>
      </c>
      <c r="C14" s="18"/>
      <c r="D14" s="18"/>
      <c r="E14" s="18"/>
      <c r="F14" s="18"/>
      <c r="G14" s="18"/>
      <c r="H14" s="18"/>
      <c r="I14" s="18"/>
      <c r="J14" s="18"/>
      <c r="K14" s="18"/>
      <c r="L14" s="18"/>
      <c r="M14" s="18"/>
      <c r="N14" s="18"/>
      <c r="O14" s="18"/>
      <c r="P14" s="18"/>
      <c r="Q14" s="18"/>
      <c r="R14" s="18"/>
      <c r="S14" s="18"/>
      <c r="T14" s="20"/>
      <c r="U14" s="20"/>
      <c r="V14" s="20"/>
      <c r="W14" s="20"/>
      <c r="X14" s="20"/>
      <c r="Y14" s="20"/>
      <c r="Z14" s="20"/>
      <c r="AA14" s="20"/>
      <c r="AB14" s="20"/>
      <c r="AC14" s="21" t="str">
        <f aca="false">IF(T14="","",IF(LOWER(TRIM(T14))=LOWER('Quiz Ans'!T14),"✓","✗"))</f>
        <v/>
      </c>
    </row>
    <row r="15" customFormat="false" ht="17.25" hidden="false" customHeight="true" outlineLevel="0" collapsed="false">
      <c r="B15" s="18" t="s">
        <v>156</v>
      </c>
      <c r="C15" s="18"/>
      <c r="D15" s="18"/>
      <c r="E15" s="18"/>
      <c r="F15" s="18"/>
      <c r="G15" s="18"/>
      <c r="H15" s="18"/>
      <c r="I15" s="18"/>
      <c r="J15" s="18"/>
      <c r="K15" s="18"/>
      <c r="L15" s="18"/>
      <c r="M15" s="18"/>
      <c r="N15" s="18"/>
      <c r="O15" s="18"/>
      <c r="P15" s="18"/>
      <c r="Q15" s="18"/>
      <c r="R15" s="18"/>
      <c r="S15" s="18"/>
      <c r="T15" s="20"/>
      <c r="U15" s="20"/>
      <c r="V15" s="20"/>
      <c r="W15" s="20"/>
      <c r="X15" s="20"/>
      <c r="Y15" s="20"/>
      <c r="Z15" s="20"/>
      <c r="AA15" s="20"/>
      <c r="AB15" s="20"/>
      <c r="AC15" s="21" t="str">
        <f aca="false">IF(T15="","",IF(LOWER(TRIM(T15))=LOWER('Quiz Ans'!T15),"✓","✗"))</f>
        <v/>
      </c>
    </row>
    <row r="16" customFormat="false" ht="17.25" hidden="false" customHeight="true" outlineLevel="0" collapsed="false">
      <c r="B16" s="18" t="s">
        <v>157</v>
      </c>
      <c r="C16" s="18"/>
      <c r="D16" s="18"/>
      <c r="E16" s="18"/>
      <c r="F16" s="18"/>
      <c r="G16" s="18"/>
      <c r="H16" s="18"/>
      <c r="I16" s="18"/>
      <c r="J16" s="18"/>
      <c r="K16" s="18"/>
      <c r="L16" s="18"/>
      <c r="M16" s="18"/>
      <c r="N16" s="18"/>
      <c r="O16" s="18"/>
      <c r="P16" s="18"/>
      <c r="Q16" s="18"/>
      <c r="R16" s="18"/>
      <c r="S16" s="18"/>
      <c r="T16" s="20"/>
      <c r="U16" s="20"/>
      <c r="V16" s="20"/>
      <c r="W16" s="20"/>
      <c r="X16" s="20"/>
      <c r="Y16" s="20"/>
      <c r="Z16" s="20"/>
      <c r="AA16" s="20"/>
      <c r="AB16" s="20"/>
      <c r="AC16" s="21" t="str">
        <f aca="false">IF(T16="","",IF(LOWER(TRIM(T16))=LOWER('Quiz Ans'!T16),"✓","✗"))</f>
        <v/>
      </c>
    </row>
    <row r="17" customFormat="false" ht="17.25" hidden="false" customHeight="true" outlineLevel="0" collapsed="false">
      <c r="B17" s="18" t="s">
        <v>158</v>
      </c>
      <c r="C17" s="18"/>
      <c r="D17" s="18"/>
      <c r="E17" s="18"/>
      <c r="F17" s="18"/>
      <c r="G17" s="18"/>
      <c r="H17" s="18"/>
      <c r="I17" s="18"/>
      <c r="J17" s="18"/>
      <c r="K17" s="18"/>
      <c r="L17" s="18"/>
      <c r="M17" s="18"/>
      <c r="N17" s="18"/>
      <c r="O17" s="18"/>
      <c r="P17" s="18"/>
      <c r="Q17" s="18"/>
      <c r="R17" s="18"/>
      <c r="S17" s="18"/>
      <c r="T17" s="20"/>
      <c r="U17" s="20"/>
      <c r="V17" s="20"/>
      <c r="W17" s="20"/>
      <c r="X17" s="20"/>
      <c r="Y17" s="20"/>
      <c r="Z17" s="20"/>
      <c r="AA17" s="20"/>
      <c r="AB17" s="20"/>
      <c r="AC17" s="21" t="str">
        <f aca="false">IF(T17="","",IF(LOWER(TRIM(T17))=LOWER('Quiz Ans'!T17),"✓","✗"))</f>
        <v/>
      </c>
    </row>
    <row r="18" customFormat="false" ht="17.25" hidden="false" customHeight="true" outlineLevel="0" collapsed="false">
      <c r="B18" s="18" t="s">
        <v>159</v>
      </c>
      <c r="C18" s="18"/>
      <c r="D18" s="18"/>
      <c r="E18" s="18"/>
      <c r="F18" s="18"/>
      <c r="G18" s="18"/>
      <c r="H18" s="18"/>
      <c r="I18" s="18"/>
      <c r="J18" s="18"/>
      <c r="K18" s="18"/>
      <c r="L18" s="18"/>
      <c r="M18" s="18"/>
      <c r="N18" s="18"/>
      <c r="O18" s="18"/>
      <c r="P18" s="18"/>
      <c r="Q18" s="18"/>
      <c r="R18" s="18"/>
      <c r="S18" s="18"/>
      <c r="T18" s="20"/>
      <c r="U18" s="20"/>
      <c r="V18" s="20"/>
      <c r="W18" s="20"/>
      <c r="X18" s="20"/>
      <c r="Y18" s="20"/>
      <c r="Z18" s="20"/>
      <c r="AA18" s="20"/>
      <c r="AB18" s="20"/>
      <c r="AC18" s="21" t="str">
        <f aca="false">IF(T18="","",IF(LOWER(TRIM(T18))=LOWER('Quiz Ans'!T18),"✓","✗"))</f>
        <v/>
      </c>
    </row>
    <row r="19" customFormat="false" ht="17.25" hidden="false" customHeight="true" outlineLevel="0" collapsed="false">
      <c r="B19" s="18" t="s">
        <v>160</v>
      </c>
      <c r="C19" s="18"/>
      <c r="D19" s="18"/>
      <c r="E19" s="18"/>
      <c r="F19" s="18"/>
      <c r="G19" s="18"/>
      <c r="H19" s="18"/>
      <c r="I19" s="18"/>
      <c r="J19" s="18"/>
      <c r="K19" s="18"/>
      <c r="L19" s="18"/>
      <c r="M19" s="18"/>
      <c r="N19" s="18"/>
      <c r="O19" s="18"/>
      <c r="P19" s="18"/>
      <c r="Q19" s="18"/>
      <c r="R19" s="18"/>
      <c r="S19" s="18"/>
      <c r="T19" s="20"/>
      <c r="U19" s="20"/>
      <c r="V19" s="20"/>
      <c r="W19" s="20"/>
      <c r="X19" s="20"/>
      <c r="Y19" s="20"/>
      <c r="Z19" s="20"/>
      <c r="AA19" s="20"/>
      <c r="AB19" s="20"/>
      <c r="AC19" s="21" t="str">
        <f aca="false">IF(T19="","",IF(LOWER(TRIM(T19))=LOWER('Quiz Ans'!T19),"✓","✗"))</f>
        <v/>
      </c>
    </row>
    <row r="20" customFormat="false" ht="17.25" hidden="false" customHeight="true" outlineLevel="0" collapsed="false">
      <c r="B20" s="18" t="s">
        <v>161</v>
      </c>
      <c r="C20" s="18"/>
      <c r="D20" s="18"/>
      <c r="E20" s="18"/>
      <c r="F20" s="18"/>
      <c r="G20" s="18"/>
      <c r="H20" s="18"/>
      <c r="I20" s="18"/>
      <c r="J20" s="18"/>
      <c r="K20" s="18"/>
      <c r="L20" s="18"/>
      <c r="M20" s="18"/>
      <c r="N20" s="18"/>
      <c r="O20" s="18"/>
      <c r="P20" s="18"/>
      <c r="Q20" s="18"/>
      <c r="R20" s="18"/>
      <c r="S20" s="18"/>
      <c r="T20" s="20"/>
      <c r="U20" s="20"/>
      <c r="V20" s="20"/>
      <c r="W20" s="20"/>
      <c r="X20" s="20"/>
      <c r="Y20" s="20"/>
      <c r="Z20" s="20"/>
      <c r="AA20" s="20"/>
      <c r="AB20" s="20"/>
      <c r="AC20" s="21" t="str">
        <f aca="false">IF(T20="","",IF(LOWER(TRIM(T20))=LOWER('Quiz Ans'!T20),"✓","✗"))</f>
        <v/>
      </c>
    </row>
  </sheetData>
  <mergeCells count="35">
    <mergeCell ref="B1:AF1"/>
    <mergeCell ref="B2:AF2"/>
    <mergeCell ref="B3:G3"/>
    <mergeCell ref="H3:AF3"/>
    <mergeCell ref="B5:AF5"/>
    <mergeCell ref="B6:S6"/>
    <mergeCell ref="T6:AB6"/>
    <mergeCell ref="B7:S7"/>
    <mergeCell ref="T7:AB7"/>
    <mergeCell ref="B8:S8"/>
    <mergeCell ref="T8:AB8"/>
    <mergeCell ref="B9:S9"/>
    <mergeCell ref="T9:AB9"/>
    <mergeCell ref="B10:S10"/>
    <mergeCell ref="T10:AB10"/>
    <mergeCell ref="B11:S11"/>
    <mergeCell ref="T11:AB11"/>
    <mergeCell ref="B12:S12"/>
    <mergeCell ref="T12:AB12"/>
    <mergeCell ref="B13:S13"/>
    <mergeCell ref="T13:AB13"/>
    <mergeCell ref="B14:S14"/>
    <mergeCell ref="T14:AB14"/>
    <mergeCell ref="B15:S15"/>
    <mergeCell ref="T15:AB15"/>
    <mergeCell ref="B16:S16"/>
    <mergeCell ref="T16:AB16"/>
    <mergeCell ref="B17:S17"/>
    <mergeCell ref="T17:AB17"/>
    <mergeCell ref="B18:S18"/>
    <mergeCell ref="T18:AB18"/>
    <mergeCell ref="B19:S19"/>
    <mergeCell ref="T19:AB19"/>
    <mergeCell ref="B20:S20"/>
    <mergeCell ref="T20:AB20"/>
  </mergeCells>
  <conditionalFormatting sqref="B4:AG21">
    <cfRule type="cellIs" priority="2" operator="equal" aboveAverage="0" equalAverage="0" bottom="0" percent="0" rank="0" text="" dxfId="0">
      <formula>"✓"</formula>
    </cfRule>
    <cfRule type="cellIs" priority="3" operator="equal" aboveAverage="0" equalAverage="0" bottom="0" percent="0" rank="0" text="" dxfId="1">
      <formula>"✗"</formula>
    </cfRule>
  </conditionalFormatting>
  <dataValidations count="15">
    <dataValidation allowBlank="true" errorStyle="stop" operator="between" showDropDown="false" showErrorMessage="false" showInputMessage="false" sqref="T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7"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0"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1"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2"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3"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4"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5"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6"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7"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8"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19" type="list">
      <formula1>"Business entity,Duality,Money measurement,Historical cost,Going concern,Realisation,Accruals,Consistency,Prudence,Materiality"</formula1>
      <formula2>0</formula2>
    </dataValidation>
    <dataValidation allowBlank="true" errorStyle="stop" operator="between" showDropDown="false" showErrorMessage="false" showInputMessage="false" sqref="T20" type="list">
      <formula1>"Business entity,Duality,Money measurement,Historical cost,Going concern,Realisation,Accruals,Consistency,Prudence,Materiality"</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162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83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84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85</v>
      </c>
      <c r="C8" s="18"/>
      <c r="D8" s="18"/>
      <c r="E8" s="18"/>
      <c r="F8" s="18"/>
      <c r="G8" s="18"/>
      <c r="H8" s="18"/>
      <c r="I8" s="18"/>
      <c r="J8" s="18"/>
      <c r="K8" s="18"/>
      <c r="L8" s="18"/>
      <c r="M8" s="18"/>
      <c r="N8" s="18"/>
      <c r="O8" s="18"/>
      <c r="P8" s="18"/>
      <c r="Q8" s="18"/>
      <c r="R8" s="18"/>
      <c r="S8" s="18"/>
      <c r="T8" s="29" t="str">
        <f aca="false">"Business entity"</f>
        <v>Business entity</v>
      </c>
      <c r="U8" s="29"/>
      <c r="V8" s="29"/>
      <c r="W8" s="29"/>
      <c r="X8" s="29"/>
      <c r="Y8" s="29"/>
      <c r="Z8" s="29"/>
      <c r="AA8" s="29"/>
      <c r="AB8" s="29"/>
    </row>
    <row r="9" customFormat="false" ht="17.25" hidden="false" customHeight="true" outlineLevel="0" collapsed="false">
      <c r="B9" s="18" t="s">
        <v>86</v>
      </c>
      <c r="C9" s="18"/>
      <c r="D9" s="18"/>
      <c r="E9" s="18"/>
      <c r="F9" s="18"/>
      <c r="G9" s="18"/>
      <c r="H9" s="18"/>
      <c r="I9" s="18"/>
      <c r="J9" s="18"/>
      <c r="K9" s="18"/>
      <c r="L9" s="18"/>
      <c r="M9" s="18"/>
      <c r="N9" s="18"/>
      <c r="O9" s="18"/>
      <c r="P9" s="18"/>
      <c r="Q9" s="18"/>
      <c r="R9" s="18"/>
      <c r="S9" s="18"/>
      <c r="T9" s="29" t="str">
        <f aca="false">"Historical cost"</f>
        <v>Historical cost</v>
      </c>
      <c r="U9" s="29"/>
      <c r="V9" s="29"/>
      <c r="W9" s="29"/>
      <c r="X9" s="29"/>
      <c r="Y9" s="29"/>
      <c r="Z9" s="29"/>
      <c r="AA9" s="29"/>
      <c r="AB9" s="29"/>
    </row>
    <row r="10" customFormat="false" ht="17.25" hidden="false" customHeight="true" outlineLevel="0" collapsed="false">
      <c r="B10" s="18" t="s">
        <v>87</v>
      </c>
      <c r="C10" s="18"/>
      <c r="D10" s="18"/>
      <c r="E10" s="18"/>
      <c r="F10" s="18"/>
      <c r="G10" s="18"/>
      <c r="H10" s="18"/>
      <c r="I10" s="18"/>
      <c r="J10" s="18"/>
      <c r="K10" s="18"/>
      <c r="L10" s="18"/>
      <c r="M10" s="18"/>
      <c r="N10" s="18"/>
      <c r="O10" s="18"/>
      <c r="P10" s="18"/>
      <c r="Q10" s="18"/>
      <c r="R10" s="18"/>
      <c r="S10" s="18"/>
      <c r="T10" s="29" t="str">
        <f aca="false">"Duality"</f>
        <v>Duality</v>
      </c>
      <c r="U10" s="29"/>
      <c r="V10" s="29"/>
      <c r="W10" s="29"/>
      <c r="X10" s="29"/>
      <c r="Y10" s="29"/>
      <c r="Z10" s="29"/>
      <c r="AA10" s="29"/>
      <c r="AB10" s="29"/>
    </row>
    <row r="11" customFormat="false" ht="17.25" hidden="false" customHeight="true" outlineLevel="0" collapsed="false">
      <c r="B11" s="18" t="s">
        <v>88</v>
      </c>
      <c r="C11" s="18"/>
      <c r="D11" s="18"/>
      <c r="E11" s="18"/>
      <c r="F11" s="18"/>
      <c r="G11" s="18"/>
      <c r="H11" s="18"/>
      <c r="I11" s="18"/>
      <c r="J11" s="18"/>
      <c r="K11" s="18"/>
      <c r="L11" s="18"/>
      <c r="M11" s="18"/>
      <c r="N11" s="18"/>
      <c r="O11" s="18"/>
      <c r="P11" s="18"/>
      <c r="Q11" s="18"/>
      <c r="R11" s="18"/>
      <c r="S11" s="18"/>
      <c r="T11" s="29" t="str">
        <f aca="false">"Money measurement"</f>
        <v>Money measurement</v>
      </c>
      <c r="U11" s="29"/>
      <c r="V11" s="29"/>
      <c r="W11" s="29"/>
      <c r="X11" s="29"/>
      <c r="Y11" s="29"/>
      <c r="Z11" s="29"/>
      <c r="AA11" s="29"/>
      <c r="AB11" s="29"/>
    </row>
    <row r="12" customFormat="false" ht="17.25" hidden="false" customHeight="true" outlineLevel="0" collapsed="false">
      <c r="B12" s="18" t="s">
        <v>89</v>
      </c>
      <c r="C12" s="18"/>
      <c r="D12" s="18"/>
      <c r="E12" s="18"/>
      <c r="F12" s="18"/>
      <c r="G12" s="18"/>
      <c r="H12" s="18"/>
      <c r="I12" s="18"/>
      <c r="J12" s="18"/>
      <c r="K12" s="18"/>
      <c r="L12" s="18"/>
      <c r="M12" s="18"/>
      <c r="N12" s="18"/>
      <c r="O12" s="18"/>
      <c r="P12" s="18"/>
      <c r="Q12" s="18"/>
      <c r="R12" s="18"/>
      <c r="S12" s="18"/>
      <c r="T12" s="29" t="str">
        <f aca="false">"Consistency"</f>
        <v>Consistency</v>
      </c>
      <c r="U12" s="29"/>
      <c r="V12" s="29"/>
      <c r="W12" s="29"/>
      <c r="X12" s="29"/>
      <c r="Y12" s="29"/>
      <c r="Z12" s="29"/>
      <c r="AA12" s="29"/>
      <c r="AB12" s="29"/>
    </row>
    <row r="14" customFormat="false" ht="18.75" hidden="false" customHeight="true" outlineLevel="0" collapsed="false">
      <c r="B14" s="3" t="s">
        <v>90</v>
      </c>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ustomFormat="false" ht="17.25" hidden="false" customHeight="true" outlineLevel="0" collapsed="false">
      <c r="B15" s="18" t="s">
        <v>91</v>
      </c>
      <c r="C15" s="18"/>
      <c r="D15" s="18"/>
      <c r="E15" s="18"/>
      <c r="F15" s="18"/>
      <c r="G15" s="18"/>
      <c r="H15" s="18"/>
      <c r="I15" s="18"/>
      <c r="J15" s="18"/>
      <c r="K15" s="18"/>
      <c r="L15" s="18"/>
      <c r="M15" s="18"/>
      <c r="N15" s="18"/>
      <c r="O15" s="18"/>
      <c r="P15" s="18"/>
      <c r="Q15" s="18"/>
      <c r="R15" s="18"/>
      <c r="S15" s="18"/>
      <c r="T15" s="29" t="str">
        <f aca="false">"Any one: Relevance, Reliability, Comparability, Understandability"</f>
        <v>Any one: Relevance, Reliability, Comparability, Understandability</v>
      </c>
      <c r="U15" s="29"/>
      <c r="V15" s="29"/>
      <c r="W15" s="29"/>
      <c r="X15" s="29"/>
      <c r="Y15" s="29"/>
      <c r="Z15" s="29"/>
      <c r="AA15" s="29"/>
      <c r="AB15" s="29"/>
    </row>
  </sheetData>
  <mergeCells count="18">
    <mergeCell ref="B1:AF1"/>
    <mergeCell ref="B2:AF2"/>
    <mergeCell ref="B3:AF3"/>
    <mergeCell ref="B5:AF5"/>
    <mergeCell ref="B7:AF7"/>
    <mergeCell ref="B8:S8"/>
    <mergeCell ref="T8:AB8"/>
    <mergeCell ref="B9:S9"/>
    <mergeCell ref="T9:AB9"/>
    <mergeCell ref="B10:S10"/>
    <mergeCell ref="T10:AB10"/>
    <mergeCell ref="B11:S11"/>
    <mergeCell ref="T11:AB11"/>
    <mergeCell ref="B12:S12"/>
    <mergeCell ref="T12:AB12"/>
    <mergeCell ref="B14:AF14"/>
    <mergeCell ref="B15:S15"/>
    <mergeCell ref="T15:AB15"/>
  </mergeCells>
  <conditionalFormatting sqref="B1:AG1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165</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93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94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39</v>
      </c>
      <c r="C8" s="18"/>
      <c r="D8" s="18"/>
      <c r="E8" s="18"/>
      <c r="F8" s="18"/>
      <c r="G8" s="18"/>
      <c r="H8" s="18"/>
      <c r="I8" s="18"/>
      <c r="J8" s="18"/>
      <c r="K8" s="18"/>
      <c r="L8" s="18"/>
      <c r="M8" s="18"/>
      <c r="N8" s="18"/>
      <c r="O8" s="18"/>
      <c r="P8" s="18"/>
      <c r="Q8" s="18"/>
      <c r="R8" s="18"/>
      <c r="S8" s="18"/>
      <c r="T8" s="29" t="str">
        <f aca="false">"Business entity"</f>
        <v>Business entity</v>
      </c>
      <c r="U8" s="29"/>
      <c r="V8" s="29"/>
      <c r="W8" s="29"/>
      <c r="X8" s="29"/>
      <c r="Y8" s="29"/>
      <c r="Z8" s="29"/>
      <c r="AA8" s="29"/>
      <c r="AB8" s="29"/>
    </row>
    <row r="9" customFormat="false" ht="16.5" hidden="false" customHeight="true" outlineLevel="0" collapsed="false">
      <c r="B9" s="30" t="s">
        <v>166</v>
      </c>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row>
    <row r="10" customFormat="false" ht="16.5" hidden="false" customHeight="tru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row>
    <row r="12" customFormat="false" ht="18.75" hidden="false" customHeight="true" outlineLevel="0" collapsed="false">
      <c r="B12" s="3" t="s">
        <v>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39</v>
      </c>
      <c r="C13" s="18"/>
      <c r="D13" s="18"/>
      <c r="E13" s="18"/>
      <c r="F13" s="18"/>
      <c r="G13" s="18"/>
      <c r="H13" s="18"/>
      <c r="I13" s="18"/>
      <c r="J13" s="18"/>
      <c r="K13" s="18"/>
      <c r="L13" s="18"/>
      <c r="M13" s="18"/>
      <c r="N13" s="18"/>
      <c r="O13" s="18"/>
      <c r="P13" s="18"/>
      <c r="Q13" s="18"/>
      <c r="R13" s="18"/>
      <c r="S13" s="18"/>
      <c r="T13" s="29" t="str">
        <f aca="false">"Realisation"</f>
        <v>Realisation</v>
      </c>
      <c r="U13" s="29"/>
      <c r="V13" s="29"/>
      <c r="W13" s="29"/>
      <c r="X13" s="29"/>
      <c r="Y13" s="29"/>
      <c r="Z13" s="29"/>
      <c r="AA13" s="29"/>
      <c r="AB13" s="29"/>
    </row>
    <row r="14" customFormat="false" ht="16.5" hidden="false" customHeight="true" outlineLevel="0" collapsed="false">
      <c r="B14" s="30" t="s">
        <v>167</v>
      </c>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row>
    <row r="15" customFormat="false" ht="16.5" hidden="false" customHeight="tru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row>
    <row r="17" customFormat="false" ht="18.75" hidden="false" customHeight="true" outlineLevel="0" collapsed="false">
      <c r="B17" s="3" t="s">
        <v>96</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39</v>
      </c>
      <c r="C18" s="18"/>
      <c r="D18" s="18"/>
      <c r="E18" s="18"/>
      <c r="F18" s="18"/>
      <c r="G18" s="18"/>
      <c r="H18" s="18"/>
      <c r="I18" s="18"/>
      <c r="J18" s="18"/>
      <c r="K18" s="18"/>
      <c r="L18" s="18"/>
      <c r="M18" s="18"/>
      <c r="N18" s="18"/>
      <c r="O18" s="18"/>
      <c r="P18" s="18"/>
      <c r="Q18" s="18"/>
      <c r="R18" s="18"/>
      <c r="S18" s="18"/>
      <c r="T18" s="29" t="str">
        <f aca="false">"Materiality"</f>
        <v>Materiality</v>
      </c>
      <c r="U18" s="29"/>
      <c r="V18" s="29"/>
      <c r="W18" s="29"/>
      <c r="X18" s="29"/>
      <c r="Y18" s="29"/>
      <c r="Z18" s="29"/>
      <c r="AA18" s="29"/>
      <c r="AB18" s="29"/>
    </row>
    <row r="19" customFormat="false" ht="16.5" hidden="false" customHeight="true" outlineLevel="0" collapsed="false">
      <c r="B19" s="30" t="s">
        <v>168</v>
      </c>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row>
    <row r="20" customFormat="false" ht="16.5" hidden="false" customHeight="tru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row>
    <row r="22" customFormat="false" ht="18.75" hidden="false" customHeight="true" outlineLevel="0" collapsed="false">
      <c r="B22" s="3" t="s">
        <v>97</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39</v>
      </c>
      <c r="C23" s="18"/>
      <c r="D23" s="18"/>
      <c r="E23" s="18"/>
      <c r="F23" s="18"/>
      <c r="G23" s="18"/>
      <c r="H23" s="18"/>
      <c r="I23" s="18"/>
      <c r="J23" s="18"/>
      <c r="K23" s="18"/>
      <c r="L23" s="18"/>
      <c r="M23" s="18"/>
      <c r="N23" s="18"/>
      <c r="O23" s="18"/>
      <c r="P23" s="18"/>
      <c r="Q23" s="18"/>
      <c r="R23" s="18"/>
      <c r="S23" s="18"/>
      <c r="T23" s="29" t="str">
        <f aca="false">"Historical cost"</f>
        <v>Historical cost</v>
      </c>
      <c r="U23" s="29"/>
      <c r="V23" s="29"/>
      <c r="W23" s="29"/>
      <c r="X23" s="29"/>
      <c r="Y23" s="29"/>
      <c r="Z23" s="29"/>
      <c r="AA23" s="29"/>
      <c r="AB23" s="29"/>
    </row>
    <row r="24" customFormat="false" ht="16.5" hidden="false" customHeight="true" outlineLevel="0" collapsed="false">
      <c r="B24" s="30" t="s">
        <v>169</v>
      </c>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row>
    <row r="25" customFormat="false" ht="16.5" hidden="false" customHeight="tru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row>
  </sheetData>
  <mergeCells count="20">
    <mergeCell ref="B1:AF1"/>
    <mergeCell ref="B2:AF2"/>
    <mergeCell ref="B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s>
  <conditionalFormatting sqref="B1:AG26">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99</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100</v>
      </c>
      <c r="C6" s="10"/>
      <c r="D6" s="10"/>
      <c r="E6" s="10"/>
      <c r="F6" s="10"/>
      <c r="G6" s="10"/>
      <c r="H6" s="10"/>
      <c r="I6" s="11" t="s">
        <v>101</v>
      </c>
      <c r="J6" s="11"/>
      <c r="K6" s="11"/>
      <c r="L6" s="11"/>
      <c r="M6" s="11"/>
      <c r="N6" s="11"/>
      <c r="O6" s="11"/>
      <c r="P6" s="11"/>
      <c r="Q6" s="11" t="s">
        <v>76</v>
      </c>
      <c r="R6" s="11"/>
      <c r="S6" s="11"/>
      <c r="T6" s="11"/>
      <c r="U6" s="11"/>
      <c r="V6" s="11"/>
      <c r="W6" s="11"/>
      <c r="X6" s="11"/>
      <c r="Y6" s="11" t="s">
        <v>77</v>
      </c>
      <c r="Z6" s="11"/>
      <c r="AA6" s="11"/>
      <c r="AB6" s="11"/>
      <c r="AC6" s="11"/>
      <c r="AD6" s="11"/>
      <c r="AE6" s="11"/>
      <c r="AF6" s="11"/>
    </row>
    <row r="7" customFormat="false" ht="17.25" hidden="false" customHeight="true" outlineLevel="0" collapsed="false">
      <c r="B7" s="12" t="s">
        <v>102</v>
      </c>
      <c r="C7" s="12"/>
      <c r="D7" s="12"/>
      <c r="E7" s="12"/>
      <c r="F7" s="12"/>
      <c r="G7" s="12"/>
      <c r="H7" s="12"/>
      <c r="I7" s="31" t="n">
        <f aca="false">'Q12.17'!I7</f>
        <v>1200</v>
      </c>
      <c r="J7" s="31"/>
      <c r="K7" s="31"/>
      <c r="L7" s="31"/>
      <c r="M7" s="31"/>
      <c r="N7" s="31"/>
      <c r="O7" s="31"/>
      <c r="P7" s="31"/>
      <c r="Q7" s="31" t="n">
        <f aca="false">'Q12.17'!Q7</f>
        <v>1800</v>
      </c>
      <c r="R7" s="31"/>
      <c r="S7" s="31"/>
      <c r="T7" s="31"/>
      <c r="U7" s="31"/>
      <c r="V7" s="31"/>
      <c r="W7" s="31"/>
      <c r="X7" s="31"/>
      <c r="Y7" s="31" t="n">
        <f aca="false">'Q12.17'!Y7</f>
        <v>100</v>
      </c>
      <c r="Z7" s="31"/>
      <c r="AA7" s="31"/>
      <c r="AB7" s="31"/>
      <c r="AC7" s="31"/>
      <c r="AD7" s="31"/>
      <c r="AE7" s="31"/>
      <c r="AF7" s="31"/>
    </row>
    <row r="8" customFormat="false" ht="17.25" hidden="false" customHeight="true" outlineLevel="0" collapsed="false">
      <c r="B8" s="12" t="s">
        <v>103</v>
      </c>
      <c r="C8" s="12"/>
      <c r="D8" s="12"/>
      <c r="E8" s="12"/>
      <c r="F8" s="12"/>
      <c r="G8" s="12"/>
      <c r="H8" s="12"/>
      <c r="I8" s="31" t="n">
        <f aca="false">'Q12.17'!I8</f>
        <v>900</v>
      </c>
      <c r="J8" s="31"/>
      <c r="K8" s="31"/>
      <c r="L8" s="31"/>
      <c r="M8" s="31"/>
      <c r="N8" s="31"/>
      <c r="O8" s="31"/>
      <c r="P8" s="31"/>
      <c r="Q8" s="31" t="n">
        <f aca="false">'Q12.17'!Q8</f>
        <v>950</v>
      </c>
      <c r="R8" s="31"/>
      <c r="S8" s="31"/>
      <c r="T8" s="31"/>
      <c r="U8" s="31"/>
      <c r="V8" s="31"/>
      <c r="W8" s="31"/>
      <c r="X8" s="31"/>
      <c r="Y8" s="31" t="n">
        <f aca="false">'Q12.17'!Y8</f>
        <v>200</v>
      </c>
      <c r="Z8" s="31"/>
      <c r="AA8" s="31"/>
      <c r="AB8" s="31"/>
      <c r="AC8" s="31"/>
      <c r="AD8" s="31"/>
      <c r="AE8" s="31"/>
      <c r="AF8" s="31"/>
    </row>
    <row r="9" customFormat="false" ht="17.25" hidden="false" customHeight="true" outlineLevel="0" collapsed="false">
      <c r="B9" s="12" t="s">
        <v>104</v>
      </c>
      <c r="C9" s="12"/>
      <c r="D9" s="12"/>
      <c r="E9" s="12"/>
      <c r="F9" s="12"/>
      <c r="G9" s="12"/>
      <c r="H9" s="12"/>
      <c r="I9" s="31" t="n">
        <f aca="false">'Q12.17'!I9</f>
        <v>2000</v>
      </c>
      <c r="J9" s="31"/>
      <c r="K9" s="31"/>
      <c r="L9" s="31"/>
      <c r="M9" s="31"/>
      <c r="N9" s="31"/>
      <c r="O9" s="31"/>
      <c r="P9" s="31"/>
      <c r="Q9" s="31" t="n">
        <f aca="false">'Q12.17'!Q9</f>
        <v>2500</v>
      </c>
      <c r="R9" s="31"/>
      <c r="S9" s="31"/>
      <c r="T9" s="31"/>
      <c r="U9" s="31"/>
      <c r="V9" s="31"/>
      <c r="W9" s="31"/>
      <c r="X9" s="31"/>
      <c r="Y9" s="31" t="n">
        <f aca="false">'Q12.17'!Y9</f>
        <v>300</v>
      </c>
      <c r="Z9" s="31"/>
      <c r="AA9" s="31"/>
      <c r="AB9" s="31"/>
      <c r="AC9" s="31"/>
      <c r="AD9" s="31"/>
      <c r="AE9" s="31"/>
      <c r="AF9" s="31"/>
    </row>
    <row r="10" customFormat="false" ht="17.25" hidden="false" customHeight="true" outlineLevel="0" collapsed="false">
      <c r="B10" s="12" t="s">
        <v>105</v>
      </c>
      <c r="C10" s="12"/>
      <c r="D10" s="12"/>
      <c r="E10" s="12"/>
      <c r="F10" s="12"/>
      <c r="G10" s="12"/>
      <c r="H10" s="12"/>
      <c r="I10" s="31" t="n">
        <f aca="false">'Q12.17'!I10</f>
        <v>600</v>
      </c>
      <c r="J10" s="31"/>
      <c r="K10" s="31"/>
      <c r="L10" s="31"/>
      <c r="M10" s="31"/>
      <c r="N10" s="31"/>
      <c r="O10" s="31"/>
      <c r="P10" s="31"/>
      <c r="Q10" s="31" t="n">
        <f aca="false">'Q12.17'!Q10</f>
        <v>250</v>
      </c>
      <c r="R10" s="31"/>
      <c r="S10" s="31"/>
      <c r="T10" s="31"/>
      <c r="U10" s="31"/>
      <c r="V10" s="31"/>
      <c r="W10" s="31"/>
      <c r="X10" s="31"/>
      <c r="Y10" s="31" t="n">
        <f aca="false">'Q12.17'!Y10</f>
        <v>0</v>
      </c>
      <c r="Z10" s="31"/>
      <c r="AA10" s="31"/>
      <c r="AB10" s="31"/>
      <c r="AC10" s="31"/>
      <c r="AD10" s="31"/>
      <c r="AE10" s="31"/>
      <c r="AF10" s="31"/>
    </row>
    <row r="12" customFormat="false" ht="18.75" hidden="false" customHeight="true" outlineLevel="0" collapsed="false">
      <c r="B12" s="3" t="s">
        <v>106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0" t="s">
        <v>100</v>
      </c>
      <c r="C13" s="10"/>
      <c r="D13" s="10"/>
      <c r="E13" s="10"/>
      <c r="F13" s="10"/>
      <c r="G13" s="10"/>
      <c r="H13" s="10"/>
      <c r="I13" s="11" t="s">
        <v>78</v>
      </c>
      <c r="J13" s="11"/>
      <c r="K13" s="11"/>
      <c r="L13" s="11"/>
      <c r="M13" s="11"/>
      <c r="N13" s="11"/>
      <c r="O13" s="11"/>
      <c r="P13" s="11"/>
      <c r="Q13" s="11"/>
      <c r="R13" s="11"/>
      <c r="S13" s="11"/>
      <c r="T13" s="11"/>
      <c r="U13" s="11" t="s">
        <v>107</v>
      </c>
      <c r="V13" s="11"/>
      <c r="W13" s="11"/>
      <c r="X13" s="11"/>
      <c r="Y13" s="11"/>
      <c r="Z13" s="11"/>
      <c r="AA13" s="11"/>
      <c r="AB13" s="11"/>
      <c r="AC13" s="11"/>
      <c r="AD13" s="11"/>
      <c r="AE13" s="11"/>
      <c r="AF13" s="11"/>
    </row>
    <row r="14" customFormat="false" ht="17.25" hidden="false" customHeight="true" outlineLevel="0" collapsed="false">
      <c r="B14" s="12" t="s">
        <v>102</v>
      </c>
      <c r="C14" s="12"/>
      <c r="D14" s="12"/>
      <c r="E14" s="12"/>
      <c r="F14" s="12"/>
      <c r="G14" s="12"/>
      <c r="H14" s="12"/>
      <c r="I14" s="32" t="n">
        <f aca="false">$Q$7-$Y$7</f>
        <v>1700</v>
      </c>
      <c r="J14" s="32"/>
      <c r="K14" s="32"/>
      <c r="L14" s="32"/>
      <c r="M14" s="32"/>
      <c r="N14" s="32"/>
      <c r="O14" s="32"/>
      <c r="P14" s="32"/>
      <c r="Q14" s="32"/>
      <c r="R14" s="32"/>
      <c r="S14" s="32"/>
      <c r="T14" s="26"/>
      <c r="U14" s="32" t="n">
        <f aca="false">MIN($I$7,$I$14)</f>
        <v>1200</v>
      </c>
      <c r="V14" s="32"/>
      <c r="W14" s="32"/>
      <c r="X14" s="32"/>
      <c r="Y14" s="32"/>
      <c r="Z14" s="32"/>
      <c r="AA14" s="32"/>
      <c r="AB14" s="32"/>
      <c r="AC14" s="32"/>
      <c r="AD14" s="32"/>
      <c r="AE14" s="32"/>
      <c r="AF14" s="26"/>
    </row>
    <row r="15" customFormat="false" ht="17.25" hidden="false" customHeight="true" outlineLevel="0" collapsed="false">
      <c r="B15" s="12" t="s">
        <v>103</v>
      </c>
      <c r="C15" s="12"/>
      <c r="D15" s="12"/>
      <c r="E15" s="12"/>
      <c r="F15" s="12"/>
      <c r="G15" s="12"/>
      <c r="H15" s="12"/>
      <c r="I15" s="32" t="n">
        <f aca="false">$Q$8-$Y$8</f>
        <v>750</v>
      </c>
      <c r="J15" s="32"/>
      <c r="K15" s="32"/>
      <c r="L15" s="32"/>
      <c r="M15" s="32"/>
      <c r="N15" s="32"/>
      <c r="O15" s="32"/>
      <c r="P15" s="32"/>
      <c r="Q15" s="32"/>
      <c r="R15" s="32"/>
      <c r="S15" s="32"/>
      <c r="T15" s="26"/>
      <c r="U15" s="32" t="n">
        <f aca="false">MIN($I$8,$I$15)</f>
        <v>750</v>
      </c>
      <c r="V15" s="32"/>
      <c r="W15" s="32"/>
      <c r="X15" s="32"/>
      <c r="Y15" s="32"/>
      <c r="Z15" s="32"/>
      <c r="AA15" s="32"/>
      <c r="AB15" s="32"/>
      <c r="AC15" s="32"/>
      <c r="AD15" s="32"/>
      <c r="AE15" s="32"/>
      <c r="AF15" s="26"/>
    </row>
    <row r="16" customFormat="false" ht="17.25" hidden="false" customHeight="true" outlineLevel="0" collapsed="false">
      <c r="B16" s="12" t="s">
        <v>104</v>
      </c>
      <c r="C16" s="12"/>
      <c r="D16" s="12"/>
      <c r="E16" s="12"/>
      <c r="F16" s="12"/>
      <c r="G16" s="12"/>
      <c r="H16" s="12"/>
      <c r="I16" s="32" t="n">
        <f aca="false">$Q$9-$Y$9</f>
        <v>2200</v>
      </c>
      <c r="J16" s="32"/>
      <c r="K16" s="32"/>
      <c r="L16" s="32"/>
      <c r="M16" s="32"/>
      <c r="N16" s="32"/>
      <c r="O16" s="32"/>
      <c r="P16" s="32"/>
      <c r="Q16" s="32"/>
      <c r="R16" s="32"/>
      <c r="S16" s="32"/>
      <c r="T16" s="26"/>
      <c r="U16" s="32" t="n">
        <f aca="false">MIN($I$9,$I$16)</f>
        <v>2000</v>
      </c>
      <c r="V16" s="32"/>
      <c r="W16" s="32"/>
      <c r="X16" s="32"/>
      <c r="Y16" s="32"/>
      <c r="Z16" s="32"/>
      <c r="AA16" s="32"/>
      <c r="AB16" s="32"/>
      <c r="AC16" s="32"/>
      <c r="AD16" s="32"/>
      <c r="AE16" s="32"/>
      <c r="AF16" s="26"/>
    </row>
    <row r="17" customFormat="false" ht="17.25" hidden="false" customHeight="true" outlineLevel="0" collapsed="false">
      <c r="B17" s="12" t="s">
        <v>105</v>
      </c>
      <c r="C17" s="12"/>
      <c r="D17" s="12"/>
      <c r="E17" s="12"/>
      <c r="F17" s="12"/>
      <c r="G17" s="12"/>
      <c r="H17" s="12"/>
      <c r="I17" s="32" t="n">
        <f aca="false">$Q$10-$Y$10</f>
        <v>250</v>
      </c>
      <c r="J17" s="32"/>
      <c r="K17" s="32"/>
      <c r="L17" s="32"/>
      <c r="M17" s="32"/>
      <c r="N17" s="32"/>
      <c r="O17" s="32"/>
      <c r="P17" s="32"/>
      <c r="Q17" s="32"/>
      <c r="R17" s="32"/>
      <c r="S17" s="32"/>
      <c r="T17" s="26"/>
      <c r="U17" s="32" t="n">
        <f aca="false">MIN($I$10,$I$17)</f>
        <v>250</v>
      </c>
      <c r="V17" s="32"/>
      <c r="W17" s="32"/>
      <c r="X17" s="32"/>
      <c r="Y17" s="32"/>
      <c r="Z17" s="32"/>
      <c r="AA17" s="32"/>
      <c r="AB17" s="32"/>
      <c r="AC17" s="32"/>
      <c r="AD17" s="32"/>
      <c r="AE17" s="32"/>
      <c r="AF17" s="26"/>
    </row>
    <row r="18" customFormat="false" ht="17.25" hidden="false" customHeight="true" outlineLevel="0" collapsed="false">
      <c r="B18" s="25" t="s">
        <v>108</v>
      </c>
      <c r="C18" s="25"/>
      <c r="D18" s="25"/>
      <c r="E18" s="25"/>
      <c r="F18" s="25"/>
      <c r="G18" s="25"/>
      <c r="H18" s="25"/>
      <c r="I18" s="26"/>
      <c r="J18" s="26"/>
      <c r="K18" s="26"/>
      <c r="L18" s="26"/>
      <c r="M18" s="26"/>
      <c r="N18" s="26"/>
      <c r="O18" s="26"/>
      <c r="P18" s="26"/>
      <c r="Q18" s="26"/>
      <c r="R18" s="26"/>
      <c r="S18" s="26"/>
      <c r="T18" s="26"/>
      <c r="U18" s="33" t="n">
        <f aca="false">$U$14+$U$15+$U$16+$U$17</f>
        <v>4200</v>
      </c>
      <c r="V18" s="33"/>
      <c r="W18" s="33"/>
      <c r="X18" s="33"/>
      <c r="Y18" s="33"/>
      <c r="Z18" s="33"/>
      <c r="AA18" s="33"/>
      <c r="AB18" s="33"/>
      <c r="AC18" s="33"/>
      <c r="AD18" s="33"/>
      <c r="AE18" s="33"/>
      <c r="AF18" s="26"/>
    </row>
    <row r="20" customFormat="false" ht="18.75" hidden="false" customHeight="true" outlineLevel="0" collapsed="false">
      <c r="B20" s="3" t="s">
        <v>109</v>
      </c>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ustomFormat="false" ht="17.25" hidden="false" customHeight="true" outlineLevel="0" collapsed="false">
      <c r="B21" s="18" t="s">
        <v>110</v>
      </c>
      <c r="C21" s="18"/>
      <c r="D21" s="18"/>
      <c r="E21" s="18"/>
      <c r="F21" s="18"/>
      <c r="G21" s="18"/>
      <c r="H21" s="18"/>
      <c r="I21" s="18"/>
      <c r="J21" s="18"/>
      <c r="K21" s="18"/>
      <c r="L21" s="18"/>
      <c r="M21" s="18"/>
      <c r="N21" s="18"/>
      <c r="O21" s="18"/>
      <c r="P21" s="18"/>
      <c r="Q21" s="18"/>
      <c r="R21" s="18"/>
      <c r="S21" s="18"/>
      <c r="T21" s="18"/>
      <c r="U21" s="18"/>
      <c r="V21" s="18"/>
      <c r="W21" s="18"/>
      <c r="X21" s="32" t="n">
        <f aca="false">($I$7+$I$8+$I$9+$I$10)-$U$18</f>
        <v>500</v>
      </c>
      <c r="Y21" s="32"/>
      <c r="Z21" s="32"/>
      <c r="AA21" s="32"/>
      <c r="AB21" s="32"/>
    </row>
    <row r="23" customFormat="false" ht="18.75" hidden="false" customHeight="true" outlineLevel="0" collapsed="false">
      <c r="B23" s="3" t="s">
        <v>111</v>
      </c>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ustomFormat="false" ht="17.25" hidden="false" customHeight="true" outlineLevel="0" collapsed="false">
      <c r="B24" s="18" t="s">
        <v>39</v>
      </c>
      <c r="C24" s="18"/>
      <c r="D24" s="18"/>
      <c r="E24" s="18"/>
      <c r="F24" s="18"/>
      <c r="G24" s="18"/>
      <c r="H24" s="18"/>
      <c r="I24" s="18"/>
      <c r="J24" s="18"/>
      <c r="K24" s="18"/>
      <c r="L24" s="18"/>
      <c r="M24" s="18"/>
      <c r="N24" s="18"/>
      <c r="O24" s="18"/>
      <c r="P24" s="18"/>
      <c r="Q24" s="18"/>
      <c r="R24" s="18"/>
      <c r="S24" s="18"/>
      <c r="T24" s="29" t="str">
        <f aca="false">"Prudence"</f>
        <v>Prudence</v>
      </c>
      <c r="U24" s="29"/>
      <c r="V24" s="29"/>
      <c r="W24" s="29"/>
      <c r="X24" s="29"/>
      <c r="Y24" s="29"/>
      <c r="Z24" s="29"/>
      <c r="AA24" s="29"/>
      <c r="AB24" s="29"/>
    </row>
    <row r="25" customFormat="false" ht="17.25" hidden="false" customHeight="true" outlineLevel="0" collapsed="false">
      <c r="B25" s="30" t="s">
        <v>171</v>
      </c>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row>
    <row r="26" customFormat="false" ht="17.25" hidden="false" customHeight="tru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row>
  </sheetData>
  <mergeCells count="50">
    <mergeCell ref="B1:AF1"/>
    <mergeCell ref="B2:AF2"/>
    <mergeCell ref="B3:AF3"/>
    <mergeCell ref="B5:AF5"/>
    <mergeCell ref="B6:H6"/>
    <mergeCell ref="I6:P6"/>
    <mergeCell ref="Q6:X6"/>
    <mergeCell ref="Y6:AF6"/>
    <mergeCell ref="B7:H7"/>
    <mergeCell ref="I7:P7"/>
    <mergeCell ref="Q7:X7"/>
    <mergeCell ref="Y7:AF7"/>
    <mergeCell ref="B8:H8"/>
    <mergeCell ref="I8:P8"/>
    <mergeCell ref="Q8:X8"/>
    <mergeCell ref="Y8:AF8"/>
    <mergeCell ref="B9:H9"/>
    <mergeCell ref="I9:P9"/>
    <mergeCell ref="Q9:X9"/>
    <mergeCell ref="Y9:AF9"/>
    <mergeCell ref="B10:H10"/>
    <mergeCell ref="I10:P10"/>
    <mergeCell ref="Q10:X10"/>
    <mergeCell ref="Y10:AF10"/>
    <mergeCell ref="B12:AF12"/>
    <mergeCell ref="B13:H13"/>
    <mergeCell ref="I13:T13"/>
    <mergeCell ref="U13:AF13"/>
    <mergeCell ref="B14:H14"/>
    <mergeCell ref="I14:S14"/>
    <mergeCell ref="U14:AE14"/>
    <mergeCell ref="B15:H15"/>
    <mergeCell ref="I15:S15"/>
    <mergeCell ref="U15:AE15"/>
    <mergeCell ref="B16:H16"/>
    <mergeCell ref="I16:S16"/>
    <mergeCell ref="U16:AE16"/>
    <mergeCell ref="B17:H17"/>
    <mergeCell ref="I17:S17"/>
    <mergeCell ref="U17:AE17"/>
    <mergeCell ref="B18:H18"/>
    <mergeCell ref="I18:T18"/>
    <mergeCell ref="U18:AE18"/>
    <mergeCell ref="B20:AF20"/>
    <mergeCell ref="B21:W21"/>
    <mergeCell ref="X21:AB21"/>
    <mergeCell ref="B23:AF23"/>
    <mergeCell ref="B24:S24"/>
    <mergeCell ref="T24:AB24"/>
    <mergeCell ref="B25:AF26"/>
  </mergeCells>
  <conditionalFormatting sqref="B1:AG27">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172</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113</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7" customFormat="false" ht="18.75" hidden="false" customHeight="true" outlineLevel="0" collapsed="false">
      <c r="B7" s="3" t="s">
        <v>114</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ustomFormat="false" ht="17.25" hidden="false" customHeight="true" outlineLevel="0" collapsed="false">
      <c r="B8" s="18" t="s">
        <v>115</v>
      </c>
      <c r="C8" s="18"/>
      <c r="D8" s="18"/>
      <c r="E8" s="18"/>
      <c r="F8" s="18"/>
      <c r="G8" s="18"/>
      <c r="H8" s="18"/>
      <c r="I8" s="18"/>
      <c r="J8" s="18"/>
      <c r="K8" s="18"/>
      <c r="L8" s="18"/>
      <c r="M8" s="18"/>
      <c r="N8" s="18"/>
      <c r="O8" s="18"/>
      <c r="P8" s="18"/>
      <c r="Q8" s="18"/>
      <c r="R8" s="18"/>
      <c r="S8" s="18"/>
      <c r="T8" s="29" t="str">
        <f aca="false">"Consistency"</f>
        <v>Consistency</v>
      </c>
      <c r="U8" s="29"/>
      <c r="V8" s="29"/>
      <c r="W8" s="29"/>
      <c r="X8" s="29"/>
      <c r="Y8" s="29"/>
      <c r="Z8" s="29"/>
      <c r="AA8" s="29"/>
      <c r="AB8" s="29"/>
    </row>
    <row r="9" customFormat="false" ht="17.25" hidden="false" customHeight="true" outlineLevel="0" collapsed="false">
      <c r="B9" s="30" t="s">
        <v>173</v>
      </c>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row>
    <row r="10" customFormat="false" ht="17.25" hidden="false" customHeight="tru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row>
    <row r="12" customFormat="false" ht="18.75" hidden="false" customHeight="true" outlineLevel="0" collapsed="false">
      <c r="B12" s="3" t="s">
        <v>116</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ustomFormat="false" ht="17.25" hidden="false" customHeight="true" outlineLevel="0" collapsed="false">
      <c r="B13" s="18" t="s">
        <v>115</v>
      </c>
      <c r="C13" s="18"/>
      <c r="D13" s="18"/>
      <c r="E13" s="18"/>
      <c r="F13" s="18"/>
      <c r="G13" s="18"/>
      <c r="H13" s="18"/>
      <c r="I13" s="18"/>
      <c r="J13" s="18"/>
      <c r="K13" s="18"/>
      <c r="L13" s="18"/>
      <c r="M13" s="18"/>
      <c r="N13" s="18"/>
      <c r="O13" s="18"/>
      <c r="P13" s="18"/>
      <c r="Q13" s="18"/>
      <c r="R13" s="18"/>
      <c r="S13" s="18"/>
      <c r="T13" s="29" t="str">
        <f aca="false">"Business entity"</f>
        <v>Business entity</v>
      </c>
      <c r="U13" s="29"/>
      <c r="V13" s="29"/>
      <c r="W13" s="29"/>
      <c r="X13" s="29"/>
      <c r="Y13" s="29"/>
      <c r="Z13" s="29"/>
      <c r="AA13" s="29"/>
      <c r="AB13" s="29"/>
    </row>
    <row r="14" customFormat="false" ht="17.25" hidden="false" customHeight="true" outlineLevel="0" collapsed="false">
      <c r="B14" s="30" t="s">
        <v>174</v>
      </c>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row>
    <row r="15" customFormat="false" ht="17.25" hidden="false" customHeight="tru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row>
    <row r="17" customFormat="false" ht="18.75" hidden="false" customHeight="true" outlineLevel="0" collapsed="false">
      <c r="B17" s="3" t="s">
        <v>117</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115</v>
      </c>
      <c r="C18" s="18"/>
      <c r="D18" s="18"/>
      <c r="E18" s="18"/>
      <c r="F18" s="18"/>
      <c r="G18" s="18"/>
      <c r="H18" s="18"/>
      <c r="I18" s="18"/>
      <c r="J18" s="18"/>
      <c r="K18" s="18"/>
      <c r="L18" s="18"/>
      <c r="M18" s="18"/>
      <c r="N18" s="18"/>
      <c r="O18" s="18"/>
      <c r="P18" s="18"/>
      <c r="Q18" s="18"/>
      <c r="R18" s="18"/>
      <c r="S18" s="18"/>
      <c r="T18" s="29" t="str">
        <f aca="false">"Realisation"</f>
        <v>Realisation</v>
      </c>
      <c r="U18" s="29"/>
      <c r="V18" s="29"/>
      <c r="W18" s="29"/>
      <c r="X18" s="29"/>
      <c r="Y18" s="29"/>
      <c r="Z18" s="29"/>
      <c r="AA18" s="29"/>
      <c r="AB18" s="29"/>
    </row>
    <row r="19" customFormat="false" ht="17.25" hidden="false" customHeight="true" outlineLevel="0" collapsed="false">
      <c r="B19" s="30" t="s">
        <v>175</v>
      </c>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row>
    <row r="20" customFormat="false" ht="17.25" hidden="false" customHeight="tru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row>
    <row r="22" customFormat="false" ht="18.75" hidden="false" customHeight="true" outlineLevel="0" collapsed="false">
      <c r="B22" s="3" t="s">
        <v>118</v>
      </c>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ustomFormat="false" ht="17.25" hidden="false" customHeight="true" outlineLevel="0" collapsed="false">
      <c r="B23" s="18" t="s">
        <v>115</v>
      </c>
      <c r="C23" s="18"/>
      <c r="D23" s="18"/>
      <c r="E23" s="18"/>
      <c r="F23" s="18"/>
      <c r="G23" s="18"/>
      <c r="H23" s="18"/>
      <c r="I23" s="18"/>
      <c r="J23" s="18"/>
      <c r="K23" s="18"/>
      <c r="L23" s="18"/>
      <c r="M23" s="18"/>
      <c r="N23" s="18"/>
      <c r="O23" s="18"/>
      <c r="P23" s="18"/>
      <c r="Q23" s="18"/>
      <c r="R23" s="18"/>
      <c r="S23" s="18"/>
      <c r="T23" s="29" t="str">
        <f aca="false">"Accruals"</f>
        <v>Accruals</v>
      </c>
      <c r="U23" s="29"/>
      <c r="V23" s="29"/>
      <c r="W23" s="29"/>
      <c r="X23" s="29"/>
      <c r="Y23" s="29"/>
      <c r="Z23" s="29"/>
      <c r="AA23" s="29"/>
      <c r="AB23" s="29"/>
    </row>
    <row r="24" customFormat="false" ht="17.25" hidden="false" customHeight="true" outlineLevel="0" collapsed="false">
      <c r="B24" s="30" t="s">
        <v>176</v>
      </c>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row>
    <row r="25" customFormat="false" ht="17.25" hidden="false" customHeight="tru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row>
    <row r="27" customFormat="false" ht="18.75" hidden="false" customHeight="true" outlineLevel="0" collapsed="false">
      <c r="B27" s="3" t="s">
        <v>119</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ustomFormat="false" ht="17.25" hidden="false" customHeight="true" outlineLevel="0" collapsed="false">
      <c r="B28" s="18" t="s">
        <v>115</v>
      </c>
      <c r="C28" s="18"/>
      <c r="D28" s="18"/>
      <c r="E28" s="18"/>
      <c r="F28" s="18"/>
      <c r="G28" s="18"/>
      <c r="H28" s="18"/>
      <c r="I28" s="18"/>
      <c r="J28" s="18"/>
      <c r="K28" s="18"/>
      <c r="L28" s="18"/>
      <c r="M28" s="18"/>
      <c r="N28" s="18"/>
      <c r="O28" s="18"/>
      <c r="P28" s="18"/>
      <c r="Q28" s="18"/>
      <c r="R28" s="18"/>
      <c r="S28" s="18"/>
      <c r="T28" s="29" t="str">
        <f aca="false">"Historical cost"</f>
        <v>Historical cost</v>
      </c>
      <c r="U28" s="29"/>
      <c r="V28" s="29"/>
      <c r="W28" s="29"/>
      <c r="X28" s="29"/>
      <c r="Y28" s="29"/>
      <c r="Z28" s="29"/>
      <c r="AA28" s="29"/>
      <c r="AB28" s="29"/>
    </row>
    <row r="29" customFormat="false" ht="17.25" hidden="false" customHeight="true" outlineLevel="0" collapsed="false">
      <c r="B29" s="30" t="s">
        <v>177</v>
      </c>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row>
    <row r="30" customFormat="false" ht="17.25" hidden="false" customHeight="tru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row>
  </sheetData>
  <mergeCells count="24">
    <mergeCell ref="B1:AF1"/>
    <mergeCell ref="B2:AF2"/>
    <mergeCell ref="B3:AF3"/>
    <mergeCell ref="B5:AF5"/>
    <mergeCell ref="B7:AF7"/>
    <mergeCell ref="B8:S8"/>
    <mergeCell ref="T8:AB8"/>
    <mergeCell ref="B9:AF10"/>
    <mergeCell ref="B12:AF12"/>
    <mergeCell ref="B13:S13"/>
    <mergeCell ref="T13:AB13"/>
    <mergeCell ref="B14:AF15"/>
    <mergeCell ref="B17:AF17"/>
    <mergeCell ref="B18:S18"/>
    <mergeCell ref="T18:AB18"/>
    <mergeCell ref="B19:AF20"/>
    <mergeCell ref="B22:AF22"/>
    <mergeCell ref="B23:S23"/>
    <mergeCell ref="T23:AB23"/>
    <mergeCell ref="B24:AF25"/>
    <mergeCell ref="B27:AF27"/>
    <mergeCell ref="B28:S28"/>
    <mergeCell ref="T28:AB28"/>
    <mergeCell ref="B29:AF30"/>
  </mergeCells>
  <conditionalFormatting sqref="B1:AG3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3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178</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121</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0" t="s">
        <v>100</v>
      </c>
      <c r="C6" s="10"/>
      <c r="D6" s="10"/>
      <c r="E6" s="10"/>
      <c r="F6" s="10"/>
      <c r="G6" s="10"/>
      <c r="H6" s="10"/>
      <c r="I6" s="10"/>
      <c r="J6" s="10"/>
      <c r="K6" s="10"/>
      <c r="L6" s="10"/>
      <c r="M6" s="10"/>
      <c r="N6" s="10"/>
      <c r="O6" s="11" t="s">
        <v>122</v>
      </c>
      <c r="P6" s="11"/>
      <c r="Q6" s="11"/>
      <c r="R6" s="11"/>
      <c r="S6" s="11"/>
      <c r="T6" s="11"/>
      <c r="U6" s="11"/>
      <c r="V6" s="11"/>
      <c r="W6" s="11"/>
      <c r="X6" s="11" t="s">
        <v>123</v>
      </c>
      <c r="Y6" s="11"/>
      <c r="Z6" s="11"/>
      <c r="AA6" s="11"/>
      <c r="AB6" s="11"/>
      <c r="AC6" s="11"/>
      <c r="AD6" s="11"/>
      <c r="AE6" s="11"/>
      <c r="AF6" s="11"/>
    </row>
    <row r="7" customFormat="false" ht="17.25" hidden="false" customHeight="true" outlineLevel="0" collapsed="false">
      <c r="B7" s="12" t="s">
        <v>124</v>
      </c>
      <c r="C7" s="12"/>
      <c r="D7" s="12"/>
      <c r="E7" s="12"/>
      <c r="F7" s="12"/>
      <c r="G7" s="12"/>
      <c r="H7" s="12"/>
      <c r="I7" s="12"/>
      <c r="J7" s="12"/>
      <c r="K7" s="12"/>
      <c r="L7" s="12"/>
      <c r="M7" s="12"/>
      <c r="N7" s="12"/>
      <c r="O7" s="31" t="n">
        <f aca="false">'Q12.19'!O7</f>
        <v>80000</v>
      </c>
      <c r="P7" s="31"/>
      <c r="Q7" s="31"/>
      <c r="R7" s="31"/>
      <c r="S7" s="31"/>
      <c r="T7" s="31"/>
      <c r="U7" s="31"/>
      <c r="V7" s="31"/>
      <c r="W7" s="31"/>
      <c r="X7" s="31" t="n">
        <f aca="false">'Q12.19'!X7</f>
        <v>95000</v>
      </c>
      <c r="Y7" s="31"/>
      <c r="Z7" s="31"/>
      <c r="AA7" s="31"/>
      <c r="AB7" s="31"/>
      <c r="AC7" s="31"/>
      <c r="AD7" s="31"/>
      <c r="AE7" s="31"/>
      <c r="AF7" s="31"/>
    </row>
    <row r="8" customFormat="false" ht="17.25" hidden="false" customHeight="true" outlineLevel="0" collapsed="false">
      <c r="B8" s="12" t="s">
        <v>125</v>
      </c>
      <c r="C8" s="12"/>
      <c r="D8" s="12"/>
      <c r="E8" s="12"/>
      <c r="F8" s="12"/>
      <c r="G8" s="12"/>
      <c r="H8" s="12"/>
      <c r="I8" s="12"/>
      <c r="J8" s="12"/>
      <c r="K8" s="12"/>
      <c r="L8" s="12"/>
      <c r="M8" s="12"/>
      <c r="N8" s="12"/>
      <c r="O8" s="31" t="n">
        <f aca="false">'Q12.19'!O8</f>
        <v>20000</v>
      </c>
      <c r="P8" s="31"/>
      <c r="Q8" s="31"/>
      <c r="R8" s="31"/>
      <c r="S8" s="31"/>
      <c r="T8" s="31"/>
      <c r="U8" s="31"/>
      <c r="V8" s="31"/>
      <c r="W8" s="31"/>
      <c r="X8" s="31" t="n">
        <f aca="false">'Q12.19'!X8</f>
        <v>6000</v>
      </c>
      <c r="Y8" s="31"/>
      <c r="Z8" s="31"/>
      <c r="AA8" s="31"/>
      <c r="AB8" s="31"/>
      <c r="AC8" s="31"/>
      <c r="AD8" s="31"/>
      <c r="AE8" s="31"/>
      <c r="AF8" s="31"/>
    </row>
    <row r="9" customFormat="false" ht="17.25" hidden="false" customHeight="true" outlineLevel="0" collapsed="false">
      <c r="B9" s="12" t="s">
        <v>126</v>
      </c>
      <c r="C9" s="12"/>
      <c r="D9" s="12"/>
      <c r="E9" s="12"/>
      <c r="F9" s="12"/>
      <c r="G9" s="12"/>
      <c r="H9" s="12"/>
      <c r="I9" s="12"/>
      <c r="J9" s="12"/>
      <c r="K9" s="12"/>
      <c r="L9" s="12"/>
      <c r="M9" s="12"/>
      <c r="N9" s="12"/>
      <c r="O9" s="31" t="n">
        <f aca="false">'Q12.19'!O9</f>
        <v>15000</v>
      </c>
      <c r="P9" s="31"/>
      <c r="Q9" s="31"/>
      <c r="R9" s="31"/>
      <c r="S9" s="31"/>
      <c r="T9" s="31"/>
      <c r="U9" s="31"/>
      <c r="V9" s="31"/>
      <c r="W9" s="31"/>
      <c r="X9" s="31" t="n">
        <f aca="false">'Q12.19'!X9</f>
        <v>9000</v>
      </c>
      <c r="Y9" s="31"/>
      <c r="Z9" s="31"/>
      <c r="AA9" s="31"/>
      <c r="AB9" s="31"/>
      <c r="AC9" s="31"/>
      <c r="AD9" s="31"/>
      <c r="AE9" s="31"/>
      <c r="AF9" s="31"/>
    </row>
    <row r="10" customFormat="false" ht="17.25" hidden="false" customHeight="true" outlineLevel="0" collapsed="false">
      <c r="B10" s="12" t="s">
        <v>127</v>
      </c>
      <c r="C10" s="12"/>
      <c r="D10" s="12"/>
      <c r="E10" s="12"/>
      <c r="F10" s="12"/>
      <c r="G10" s="12"/>
      <c r="H10" s="12"/>
      <c r="I10" s="12"/>
      <c r="J10" s="12"/>
      <c r="K10" s="12"/>
      <c r="L10" s="12"/>
      <c r="M10" s="12"/>
      <c r="N10" s="12"/>
      <c r="O10" s="31" t="n">
        <f aca="false">'Q12.19'!O10</f>
        <v>12000</v>
      </c>
      <c r="P10" s="31"/>
      <c r="Q10" s="31"/>
      <c r="R10" s="31"/>
      <c r="S10" s="31"/>
      <c r="T10" s="31"/>
      <c r="U10" s="31"/>
      <c r="V10" s="31"/>
      <c r="W10" s="31"/>
      <c r="X10" s="31" t="n">
        <f aca="false">'Q12.19'!X10</f>
        <v>10500</v>
      </c>
      <c r="Y10" s="31"/>
      <c r="Z10" s="31"/>
      <c r="AA10" s="31"/>
      <c r="AB10" s="31"/>
      <c r="AC10" s="31"/>
      <c r="AD10" s="31"/>
      <c r="AE10" s="31"/>
      <c r="AF10" s="31"/>
    </row>
    <row r="11" customFormat="false" ht="17.25" hidden="false" customHeight="true" outlineLevel="0" collapsed="false">
      <c r="B11" s="12" t="s">
        <v>128</v>
      </c>
      <c r="C11" s="12"/>
      <c r="D11" s="12"/>
      <c r="E11" s="12"/>
      <c r="F11" s="12"/>
      <c r="G11" s="12"/>
      <c r="H11" s="12"/>
      <c r="I11" s="12"/>
      <c r="J11" s="12"/>
      <c r="K11" s="12"/>
      <c r="L11" s="12"/>
      <c r="M11" s="12"/>
      <c r="N11" s="12"/>
      <c r="O11" s="31" t="n">
        <f aca="false">'Q12.19'!O11</f>
        <v>600</v>
      </c>
      <c r="P11" s="31"/>
      <c r="Q11" s="31"/>
      <c r="R11" s="31"/>
      <c r="S11" s="31"/>
      <c r="T11" s="31"/>
      <c r="U11" s="31"/>
      <c r="V11" s="31"/>
      <c r="W11" s="31"/>
      <c r="X11" s="13" t="s">
        <v>129</v>
      </c>
      <c r="Y11" s="13"/>
      <c r="Z11" s="13"/>
      <c r="AA11" s="13"/>
      <c r="AB11" s="13"/>
      <c r="AC11" s="13"/>
      <c r="AD11" s="13"/>
      <c r="AE11" s="13"/>
      <c r="AF11" s="13"/>
    </row>
    <row r="12" customFormat="false" ht="17.25" hidden="false" customHeight="true" outlineLevel="0" collapsed="false">
      <c r="B12" s="12" t="s">
        <v>130</v>
      </c>
      <c r="C12" s="12"/>
      <c r="D12" s="12"/>
      <c r="E12" s="12"/>
      <c r="F12" s="12"/>
      <c r="G12" s="12"/>
      <c r="H12" s="12"/>
      <c r="I12" s="12"/>
      <c r="J12" s="12"/>
      <c r="K12" s="12"/>
      <c r="L12" s="12"/>
      <c r="M12" s="12"/>
      <c r="N12" s="12"/>
      <c r="O12" s="31" t="n">
        <f aca="false">'Q12.19'!O12</f>
        <v>3000</v>
      </c>
      <c r="P12" s="31"/>
      <c r="Q12" s="31"/>
      <c r="R12" s="31"/>
      <c r="S12" s="31"/>
      <c r="T12" s="31"/>
      <c r="U12" s="31"/>
      <c r="V12" s="31"/>
      <c r="W12" s="31"/>
      <c r="X12" s="31" t="n">
        <f aca="false">'Q12.19'!X12</f>
        <v>3000</v>
      </c>
      <c r="Y12" s="31"/>
      <c r="Z12" s="31"/>
      <c r="AA12" s="31"/>
      <c r="AB12" s="31"/>
      <c r="AC12" s="31"/>
      <c r="AD12" s="31"/>
      <c r="AE12" s="31"/>
      <c r="AF12" s="31"/>
    </row>
    <row r="13" customFormat="false" ht="17.25" hidden="false" customHeight="true" outlineLevel="0" collapsed="false">
      <c r="B13" s="12" t="s">
        <v>131</v>
      </c>
      <c r="C13" s="12"/>
      <c r="D13" s="12"/>
      <c r="E13" s="12"/>
      <c r="F13" s="12"/>
      <c r="G13" s="12"/>
      <c r="H13" s="12"/>
      <c r="I13" s="12"/>
      <c r="J13" s="12"/>
      <c r="K13" s="12"/>
      <c r="L13" s="12"/>
      <c r="M13" s="12"/>
      <c r="N13" s="12"/>
      <c r="O13" s="31" t="n">
        <f aca="false">'Q12.19'!O13</f>
        <v>8000</v>
      </c>
      <c r="P13" s="31"/>
      <c r="Q13" s="31"/>
      <c r="R13" s="31"/>
      <c r="S13" s="31"/>
      <c r="T13" s="31"/>
      <c r="U13" s="31"/>
      <c r="V13" s="31"/>
      <c r="W13" s="31"/>
      <c r="X13" s="31" t="n">
        <f aca="false">'Q12.19'!X13</f>
        <v>8000</v>
      </c>
      <c r="Y13" s="31"/>
      <c r="Z13" s="31"/>
      <c r="AA13" s="31"/>
      <c r="AB13" s="31"/>
      <c r="AC13" s="31"/>
      <c r="AD13" s="31"/>
      <c r="AE13" s="31"/>
      <c r="AF13" s="31"/>
    </row>
    <row r="14" customFormat="false" ht="17.25" hidden="false" customHeight="true" outlineLevel="0" collapsed="false">
      <c r="B14" s="12" t="s">
        <v>132</v>
      </c>
      <c r="C14" s="12"/>
      <c r="D14" s="12"/>
      <c r="E14" s="12"/>
      <c r="F14" s="12"/>
      <c r="G14" s="12"/>
      <c r="H14" s="12"/>
      <c r="I14" s="12"/>
      <c r="J14" s="12"/>
      <c r="K14" s="12"/>
      <c r="L14" s="12"/>
      <c r="M14" s="12"/>
      <c r="N14" s="12"/>
      <c r="O14" s="31" t="n">
        <f aca="false">'Q12.19'!O14</f>
        <v>25000</v>
      </c>
      <c r="P14" s="31"/>
      <c r="Q14" s="31"/>
      <c r="R14" s="31"/>
      <c r="S14" s="31"/>
      <c r="T14" s="31"/>
      <c r="U14" s="31"/>
      <c r="V14" s="31"/>
      <c r="W14" s="31"/>
      <c r="X14" s="31" t="n">
        <f aca="false">'Q12.19'!X14</f>
        <v>25000</v>
      </c>
      <c r="Y14" s="31"/>
      <c r="Z14" s="31"/>
      <c r="AA14" s="31"/>
      <c r="AB14" s="31"/>
      <c r="AC14" s="31"/>
      <c r="AD14" s="31"/>
      <c r="AE14" s="31"/>
      <c r="AF14" s="31"/>
    </row>
    <row r="15" customFormat="false" ht="16.5" hidden="false" customHeight="true" outlineLevel="0" collapsed="false">
      <c r="B15" s="4" t="s">
        <v>133</v>
      </c>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7" customFormat="false" ht="18.75" hidden="false" customHeight="true" outlineLevel="0" collapsed="false">
      <c r="B17" s="3" t="s">
        <v>134</v>
      </c>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ustomFormat="false" ht="17.25" hidden="false" customHeight="true" outlineLevel="0" collapsed="false">
      <c r="B18" s="18" t="s">
        <v>135</v>
      </c>
      <c r="C18" s="18"/>
      <c r="D18" s="18"/>
      <c r="E18" s="18"/>
      <c r="F18" s="18"/>
      <c r="G18" s="18"/>
      <c r="H18" s="18"/>
      <c r="I18" s="18"/>
      <c r="J18" s="18"/>
      <c r="K18" s="18"/>
      <c r="L18" s="18"/>
      <c r="M18" s="18"/>
      <c r="N18" s="18"/>
      <c r="O18" s="18"/>
      <c r="P18" s="18"/>
      <c r="Q18" s="18"/>
      <c r="R18" s="18"/>
      <c r="S18" s="18"/>
      <c r="T18" s="18"/>
      <c r="U18" s="18"/>
      <c r="V18" s="18"/>
      <c r="W18" s="18"/>
      <c r="X18" s="32" t="n">
        <f aca="false">$O$7+$O$8+$O$9+($O$10-$O$11)+$O$12</f>
        <v>129400</v>
      </c>
      <c r="Y18" s="32"/>
      <c r="Z18" s="32"/>
      <c r="AA18" s="32"/>
      <c r="AB18" s="32"/>
    </row>
    <row r="19" customFormat="false" ht="17.25" hidden="false" customHeight="true" outlineLevel="0" collapsed="false">
      <c r="B19" s="18" t="s">
        <v>136</v>
      </c>
      <c r="C19" s="18"/>
      <c r="D19" s="18"/>
      <c r="E19" s="18"/>
      <c r="F19" s="18"/>
      <c r="G19" s="18"/>
      <c r="H19" s="18"/>
      <c r="I19" s="18"/>
      <c r="J19" s="18"/>
      <c r="K19" s="18"/>
      <c r="L19" s="18"/>
      <c r="M19" s="18"/>
      <c r="N19" s="18"/>
      <c r="O19" s="18"/>
      <c r="P19" s="18"/>
      <c r="Q19" s="18"/>
      <c r="R19" s="18"/>
      <c r="S19" s="18"/>
      <c r="T19" s="18"/>
      <c r="U19" s="18"/>
      <c r="V19" s="18"/>
      <c r="W19" s="18"/>
      <c r="X19" s="32" t="n">
        <f aca="false">$X$18-$O$13-$O$14</f>
        <v>96400</v>
      </c>
      <c r="Y19" s="32"/>
      <c r="Z19" s="32"/>
      <c r="AA19" s="32"/>
      <c r="AB19" s="32"/>
    </row>
    <row r="21" customFormat="false" ht="18.75" hidden="false" customHeight="true" outlineLevel="0" collapsed="false">
      <c r="B21" s="3" t="s">
        <v>137</v>
      </c>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ustomFormat="false" ht="17.25" hidden="false" customHeight="true" outlineLevel="0" collapsed="false">
      <c r="B22" s="18" t="s">
        <v>138</v>
      </c>
      <c r="C22" s="18"/>
      <c r="D22" s="18"/>
      <c r="E22" s="18"/>
      <c r="F22" s="18"/>
      <c r="G22" s="18"/>
      <c r="H22" s="18"/>
      <c r="I22" s="18"/>
      <c r="J22" s="18"/>
      <c r="K22" s="18"/>
      <c r="L22" s="18"/>
      <c r="M22" s="18"/>
      <c r="N22" s="18"/>
      <c r="O22" s="18"/>
      <c r="P22" s="18"/>
      <c r="Q22" s="18"/>
      <c r="R22" s="18"/>
      <c r="S22" s="18"/>
      <c r="T22" s="18"/>
      <c r="U22" s="18"/>
      <c r="V22" s="18"/>
      <c r="W22" s="18"/>
      <c r="X22" s="32" t="n">
        <f aca="false">$X$7+$X$8+$X$9+$X$10+$X$12</f>
        <v>123500</v>
      </c>
      <c r="Y22" s="32"/>
      <c r="Z22" s="32"/>
      <c r="AA22" s="32"/>
      <c r="AB22" s="32"/>
    </row>
    <row r="23" customFormat="false" ht="17.25" hidden="false" customHeight="true" outlineLevel="0" collapsed="false">
      <c r="B23" s="18" t="s">
        <v>139</v>
      </c>
      <c r="C23" s="18"/>
      <c r="D23" s="18"/>
      <c r="E23" s="18"/>
      <c r="F23" s="18"/>
      <c r="G23" s="18"/>
      <c r="H23" s="18"/>
      <c r="I23" s="18"/>
      <c r="J23" s="18"/>
      <c r="K23" s="18"/>
      <c r="L23" s="18"/>
      <c r="M23" s="18"/>
      <c r="N23" s="18"/>
      <c r="O23" s="18"/>
      <c r="P23" s="18"/>
      <c r="Q23" s="18"/>
      <c r="R23" s="18"/>
      <c r="S23" s="18"/>
      <c r="T23" s="18"/>
      <c r="U23" s="18"/>
      <c r="V23" s="18"/>
      <c r="W23" s="18"/>
      <c r="X23" s="32" t="n">
        <f aca="false">$X$22-$X$13-$X$14</f>
        <v>90500</v>
      </c>
      <c r="Y23" s="32"/>
      <c r="Z23" s="32"/>
      <c r="AA23" s="32"/>
      <c r="AB23" s="32"/>
    </row>
    <row r="25" customFormat="false" ht="18.75" hidden="false" customHeight="true" outlineLevel="0" collapsed="false">
      <c r="B25" s="3" t="s">
        <v>140</v>
      </c>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ustomFormat="false" ht="17.25" hidden="false" customHeight="true" outlineLevel="0" collapsed="false">
      <c r="B26" s="18" t="s">
        <v>39</v>
      </c>
      <c r="C26" s="18"/>
      <c r="D26" s="18"/>
      <c r="E26" s="18"/>
      <c r="F26" s="18"/>
      <c r="G26" s="18"/>
      <c r="H26" s="18"/>
      <c r="I26" s="18"/>
      <c r="J26" s="18"/>
      <c r="K26" s="18"/>
      <c r="L26" s="18"/>
      <c r="M26" s="18"/>
      <c r="N26" s="18"/>
      <c r="O26" s="18"/>
      <c r="P26" s="18"/>
      <c r="Q26" s="18"/>
      <c r="R26" s="18"/>
      <c r="S26" s="18"/>
      <c r="T26" s="29" t="str">
        <f aca="false">"Going concern"</f>
        <v>Going concern</v>
      </c>
      <c r="U26" s="29"/>
      <c r="V26" s="29"/>
      <c r="W26" s="29"/>
      <c r="X26" s="29"/>
      <c r="Y26" s="29"/>
      <c r="Z26" s="29"/>
      <c r="AA26" s="29"/>
      <c r="AB26" s="29"/>
    </row>
    <row r="27" customFormat="false" ht="16.5" hidden="false" customHeight="true" outlineLevel="0" collapsed="false">
      <c r="B27" s="30" t="s">
        <v>179</v>
      </c>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row>
    <row r="28" customFormat="false" ht="16.5" hidden="false" customHeight="tru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row>
    <row r="29" customFormat="false" ht="16.5" hidden="false" customHeight="tru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row>
    <row r="31" customFormat="false" ht="18.75" hidden="false" customHeight="true" outlineLevel="0" collapsed="false">
      <c r="B31" s="3" t="s">
        <v>141</v>
      </c>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ustomFormat="false" ht="17.25" hidden="false" customHeight="true" outlineLevel="0" collapsed="false">
      <c r="B32" s="18" t="s">
        <v>142</v>
      </c>
      <c r="C32" s="18"/>
      <c r="D32" s="18"/>
      <c r="E32" s="18"/>
      <c r="F32" s="18"/>
      <c r="G32" s="18"/>
      <c r="H32" s="18"/>
      <c r="I32" s="18"/>
      <c r="J32" s="18"/>
      <c r="K32" s="18"/>
      <c r="L32" s="18"/>
      <c r="M32" s="18"/>
      <c r="N32" s="18"/>
      <c r="O32" s="18"/>
      <c r="P32" s="18"/>
      <c r="Q32" s="18"/>
      <c r="R32" s="18"/>
      <c r="S32" s="18"/>
      <c r="T32" s="29" t="str">
        <f aca="false">"Historical cost"</f>
        <v>Historical cost</v>
      </c>
      <c r="U32" s="29"/>
      <c r="V32" s="29"/>
      <c r="W32" s="29"/>
      <c r="X32" s="29"/>
      <c r="Y32" s="29"/>
      <c r="Z32" s="29"/>
      <c r="AA32" s="29"/>
      <c r="AB32" s="29"/>
    </row>
    <row r="33" customFormat="false" ht="17.25" hidden="false" customHeight="true" outlineLevel="0" collapsed="false">
      <c r="B33" s="18" t="s">
        <v>143</v>
      </c>
      <c r="C33" s="18"/>
      <c r="D33" s="18"/>
      <c r="E33" s="18"/>
      <c r="F33" s="18"/>
      <c r="G33" s="18"/>
      <c r="H33" s="18"/>
      <c r="I33" s="18"/>
      <c r="J33" s="18"/>
      <c r="K33" s="18"/>
      <c r="L33" s="18"/>
      <c r="M33" s="18"/>
      <c r="N33" s="18"/>
      <c r="O33" s="18"/>
      <c r="P33" s="18"/>
      <c r="Q33" s="18"/>
      <c r="R33" s="18"/>
      <c r="S33" s="18"/>
      <c r="T33" s="29" t="str">
        <f aca="false">"Prudence"</f>
        <v>Prudence</v>
      </c>
      <c r="U33" s="29"/>
      <c r="V33" s="29"/>
      <c r="W33" s="29"/>
      <c r="X33" s="29"/>
      <c r="Y33" s="29"/>
      <c r="Z33" s="29"/>
      <c r="AA33" s="29"/>
      <c r="AB33" s="29"/>
    </row>
    <row r="35" customFormat="false" ht="18.75" hidden="false" customHeight="true" outlineLevel="0" collapsed="false">
      <c r="B35" s="3" t="s">
        <v>144</v>
      </c>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ustomFormat="false" ht="18.75" hidden="false" customHeight="true" outlineLevel="0" collapsed="false">
      <c r="B36" s="30" t="s">
        <v>180</v>
      </c>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row>
    <row r="37" customFormat="false" ht="18.75" hidden="false" customHeight="tru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row>
    <row r="38" customFormat="false" ht="18.75" hidden="false" customHeight="tru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row>
    <row r="39" customFormat="false" ht="18.75" hidden="false" customHeight="tru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row>
  </sheetData>
  <mergeCells count="53">
    <mergeCell ref="B1:AF1"/>
    <mergeCell ref="B2:AF2"/>
    <mergeCell ref="B3:AF3"/>
    <mergeCell ref="B5:AF5"/>
    <mergeCell ref="B6:N6"/>
    <mergeCell ref="O6:W6"/>
    <mergeCell ref="X6:AF6"/>
    <mergeCell ref="B7:N7"/>
    <mergeCell ref="O7:W7"/>
    <mergeCell ref="X7:AF7"/>
    <mergeCell ref="B8:N8"/>
    <mergeCell ref="O8:W8"/>
    <mergeCell ref="X8:AF8"/>
    <mergeCell ref="B9:N9"/>
    <mergeCell ref="O9:W9"/>
    <mergeCell ref="X9:AF9"/>
    <mergeCell ref="B10:N10"/>
    <mergeCell ref="O10:W10"/>
    <mergeCell ref="X10:AF10"/>
    <mergeCell ref="B11:N11"/>
    <mergeCell ref="O11:W11"/>
    <mergeCell ref="X11:AF11"/>
    <mergeCell ref="B12:N12"/>
    <mergeCell ref="O12:W12"/>
    <mergeCell ref="X12:AF12"/>
    <mergeCell ref="B13:N13"/>
    <mergeCell ref="O13:W13"/>
    <mergeCell ref="X13:AF13"/>
    <mergeCell ref="B14:N14"/>
    <mergeCell ref="O14:W14"/>
    <mergeCell ref="X14:AF14"/>
    <mergeCell ref="B15:AF15"/>
    <mergeCell ref="B17:AF17"/>
    <mergeCell ref="B18:W18"/>
    <mergeCell ref="X18:AB18"/>
    <mergeCell ref="B19:W19"/>
    <mergeCell ref="X19:AB19"/>
    <mergeCell ref="B21:AF21"/>
    <mergeCell ref="B22:W22"/>
    <mergeCell ref="X22:AB22"/>
    <mergeCell ref="B23:W23"/>
    <mergeCell ref="X23:AB23"/>
    <mergeCell ref="B25:AF25"/>
    <mergeCell ref="B26:S26"/>
    <mergeCell ref="T26:AB26"/>
    <mergeCell ref="B27:AF29"/>
    <mergeCell ref="B31:AF31"/>
    <mergeCell ref="B32:S32"/>
    <mergeCell ref="T32:AB32"/>
    <mergeCell ref="B33:S33"/>
    <mergeCell ref="T33:AB33"/>
    <mergeCell ref="B35:AF35"/>
    <mergeCell ref="B36:AF39"/>
  </mergeCells>
  <conditionalFormatting sqref="B1:AG40">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B1:AF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34" min="2" style="0" width="4.6"/>
  </cols>
  <sheetData>
    <row r="1" customFormat="false" ht="25.5" hidden="false" customHeight="true" outlineLevel="0" collapsed="false">
      <c r="B1" s="1" t="s">
        <v>181</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5" hidden="false" customHeight="false" outlineLevel="0" collapsed="false">
      <c r="B2" s="14" t="s">
        <v>163</v>
      </c>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row>
    <row r="3" customFormat="false" ht="15" hidden="false" customHeight="false" outlineLevel="0" collapsed="false">
      <c r="B3" s="14" t="s">
        <v>164</v>
      </c>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row>
    <row r="5" customFormat="false" ht="16.5" hidden="false" customHeight="true" outlineLevel="0" collapsed="false">
      <c r="B5" s="4" t="s">
        <v>146</v>
      </c>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ustomFormat="false" ht="17.25" hidden="false" customHeight="true" outlineLevel="0" collapsed="false">
      <c r="B6" s="18" t="s">
        <v>147</v>
      </c>
      <c r="C6" s="18"/>
      <c r="D6" s="18"/>
      <c r="E6" s="18"/>
      <c r="F6" s="18"/>
      <c r="G6" s="18"/>
      <c r="H6" s="18"/>
      <c r="I6" s="18"/>
      <c r="J6" s="18"/>
      <c r="K6" s="18"/>
      <c r="L6" s="18"/>
      <c r="M6" s="18"/>
      <c r="N6" s="18"/>
      <c r="O6" s="18"/>
      <c r="P6" s="18"/>
      <c r="Q6" s="18"/>
      <c r="R6" s="18"/>
      <c r="S6" s="18"/>
      <c r="T6" s="29" t="str">
        <f aca="false">"Business entity"</f>
        <v>Business entity</v>
      </c>
      <c r="U6" s="29"/>
      <c r="V6" s="29"/>
      <c r="W6" s="29"/>
      <c r="X6" s="29"/>
      <c r="Y6" s="29"/>
      <c r="Z6" s="29"/>
      <c r="AA6" s="29"/>
      <c r="AB6" s="29"/>
    </row>
    <row r="7" customFormat="false" ht="17.25" hidden="false" customHeight="true" outlineLevel="0" collapsed="false">
      <c r="B7" s="18" t="s">
        <v>148</v>
      </c>
      <c r="C7" s="18"/>
      <c r="D7" s="18"/>
      <c r="E7" s="18"/>
      <c r="F7" s="18"/>
      <c r="G7" s="18"/>
      <c r="H7" s="18"/>
      <c r="I7" s="18"/>
      <c r="J7" s="18"/>
      <c r="K7" s="18"/>
      <c r="L7" s="18"/>
      <c r="M7" s="18"/>
      <c r="N7" s="18"/>
      <c r="O7" s="18"/>
      <c r="P7" s="18"/>
      <c r="Q7" s="18"/>
      <c r="R7" s="18"/>
      <c r="S7" s="18"/>
      <c r="T7" s="29" t="str">
        <f aca="false">"Historical cost"</f>
        <v>Historical cost</v>
      </c>
      <c r="U7" s="29"/>
      <c r="V7" s="29"/>
      <c r="W7" s="29"/>
      <c r="X7" s="29"/>
      <c r="Y7" s="29"/>
      <c r="Z7" s="29"/>
      <c r="AA7" s="29"/>
      <c r="AB7" s="29"/>
    </row>
    <row r="8" customFormat="false" ht="17.25" hidden="false" customHeight="true" outlineLevel="0" collapsed="false">
      <c r="B8" s="18" t="s">
        <v>149</v>
      </c>
      <c r="C8" s="18"/>
      <c r="D8" s="18"/>
      <c r="E8" s="18"/>
      <c r="F8" s="18"/>
      <c r="G8" s="18"/>
      <c r="H8" s="18"/>
      <c r="I8" s="18"/>
      <c r="J8" s="18"/>
      <c r="K8" s="18"/>
      <c r="L8" s="18"/>
      <c r="M8" s="18"/>
      <c r="N8" s="18"/>
      <c r="O8" s="18"/>
      <c r="P8" s="18"/>
      <c r="Q8" s="18"/>
      <c r="R8" s="18"/>
      <c r="S8" s="18"/>
      <c r="T8" s="29" t="str">
        <f aca="false">"Consistency"</f>
        <v>Consistency</v>
      </c>
      <c r="U8" s="29"/>
      <c r="V8" s="29"/>
      <c r="W8" s="29"/>
      <c r="X8" s="29"/>
      <c r="Y8" s="29"/>
      <c r="Z8" s="29"/>
      <c r="AA8" s="29"/>
      <c r="AB8" s="29"/>
    </row>
    <row r="9" customFormat="false" ht="17.25" hidden="false" customHeight="true" outlineLevel="0" collapsed="false">
      <c r="B9" s="18" t="s">
        <v>150</v>
      </c>
      <c r="C9" s="18"/>
      <c r="D9" s="18"/>
      <c r="E9" s="18"/>
      <c r="F9" s="18"/>
      <c r="G9" s="18"/>
      <c r="H9" s="18"/>
      <c r="I9" s="18"/>
      <c r="J9" s="18"/>
      <c r="K9" s="18"/>
      <c r="L9" s="18"/>
      <c r="M9" s="18"/>
      <c r="N9" s="18"/>
      <c r="O9" s="18"/>
      <c r="P9" s="18"/>
      <c r="Q9" s="18"/>
      <c r="R9" s="18"/>
      <c r="S9" s="18"/>
      <c r="T9" s="29" t="str">
        <f aca="false">"Materiality"</f>
        <v>Materiality</v>
      </c>
      <c r="U9" s="29"/>
      <c r="V9" s="29"/>
      <c r="W9" s="29"/>
      <c r="X9" s="29"/>
      <c r="Y9" s="29"/>
      <c r="Z9" s="29"/>
      <c r="AA9" s="29"/>
      <c r="AB9" s="29"/>
    </row>
    <row r="10" customFormat="false" ht="17.25" hidden="false" customHeight="true" outlineLevel="0" collapsed="false">
      <c r="B10" s="18" t="s">
        <v>151</v>
      </c>
      <c r="C10" s="18"/>
      <c r="D10" s="18"/>
      <c r="E10" s="18"/>
      <c r="F10" s="18"/>
      <c r="G10" s="18"/>
      <c r="H10" s="18"/>
      <c r="I10" s="18"/>
      <c r="J10" s="18"/>
      <c r="K10" s="18"/>
      <c r="L10" s="18"/>
      <c r="M10" s="18"/>
      <c r="N10" s="18"/>
      <c r="O10" s="18"/>
      <c r="P10" s="18"/>
      <c r="Q10" s="18"/>
      <c r="R10" s="18"/>
      <c r="S10" s="18"/>
      <c r="T10" s="29" t="str">
        <f aca="false">"Realisation"</f>
        <v>Realisation</v>
      </c>
      <c r="U10" s="29"/>
      <c r="V10" s="29"/>
      <c r="W10" s="29"/>
      <c r="X10" s="29"/>
      <c r="Y10" s="29"/>
      <c r="Z10" s="29"/>
      <c r="AA10" s="29"/>
      <c r="AB10" s="29"/>
    </row>
    <row r="11" customFormat="false" ht="17.25" hidden="false" customHeight="true" outlineLevel="0" collapsed="false">
      <c r="B11" s="18" t="s">
        <v>152</v>
      </c>
      <c r="C11" s="18"/>
      <c r="D11" s="18"/>
      <c r="E11" s="18"/>
      <c r="F11" s="18"/>
      <c r="G11" s="18"/>
      <c r="H11" s="18"/>
      <c r="I11" s="18"/>
      <c r="J11" s="18"/>
      <c r="K11" s="18"/>
      <c r="L11" s="18"/>
      <c r="M11" s="18"/>
      <c r="N11" s="18"/>
      <c r="O11" s="18"/>
      <c r="P11" s="18"/>
      <c r="Q11" s="18"/>
      <c r="R11" s="18"/>
      <c r="S11" s="18"/>
      <c r="T11" s="29" t="str">
        <f aca="false">"Money measurement"</f>
        <v>Money measurement</v>
      </c>
      <c r="U11" s="29"/>
      <c r="V11" s="29"/>
      <c r="W11" s="29"/>
      <c r="X11" s="29"/>
      <c r="Y11" s="29"/>
      <c r="Z11" s="29"/>
      <c r="AA11" s="29"/>
      <c r="AB11" s="29"/>
    </row>
    <row r="12" customFormat="false" ht="17.25" hidden="false" customHeight="true" outlineLevel="0" collapsed="false">
      <c r="B12" s="18" t="s">
        <v>153</v>
      </c>
      <c r="C12" s="18"/>
      <c r="D12" s="18"/>
      <c r="E12" s="18"/>
      <c r="F12" s="18"/>
      <c r="G12" s="18"/>
      <c r="H12" s="18"/>
      <c r="I12" s="18"/>
      <c r="J12" s="18"/>
      <c r="K12" s="18"/>
      <c r="L12" s="18"/>
      <c r="M12" s="18"/>
      <c r="N12" s="18"/>
      <c r="O12" s="18"/>
      <c r="P12" s="18"/>
      <c r="Q12" s="18"/>
      <c r="R12" s="18"/>
      <c r="S12" s="18"/>
      <c r="T12" s="29" t="str">
        <f aca="false">"Duality"</f>
        <v>Duality</v>
      </c>
      <c r="U12" s="29"/>
      <c r="V12" s="29"/>
      <c r="W12" s="29"/>
      <c r="X12" s="29"/>
      <c r="Y12" s="29"/>
      <c r="Z12" s="29"/>
      <c r="AA12" s="29"/>
      <c r="AB12" s="29"/>
    </row>
    <row r="13" customFormat="false" ht="17.25" hidden="false" customHeight="true" outlineLevel="0" collapsed="false">
      <c r="B13" s="18" t="s">
        <v>154</v>
      </c>
      <c r="C13" s="18"/>
      <c r="D13" s="18"/>
      <c r="E13" s="18"/>
      <c r="F13" s="18"/>
      <c r="G13" s="18"/>
      <c r="H13" s="18"/>
      <c r="I13" s="18"/>
      <c r="J13" s="18"/>
      <c r="K13" s="18"/>
      <c r="L13" s="18"/>
      <c r="M13" s="18"/>
      <c r="N13" s="18"/>
      <c r="O13" s="18"/>
      <c r="P13" s="18"/>
      <c r="Q13" s="18"/>
      <c r="R13" s="18"/>
      <c r="S13" s="18"/>
      <c r="T13" s="29" t="str">
        <f aca="false">"Going concern"</f>
        <v>Going concern</v>
      </c>
      <c r="U13" s="29"/>
      <c r="V13" s="29"/>
      <c r="W13" s="29"/>
      <c r="X13" s="29"/>
      <c r="Y13" s="29"/>
      <c r="Z13" s="29"/>
      <c r="AA13" s="29"/>
      <c r="AB13" s="29"/>
    </row>
    <row r="14" customFormat="false" ht="17.25" hidden="false" customHeight="true" outlineLevel="0" collapsed="false">
      <c r="B14" s="18" t="s">
        <v>155</v>
      </c>
      <c r="C14" s="18"/>
      <c r="D14" s="18"/>
      <c r="E14" s="18"/>
      <c r="F14" s="18"/>
      <c r="G14" s="18"/>
      <c r="H14" s="18"/>
      <c r="I14" s="18"/>
      <c r="J14" s="18"/>
      <c r="K14" s="18"/>
      <c r="L14" s="18"/>
      <c r="M14" s="18"/>
      <c r="N14" s="18"/>
      <c r="O14" s="18"/>
      <c r="P14" s="18"/>
      <c r="Q14" s="18"/>
      <c r="R14" s="18"/>
      <c r="S14" s="18"/>
      <c r="T14" s="29" t="str">
        <f aca="false">"Accruals"</f>
        <v>Accruals</v>
      </c>
      <c r="U14" s="29"/>
      <c r="V14" s="29"/>
      <c r="W14" s="29"/>
      <c r="X14" s="29"/>
      <c r="Y14" s="29"/>
      <c r="Z14" s="29"/>
      <c r="AA14" s="29"/>
      <c r="AB14" s="29"/>
    </row>
    <row r="15" customFormat="false" ht="17.25" hidden="false" customHeight="true" outlineLevel="0" collapsed="false">
      <c r="B15" s="18" t="s">
        <v>156</v>
      </c>
      <c r="C15" s="18"/>
      <c r="D15" s="18"/>
      <c r="E15" s="18"/>
      <c r="F15" s="18"/>
      <c r="G15" s="18"/>
      <c r="H15" s="18"/>
      <c r="I15" s="18"/>
      <c r="J15" s="18"/>
      <c r="K15" s="18"/>
      <c r="L15" s="18"/>
      <c r="M15" s="18"/>
      <c r="N15" s="18"/>
      <c r="O15" s="18"/>
      <c r="P15" s="18"/>
      <c r="Q15" s="18"/>
      <c r="R15" s="18"/>
      <c r="S15" s="18"/>
      <c r="T15" s="29" t="str">
        <f aca="false">"Prudence"</f>
        <v>Prudence</v>
      </c>
      <c r="U15" s="29"/>
      <c r="V15" s="29"/>
      <c r="W15" s="29"/>
      <c r="X15" s="29"/>
      <c r="Y15" s="29"/>
      <c r="Z15" s="29"/>
      <c r="AA15" s="29"/>
      <c r="AB15" s="29"/>
    </row>
    <row r="16" customFormat="false" ht="17.25" hidden="false" customHeight="true" outlineLevel="0" collapsed="false">
      <c r="B16" s="18" t="s">
        <v>157</v>
      </c>
      <c r="C16" s="18"/>
      <c r="D16" s="18"/>
      <c r="E16" s="18"/>
      <c r="F16" s="18"/>
      <c r="G16" s="18"/>
      <c r="H16" s="18"/>
      <c r="I16" s="18"/>
      <c r="J16" s="18"/>
      <c r="K16" s="18"/>
      <c r="L16" s="18"/>
      <c r="M16" s="18"/>
      <c r="N16" s="18"/>
      <c r="O16" s="18"/>
      <c r="P16" s="18"/>
      <c r="Q16" s="18"/>
      <c r="R16" s="18"/>
      <c r="S16" s="18"/>
      <c r="T16" s="29" t="str">
        <f aca="false">"Prudence"</f>
        <v>Prudence</v>
      </c>
      <c r="U16" s="29"/>
      <c r="V16" s="29"/>
      <c r="W16" s="29"/>
      <c r="X16" s="29"/>
      <c r="Y16" s="29"/>
      <c r="Z16" s="29"/>
      <c r="AA16" s="29"/>
      <c r="AB16" s="29"/>
    </row>
    <row r="17" customFormat="false" ht="17.25" hidden="false" customHeight="true" outlineLevel="0" collapsed="false">
      <c r="B17" s="18" t="s">
        <v>158</v>
      </c>
      <c r="C17" s="18"/>
      <c r="D17" s="18"/>
      <c r="E17" s="18"/>
      <c r="F17" s="18"/>
      <c r="G17" s="18"/>
      <c r="H17" s="18"/>
      <c r="I17" s="18"/>
      <c r="J17" s="18"/>
      <c r="K17" s="18"/>
      <c r="L17" s="18"/>
      <c r="M17" s="18"/>
      <c r="N17" s="18"/>
      <c r="O17" s="18"/>
      <c r="P17" s="18"/>
      <c r="Q17" s="18"/>
      <c r="R17" s="18"/>
      <c r="S17" s="18"/>
      <c r="T17" s="29" t="str">
        <f aca="false">"Business entity"</f>
        <v>Business entity</v>
      </c>
      <c r="U17" s="29"/>
      <c r="V17" s="29"/>
      <c r="W17" s="29"/>
      <c r="X17" s="29"/>
      <c r="Y17" s="29"/>
      <c r="Z17" s="29"/>
      <c r="AA17" s="29"/>
      <c r="AB17" s="29"/>
    </row>
    <row r="18" customFormat="false" ht="17.25" hidden="false" customHeight="true" outlineLevel="0" collapsed="false">
      <c r="B18" s="18" t="s">
        <v>159</v>
      </c>
      <c r="C18" s="18"/>
      <c r="D18" s="18"/>
      <c r="E18" s="18"/>
      <c r="F18" s="18"/>
      <c r="G18" s="18"/>
      <c r="H18" s="18"/>
      <c r="I18" s="18"/>
      <c r="J18" s="18"/>
      <c r="K18" s="18"/>
      <c r="L18" s="18"/>
      <c r="M18" s="18"/>
      <c r="N18" s="18"/>
      <c r="O18" s="18"/>
      <c r="P18" s="18"/>
      <c r="Q18" s="18"/>
      <c r="R18" s="18"/>
      <c r="S18" s="18"/>
      <c r="T18" s="29" t="str">
        <f aca="false">"Realisation"</f>
        <v>Realisation</v>
      </c>
      <c r="U18" s="29"/>
      <c r="V18" s="29"/>
      <c r="W18" s="29"/>
      <c r="X18" s="29"/>
      <c r="Y18" s="29"/>
      <c r="Z18" s="29"/>
      <c r="AA18" s="29"/>
      <c r="AB18" s="29"/>
    </row>
    <row r="19" customFormat="false" ht="17.25" hidden="false" customHeight="true" outlineLevel="0" collapsed="false">
      <c r="B19" s="18" t="s">
        <v>160</v>
      </c>
      <c r="C19" s="18"/>
      <c r="D19" s="18"/>
      <c r="E19" s="18"/>
      <c r="F19" s="18"/>
      <c r="G19" s="18"/>
      <c r="H19" s="18"/>
      <c r="I19" s="18"/>
      <c r="J19" s="18"/>
      <c r="K19" s="18"/>
      <c r="L19" s="18"/>
      <c r="M19" s="18"/>
      <c r="N19" s="18"/>
      <c r="O19" s="18"/>
      <c r="P19" s="18"/>
      <c r="Q19" s="18"/>
      <c r="R19" s="18"/>
      <c r="S19" s="18"/>
      <c r="T19" s="29" t="str">
        <f aca="false">"Accruals"</f>
        <v>Accruals</v>
      </c>
      <c r="U19" s="29"/>
      <c r="V19" s="29"/>
      <c r="W19" s="29"/>
      <c r="X19" s="29"/>
      <c r="Y19" s="29"/>
      <c r="Z19" s="29"/>
      <c r="AA19" s="29"/>
      <c r="AB19" s="29"/>
    </row>
    <row r="20" customFormat="false" ht="17.25" hidden="false" customHeight="true" outlineLevel="0" collapsed="false">
      <c r="B20" s="18" t="s">
        <v>161</v>
      </c>
      <c r="C20" s="18"/>
      <c r="D20" s="18"/>
      <c r="E20" s="18"/>
      <c r="F20" s="18"/>
      <c r="G20" s="18"/>
      <c r="H20" s="18"/>
      <c r="I20" s="18"/>
      <c r="J20" s="18"/>
      <c r="K20" s="18"/>
      <c r="L20" s="18"/>
      <c r="M20" s="18"/>
      <c r="N20" s="18"/>
      <c r="O20" s="18"/>
      <c r="P20" s="18"/>
      <c r="Q20" s="18"/>
      <c r="R20" s="18"/>
      <c r="S20" s="18"/>
      <c r="T20" s="29" t="str">
        <f aca="false">"Duality"</f>
        <v>Duality</v>
      </c>
      <c r="U20" s="29"/>
      <c r="V20" s="29"/>
      <c r="W20" s="29"/>
      <c r="X20" s="29"/>
      <c r="Y20" s="29"/>
      <c r="Z20" s="29"/>
      <c r="AA20" s="29"/>
      <c r="AB20" s="29"/>
    </row>
  </sheetData>
  <mergeCells count="34">
    <mergeCell ref="B1:AF1"/>
    <mergeCell ref="B2:AF2"/>
    <mergeCell ref="B3:AF3"/>
    <mergeCell ref="B5:AF5"/>
    <mergeCell ref="B6:S6"/>
    <mergeCell ref="T6:AB6"/>
    <mergeCell ref="B7:S7"/>
    <mergeCell ref="T7:AB7"/>
    <mergeCell ref="B8:S8"/>
    <mergeCell ref="T8:AB8"/>
    <mergeCell ref="B9:S9"/>
    <mergeCell ref="T9:AB9"/>
    <mergeCell ref="B10:S10"/>
    <mergeCell ref="T10:AB10"/>
    <mergeCell ref="B11:S11"/>
    <mergeCell ref="T11:AB11"/>
    <mergeCell ref="B12:S12"/>
    <mergeCell ref="T12:AB12"/>
    <mergeCell ref="B13:S13"/>
    <mergeCell ref="T13:AB13"/>
    <mergeCell ref="B14:S14"/>
    <mergeCell ref="T14:AB14"/>
    <mergeCell ref="B15:S15"/>
    <mergeCell ref="T15:AB15"/>
    <mergeCell ref="B16:S16"/>
    <mergeCell ref="T16:AB16"/>
    <mergeCell ref="B17:S17"/>
    <mergeCell ref="T17:AB17"/>
    <mergeCell ref="B18:S18"/>
    <mergeCell ref="T18:AB18"/>
    <mergeCell ref="B19:S19"/>
    <mergeCell ref="T19:AB19"/>
    <mergeCell ref="B20:S20"/>
    <mergeCell ref="T20:AB20"/>
  </mergeCells>
  <conditionalFormatting sqref="B1:AG21">
    <cfRule type="cellIs" priority="2" operator="equal" aboveAverage="0" equalAverage="0" bottom="0" percent="0" rank="0" text="" dxfId="0">
      <formula>"✓"</formula>
    </cfRule>
    <cfRule type="cellIs" priority="3" operator="equal" aboveAverage="0" equalAverage="0" bottom="0" percent="0" rank="0" text="" dxfId="1">
      <formula>"✗"</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2026-09-30T09:44:55Z</dcterms:created>
  <dc:creator>openpyxl</dc:creator>
  <dc:description/>
  <dc:language>en-US</dc:language>
  <cp:lastModifiedBy/>
  <dcterms:modified xsi:type="dcterms:W3CDTF">2026-09-30T09:44:55Z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