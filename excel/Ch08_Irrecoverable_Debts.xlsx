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llowance Calculator" sheetId="2" state="visible" r:id="rId4"/>
    <sheet name="Allowance Ledger" sheetId="3" state="visible" r:id="rId5"/>
    <sheet name="Practice" sheetId="4" state="visible" r:id="rId6"/>
    <sheet name="Answers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<sst xmlns="http://schemas.openxmlformats.org/spreadsheetml/2006/main" count="134" uniqueCount="77">
  <si>
    <t xml:space="preserve">Chapter 8: Irrecoverable Debts and Allowance for Receivables</t>
  </si>
  <si>
    <t xml:space="preserve">Senior 1 Accounting. Free to use and share.</t>
  </si>
  <si>
    <t xml:space="preserve">How to use this workbook</t>
  </si>
  <si>
    <t xml:space="preserve">1. Start with the worked example sheets. Change any blue number and watch every answer update.</t>
  </si>
  <si>
    <t xml:space="preserve">2. Then try the Practice sheet. Type your answers in the yellow cells.</t>
  </si>
  <si>
    <t xml:space="preserve">3. The Check column tells you 'Correct' or 'Try again' as soon as you type.</t>
  </si>
  <si>
    <t xml:space="preserve">4. The Answers sheet is hidden. When you finish, right-click any sheet tab and choose Unhide to see full answers.</t>
  </si>
  <si>
    <t xml:space="preserve">Colour key</t>
  </si>
  <si>
    <t xml:space="preserve">Blue text = an input you can change.</t>
  </si>
  <si>
    <t xml:space="preserve">Black text = a formula. Do not type over it.</t>
  </si>
  <si>
    <t xml:space="preserve">Yellow cell = your answer goes here.</t>
  </si>
  <si>
    <t xml:space="preserve">Worked example 8.3: allowance for irrecoverable debts</t>
  </si>
  <si>
    <t xml:space="preserve">Change the blue numbers. Everything else recalculates.</t>
  </si>
  <si>
    <t xml:space="preserve">Item</t>
  </si>
  <si>
    <t xml:space="preserve">2023</t>
  </si>
  <si>
    <t xml:space="preserve">2024</t>
  </si>
  <si>
    <t xml:space="preserve">2025</t>
  </si>
  <si>
    <t xml:space="preserve">Trade receivables before write-offs</t>
  </si>
  <si>
    <t xml:space="preserve">Less: irrecoverable debts written off</t>
  </si>
  <si>
    <t xml:space="preserve">Trade receivables after write-offs</t>
  </si>
  <si>
    <t xml:space="preserve">Allowance rate</t>
  </si>
  <si>
    <t xml:space="preserve">Allowance required at year end (step 1)</t>
  </si>
  <si>
    <t xml:space="preserve">Less: allowance brought forward</t>
  </si>
  <si>
    <t xml:space="preserve">Change in allowance (step 2)</t>
  </si>
  <si>
    <t xml:space="preserve">Treatment in Statement of Profit or Loss (step 3)</t>
  </si>
  <si>
    <t xml:space="preserve">Amount to Statement of Profit or Loss</t>
  </si>
  <si>
    <t xml:space="preserve">Statement of Financial Position extract</t>
  </si>
  <si>
    <t xml:space="preserve">Trade receivables</t>
  </si>
  <si>
    <t xml:space="preserve">Less: allowance for irrecoverable debts</t>
  </si>
  <si>
    <t xml:space="preserve">Net trade receivables (current asset)</t>
  </si>
  <si>
    <t xml:space="preserve">Statement of Profit or Loss extract</t>
  </si>
  <si>
    <t xml:space="preserve">Irrecoverable debts written off (expense)</t>
  </si>
  <si>
    <t xml:space="preserve">Rule: only the CHANGE in the allowance goes to the Statement of Profit or Loss.</t>
  </si>
  <si>
    <t xml:space="preserve">Blue = input. The 2023 opening allowance is 0 because the allowance is created in 2023.</t>
  </si>
  <si>
    <t xml:space="preserve">Allowance for irrecoverable debts account</t>
  </si>
  <si>
    <t xml:space="preserve">Built from the Allowance Calculator sheet. Amounts of 0 show as a dash.</t>
  </si>
  <si>
    <t xml:space="preserve">Year ended 31 December 2023</t>
  </si>
  <si>
    <t xml:space="preserve">Dr</t>
  </si>
  <si>
    <t xml:space="preserve">Details</t>
  </si>
  <si>
    <t xml:space="preserve">$</t>
  </si>
  <si>
    <t xml:space="preserve">Cr</t>
  </si>
  <si>
    <t xml:space="preserve">Dec 31</t>
  </si>
  <si>
    <t xml:space="preserve">Income statement (decrease)</t>
  </si>
  <si>
    <t xml:space="preserve">Jan 1</t>
  </si>
  <si>
    <t xml:space="preserve">Balance b/d</t>
  </si>
  <si>
    <t xml:space="preserve">Balance c/d</t>
  </si>
  <si>
    <t xml:space="preserve">Income statement (increase)</t>
  </si>
  <si>
    <t xml:space="preserve">Balance b/d (next year)</t>
  </si>
  <si>
    <t xml:space="preserve">Year ended 31 December 2024</t>
  </si>
  <si>
    <t xml:space="preserve">Year ended 31 December 2025</t>
  </si>
  <si>
    <t xml:space="preserve">Practice: Model Question 8.11 (Grace)</t>
  </si>
  <si>
    <t xml:space="preserve">Type your answers in the yellow cells. The Check column marks them.</t>
  </si>
  <si>
    <t xml:space="preserve">Grace keeps an allowance for irrecoverable debts. Year end 31 December.</t>
  </si>
  <si>
    <t xml:space="preserve">Data (from Model Question 8.11)</t>
  </si>
  <si>
    <t xml:space="preserve">Debts to be written off</t>
  </si>
  <si>
    <t xml:space="preserve">There was no allowance before 2023.</t>
  </si>
  <si>
    <t xml:space="preserve">Question</t>
  </si>
  <si>
    <t xml:space="preserve">Your answer</t>
  </si>
  <si>
    <t xml:space="preserve">Check</t>
  </si>
  <si>
    <t xml:space="preserve">Part a) Allowance required</t>
  </si>
  <si>
    <t xml:space="preserve">Allowance required at 31 December 2023</t>
  </si>
  <si>
    <t xml:space="preserve">Allowance required at 31 December 2024</t>
  </si>
  <si>
    <t xml:space="preserve">Allowance required at 31 December 2025</t>
  </si>
  <si>
    <t xml:space="preserve">Part b) Effect on the Statement of Profit or Loss</t>
  </si>
  <si>
    <t xml:space="preserve">Amount to SPL in 2023 (always a positive number)</t>
  </si>
  <si>
    <t xml:space="preserve">Is 2023 an expense or income?</t>
  </si>
  <si>
    <t xml:space="preserve">Amount to SPL in 2024 (always a positive number)</t>
  </si>
  <si>
    <t xml:space="preserve">Is 2024 an expense or income?</t>
  </si>
  <si>
    <t xml:space="preserve">Amount to SPL in 2025 (always a positive number)</t>
  </si>
  <si>
    <t xml:space="preserve">Is 2025 an expense or income?</t>
  </si>
  <si>
    <t xml:space="preserve">Part d) Statement of Financial Position at 31 December 2025</t>
  </si>
  <si>
    <t xml:space="preserve">Trade receivables (after write-offs)</t>
  </si>
  <si>
    <t xml:space="preserve">Net trade receivables after deducting the allowance</t>
  </si>
  <si>
    <t xml:space="preserve">Your score (number correct)</t>
  </si>
  <si>
    <t xml:space="preserve">Practice: Model Question 8.11 (Grace): Answers</t>
  </si>
  <si>
    <t xml:space="preserve">Every answer is a formula linked to the Practice sheet data.</t>
  </si>
  <si>
    <t xml:space="preserve">Answer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</si>
</sst>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6" t="s">
        <v>10</v>
      </c>
    </row>
    <row r="14" customFormat="false" ht="15" hidden="false" customHeight="false" outlineLevel="0" collapsed="false">
      <c r="B1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12</v>
      </c>
    </row>
    <row r="4" customFormat="false" ht="15" hidden="false" customHeight="false" outlineLevel="0" collapsed="false">
      <c r="A4" s="7" t="s">
        <v>13</v>
      </c>
      <c r="B4" s="7" t="s">
        <v>14</v>
      </c>
      <c r="C4" s="7" t="s">
        <v>15</v>
      </c>
      <c r="D4" s="7" t="s">
        <v>16</v>
      </c>
    </row>
    <row r="5" customFormat="false" ht="15" hidden="false" customHeight="false" outlineLevel="0" collapsed="false">
      <c r="A5" s="0" t="s">
        <v>17</v>
      </c>
      <c r="B5" s="8" t="n">
        <v>20500</v>
      </c>
      <c r="C5" s="8" t="n">
        <v>26800</v>
      </c>
      <c r="D5" s="8" t="n">
        <v>18600</v>
      </c>
    </row>
    <row r="6" customFormat="false" ht="15" hidden="false" customHeight="false" outlineLevel="0" collapsed="false">
      <c r="A6" s="0" t="s">
        <v>18</v>
      </c>
      <c r="B6" s="8" t="n">
        <v>500</v>
      </c>
      <c r="C6" s="8" t="n">
        <v>800</v>
      </c>
      <c r="D6" s="8" t="n">
        <v>600</v>
      </c>
    </row>
    <row r="7" customFormat="false" ht="15" hidden="false" customHeight="false" outlineLevel="0" collapsed="false">
      <c r="A7" s="4" t="s">
        <v>19</v>
      </c>
      <c r="B7" s="9" t="n">
        <f aca="false">B5-B6</f>
        <v>20000</v>
      </c>
      <c r="C7" s="9" t="n">
        <f aca="false">C5-C6</f>
        <v>26000</v>
      </c>
      <c r="D7" s="9" t="n">
        <f aca="false">D5-D6</f>
        <v>18000</v>
      </c>
    </row>
    <row r="8" customFormat="false" ht="15" hidden="false" customHeight="false" outlineLevel="0" collapsed="false">
      <c r="A8" s="4" t="s">
        <v>20</v>
      </c>
      <c r="B8" s="10" t="n">
        <v>0.05</v>
      </c>
      <c r="C8" s="10" t="n">
        <v>0.05</v>
      </c>
      <c r="D8" s="10" t="n">
        <v>0.05</v>
      </c>
    </row>
    <row r="9" customFormat="false" ht="15" hidden="false" customHeight="false" outlineLevel="0" collapsed="false">
      <c r="A9" s="3" t="s">
        <v>21</v>
      </c>
      <c r="B9" s="11" t="n">
        <f aca="false">ROUND(B7*B8,2)</f>
        <v>1000</v>
      </c>
      <c r="C9" s="11" t="n">
        <f aca="false">ROUND(C7*C8,2)</f>
        <v>1300</v>
      </c>
      <c r="D9" s="11" t="n">
        <f aca="false">ROUND(D7*D8,2)</f>
        <v>900</v>
      </c>
    </row>
    <row r="10" customFormat="false" ht="15" hidden="false" customHeight="false" outlineLevel="0" collapsed="false">
      <c r="A10" s="4" t="s">
        <v>22</v>
      </c>
      <c r="B10" s="8" t="n">
        <v>0</v>
      </c>
      <c r="C10" s="12" t="n">
        <f aca="false">B9</f>
        <v>1000</v>
      </c>
      <c r="D10" s="12" t="n">
        <f aca="false">C9</f>
        <v>1300</v>
      </c>
    </row>
    <row r="11" customFormat="false" ht="15" hidden="false" customHeight="false" outlineLevel="0" collapsed="false">
      <c r="A11" s="4" t="s">
        <v>23</v>
      </c>
      <c r="B11" s="12" t="n">
        <f aca="false">B9-B10</f>
        <v>1000</v>
      </c>
      <c r="C11" s="12" t="n">
        <f aca="false">C9-C10</f>
        <v>300</v>
      </c>
      <c r="D11" s="12" t="n">
        <f aca="false">D9-D10</f>
        <v>-400</v>
      </c>
    </row>
    <row r="12" customFormat="false" ht="15" hidden="false" customHeight="false" outlineLevel="0" collapsed="false">
      <c r="A12" s="4" t="s">
        <v>24</v>
      </c>
      <c r="B12" s="4" t="str">
        <f aca="false">IF(B11&gt;0,"Expense (increase)",IF(B11&lt;0,"Income (decrease)","No entry"))</f>
        <v>Expense (increase)</v>
      </c>
      <c r="C12" s="4" t="str">
        <f aca="false">IF(C11&gt;0,"Expense (increase)",IF(C11&lt;0,"Income (decrease)","No entry"))</f>
        <v>Expense (increase)</v>
      </c>
      <c r="D12" s="4" t="str">
        <f aca="false">IF(D11&gt;0,"Expense (increase)",IF(D11&lt;0,"Income (decrease)","No entry"))</f>
        <v>Income (decrease)</v>
      </c>
    </row>
    <row r="13" customFormat="false" ht="15" hidden="false" customHeight="false" outlineLevel="0" collapsed="false">
      <c r="A13" s="4" t="s">
        <v>25</v>
      </c>
      <c r="B13" s="11" t="n">
        <f aca="false">ABS(B11)</f>
        <v>1000</v>
      </c>
      <c r="C13" s="11" t="n">
        <f aca="false">ABS(C11)</f>
        <v>300</v>
      </c>
      <c r="D13" s="11" t="n">
        <f aca="false">ABS(D11)</f>
        <v>400</v>
      </c>
    </row>
    <row r="14" customFormat="false" ht="15" hidden="false" customHeight="false" outlineLevel="0" collapsed="false">
      <c r="A14" s="3" t="s">
        <v>26</v>
      </c>
    </row>
    <row r="15" customFormat="false" ht="15" hidden="false" customHeight="false" outlineLevel="0" collapsed="false">
      <c r="A15" s="4" t="s">
        <v>27</v>
      </c>
      <c r="B15" s="12" t="n">
        <f aca="false">B7</f>
        <v>20000</v>
      </c>
      <c r="C15" s="12" t="n">
        <f aca="false">C7</f>
        <v>26000</v>
      </c>
      <c r="D15" s="12" t="n">
        <f aca="false">D7</f>
        <v>18000</v>
      </c>
    </row>
    <row r="16" customFormat="false" ht="15" hidden="false" customHeight="false" outlineLevel="0" collapsed="false">
      <c r="A16" s="4" t="s">
        <v>28</v>
      </c>
      <c r="B16" s="12" t="n">
        <f aca="false">B9</f>
        <v>1000</v>
      </c>
      <c r="C16" s="12" t="n">
        <f aca="false">C9</f>
        <v>1300</v>
      </c>
      <c r="D16" s="12" t="n">
        <f aca="false">D9</f>
        <v>900</v>
      </c>
    </row>
    <row r="17" customFormat="false" ht="15" hidden="false" customHeight="false" outlineLevel="0" collapsed="false">
      <c r="A17" s="3" t="s">
        <v>29</v>
      </c>
      <c r="B17" s="13" t="n">
        <f aca="false">B15-B16</f>
        <v>19000</v>
      </c>
      <c r="C17" s="13" t="n">
        <f aca="false">C15-C16</f>
        <v>24700</v>
      </c>
      <c r="D17" s="13" t="n">
        <f aca="false">D15-D16</f>
        <v>17100</v>
      </c>
    </row>
    <row r="18" customFormat="false" ht="15" hidden="false" customHeight="false" outlineLevel="0" collapsed="false">
      <c r="A18" s="3" t="s">
        <v>30</v>
      </c>
    </row>
    <row r="19" customFormat="false" ht="15" hidden="false" customHeight="false" outlineLevel="0" collapsed="false">
      <c r="A19" s="4" t="s">
        <v>31</v>
      </c>
      <c r="B19" s="12" t="n">
        <f aca="false">B6</f>
        <v>500</v>
      </c>
      <c r="C19" s="12" t="n">
        <f aca="false">C6</f>
        <v>800</v>
      </c>
      <c r="D19" s="12" t="n">
        <f aca="false">D6</f>
        <v>600</v>
      </c>
    </row>
    <row r="21" customFormat="false" ht="15" hidden="false" customHeight="false" outlineLevel="0" collapsed="false">
      <c r="A21" s="14" t="s">
        <v>32</v>
      </c>
    </row>
    <row r="22" customFormat="false" ht="15" hidden="false" customHeight="false" outlineLevel="0" collapsed="false">
      <c r="A22" s="1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36</v>
      </c>
    </row>
    <row r="5" customFormat="false" ht="15" hidden="false" customHeight="false" outlineLevel="0" collapsed="false">
      <c r="A5" s="7" t="s">
        <v>37</v>
      </c>
      <c r="B5" s="7" t="s">
        <v>38</v>
      </c>
      <c r="C5" s="7" t="s">
        <v>39</v>
      </c>
      <c r="D5" s="7"/>
      <c r="E5" s="7" t="s">
        <v>40</v>
      </c>
      <c r="F5" s="7" t="s">
        <v>38</v>
      </c>
      <c r="G5" s="7" t="s">
        <v>39</v>
      </c>
    </row>
    <row r="6" customFormat="false" ht="15" hidden="false" customHeight="false" outlineLevel="0" collapsed="false">
      <c r="A6" s="0" t="s">
        <v>41</v>
      </c>
      <c r="B6" s="0" t="s">
        <v>42</v>
      </c>
      <c r="C6" s="12" t="n">
        <f aca="false">IF('Allowance Calculator'!B11&lt;0,-'Allowance Calculator'!B11,0)</f>
        <v>0</v>
      </c>
      <c r="E6" s="15" t="s">
        <v>43</v>
      </c>
      <c r="F6" s="15" t="s">
        <v>44</v>
      </c>
      <c r="G6" s="12" t="n">
        <f aca="false">'Allowance Calculator'!B10</f>
        <v>0</v>
      </c>
    </row>
    <row r="7" customFormat="false" ht="15" hidden="false" customHeight="false" outlineLevel="0" collapsed="false">
      <c r="A7" s="0" t="s">
        <v>41</v>
      </c>
      <c r="B7" s="0" t="s">
        <v>45</v>
      </c>
      <c r="C7" s="12" t="n">
        <f aca="false">'Allowance Calculator'!B9</f>
        <v>1000</v>
      </c>
      <c r="E7" s="15" t="s">
        <v>41</v>
      </c>
      <c r="F7" s="15" t="s">
        <v>46</v>
      </c>
      <c r="G7" s="12" t="n">
        <f aca="false">IF('Allowance Calculator'!B11&gt;0,'Allowance Calculator'!B11,0)</f>
        <v>1000</v>
      </c>
    </row>
    <row r="8" customFormat="false" ht="15" hidden="false" customHeight="false" outlineLevel="0" collapsed="false">
      <c r="C8" s="13" t="n">
        <f aca="false">C6+C7</f>
        <v>1000</v>
      </c>
      <c r="G8" s="13" t="n">
        <f aca="false">G6+G7</f>
        <v>1000</v>
      </c>
    </row>
    <row r="9" customFormat="false" ht="15" hidden="false" customHeight="false" outlineLevel="0" collapsed="false">
      <c r="E9" s="0" t="s">
        <v>43</v>
      </c>
      <c r="F9" s="0" t="s">
        <v>47</v>
      </c>
      <c r="G9" s="12" t="n">
        <f aca="false">'Allowance Calculator'!B9</f>
        <v>1000</v>
      </c>
    </row>
    <row r="11" customFormat="false" ht="15" hidden="false" customHeight="false" outlineLevel="0" collapsed="false">
      <c r="A11" s="3" t="s">
        <v>48</v>
      </c>
    </row>
    <row r="12" customFormat="false" ht="15" hidden="false" customHeight="false" outlineLevel="0" collapsed="false">
      <c r="A12" s="7" t="s">
        <v>37</v>
      </c>
      <c r="B12" s="7" t="s">
        <v>38</v>
      </c>
      <c r="C12" s="7" t="s">
        <v>39</v>
      </c>
      <c r="D12" s="7"/>
      <c r="E12" s="7" t="s">
        <v>40</v>
      </c>
      <c r="F12" s="7" t="s">
        <v>38</v>
      </c>
      <c r="G12" s="7" t="s">
        <v>39</v>
      </c>
    </row>
    <row r="13" customFormat="false" ht="15" hidden="false" customHeight="false" outlineLevel="0" collapsed="false">
      <c r="A13" s="0" t="s">
        <v>41</v>
      </c>
      <c r="B13" s="0" t="s">
        <v>42</v>
      </c>
      <c r="C13" s="12" t="n">
        <f aca="false">IF('Allowance Calculator'!C11&lt;0,-'Allowance Calculator'!C11,0)</f>
        <v>0</v>
      </c>
      <c r="E13" s="15" t="s">
        <v>43</v>
      </c>
      <c r="F13" s="15" t="s">
        <v>44</v>
      </c>
      <c r="G13" s="12" t="n">
        <f aca="false">'Allowance Calculator'!C10</f>
        <v>1000</v>
      </c>
    </row>
    <row r="14" customFormat="false" ht="15" hidden="false" customHeight="false" outlineLevel="0" collapsed="false">
      <c r="A14" s="0" t="s">
        <v>41</v>
      </c>
      <c r="B14" s="0" t="s">
        <v>45</v>
      </c>
      <c r="C14" s="12" t="n">
        <f aca="false">'Allowance Calculator'!C9</f>
        <v>1300</v>
      </c>
      <c r="E14" s="15" t="s">
        <v>41</v>
      </c>
      <c r="F14" s="15" t="s">
        <v>46</v>
      </c>
      <c r="G14" s="12" t="n">
        <f aca="false">IF('Allowance Calculator'!C11&gt;0,'Allowance Calculator'!C11,0)</f>
        <v>300</v>
      </c>
    </row>
    <row r="15" customFormat="false" ht="15" hidden="false" customHeight="false" outlineLevel="0" collapsed="false">
      <c r="C15" s="13" t="n">
        <f aca="false">C13+C14</f>
        <v>1300</v>
      </c>
      <c r="G15" s="13" t="n">
        <f aca="false">G13+G14</f>
        <v>1300</v>
      </c>
    </row>
    <row r="16" customFormat="false" ht="15" hidden="false" customHeight="false" outlineLevel="0" collapsed="false">
      <c r="E16" s="0" t="s">
        <v>43</v>
      </c>
      <c r="F16" s="0" t="s">
        <v>47</v>
      </c>
      <c r="G16" s="12" t="n">
        <f aca="false">'Allowance Calculator'!C9</f>
        <v>1300</v>
      </c>
    </row>
    <row r="18" customFormat="false" ht="15" hidden="false" customHeight="false" outlineLevel="0" collapsed="false">
      <c r="A18" s="3" t="s">
        <v>49</v>
      </c>
    </row>
    <row r="19" customFormat="false" ht="15" hidden="false" customHeight="false" outlineLevel="0" collapsed="false">
      <c r="A19" s="7" t="s">
        <v>37</v>
      </c>
      <c r="B19" s="7" t="s">
        <v>38</v>
      </c>
      <c r="C19" s="7" t="s">
        <v>39</v>
      </c>
      <c r="D19" s="7"/>
      <c r="E19" s="7" t="s">
        <v>40</v>
      </c>
      <c r="F19" s="7" t="s">
        <v>38</v>
      </c>
      <c r="G19" s="7" t="s">
        <v>39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12" t="n">
        <f aca="false">IF('Allowance Calculator'!D11&lt;0,-'Allowance Calculator'!D11,0)</f>
        <v>400</v>
      </c>
      <c r="E20" s="15" t="s">
        <v>43</v>
      </c>
      <c r="F20" s="15" t="s">
        <v>44</v>
      </c>
      <c r="G20" s="12" t="n">
        <f aca="false">'Allowance Calculator'!D10</f>
        <v>1300</v>
      </c>
    </row>
    <row r="21" customFormat="false" ht="15" hidden="false" customHeight="false" outlineLevel="0" collapsed="false">
      <c r="A21" s="0" t="s">
        <v>41</v>
      </c>
      <c r="B21" s="0" t="s">
        <v>45</v>
      </c>
      <c r="C21" s="12" t="n">
        <f aca="false">'Allowance Calculator'!D9</f>
        <v>900</v>
      </c>
      <c r="E21" s="15" t="s">
        <v>41</v>
      </c>
      <c r="F21" s="15" t="s">
        <v>46</v>
      </c>
      <c r="G21" s="12" t="n">
        <f aca="false">IF('Allowance Calculator'!D11&gt;0,'Allowance Calculator'!D11,0)</f>
        <v>0</v>
      </c>
    </row>
    <row r="22" customFormat="false" ht="15" hidden="false" customHeight="false" outlineLevel="0" collapsed="false">
      <c r="C22" s="13" t="n">
        <f aca="false">C20+C21</f>
        <v>1300</v>
      </c>
      <c r="G22" s="13" t="n">
        <f aca="false">G20+G21</f>
        <v>1300</v>
      </c>
    </row>
    <row r="23" customFormat="false" ht="15" hidden="false" customHeight="false" outlineLevel="0" collapsed="false">
      <c r="E23" s="0" t="s">
        <v>43</v>
      </c>
      <c r="F23" s="0" t="s">
        <v>47</v>
      </c>
      <c r="G23" s="12" t="n">
        <f aca="false">'Allowance Calculator'!D9</f>
        <v>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8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3" customFormat="false" ht="15" hidden="false" customHeight="false" outlineLevel="0" collapsed="false">
      <c r="A3" s="4" t="s">
        <v>52</v>
      </c>
    </row>
    <row r="5" customFormat="false" ht="15" hidden="false" customHeight="false" outlineLevel="0" collapsed="false">
      <c r="A5" s="7" t="s">
        <v>53</v>
      </c>
      <c r="B5" s="7" t="s">
        <v>14</v>
      </c>
      <c r="C5" s="7" t="s">
        <v>15</v>
      </c>
      <c r="D5" s="7" t="s">
        <v>16</v>
      </c>
    </row>
    <row r="6" customFormat="false" ht="15" hidden="false" customHeight="false" outlineLevel="0" collapsed="false">
      <c r="A6" s="4" t="s">
        <v>17</v>
      </c>
      <c r="B6" s="8" t="n">
        <v>40000</v>
      </c>
      <c r="C6" s="8" t="n">
        <v>50000</v>
      </c>
      <c r="D6" s="8" t="n">
        <v>36000</v>
      </c>
    </row>
    <row r="7" customFormat="false" ht="15" hidden="false" customHeight="false" outlineLevel="0" collapsed="false">
      <c r="A7" s="4" t="s">
        <v>54</v>
      </c>
      <c r="B7" s="8" t="n">
        <v>0</v>
      </c>
      <c r="C7" s="8" t="n">
        <v>0</v>
      </c>
      <c r="D7" s="8" t="n">
        <v>1000</v>
      </c>
    </row>
    <row r="8" customFormat="false" ht="15" hidden="false" customHeight="false" outlineLevel="0" collapsed="false">
      <c r="A8" s="4" t="s">
        <v>20</v>
      </c>
      <c r="B8" s="10" t="n">
        <v>0.03</v>
      </c>
      <c r="C8" s="10" t="n">
        <v>0.03</v>
      </c>
      <c r="D8" s="10" t="n">
        <v>0.03</v>
      </c>
    </row>
    <row r="9" customFormat="false" ht="15" hidden="false" customHeight="false" outlineLevel="0" collapsed="false">
      <c r="A9" s="14" t="s">
        <v>55</v>
      </c>
    </row>
    <row r="11" customFormat="false" ht="15" hidden="false" customHeight="false" outlineLevel="0" collapsed="false">
      <c r="A11" s="7" t="s">
        <v>56</v>
      </c>
      <c r="B11" s="7" t="s">
        <v>57</v>
      </c>
      <c r="C11" s="7" t="s">
        <v>58</v>
      </c>
    </row>
    <row r="12" customFormat="false" ht="15" hidden="false" customHeight="false" outlineLevel="0" collapsed="false">
      <c r="A12" s="3" t="s">
        <v>59</v>
      </c>
    </row>
    <row r="13" customFormat="false" ht="15" hidden="false" customHeight="false" outlineLevel="0" collapsed="false">
      <c r="A13" s="4" t="s">
        <v>60</v>
      </c>
      <c r="B13" s="16"/>
      <c r="C13" s="3" t="str">
        <f aca="false">IF(B13="","",IFERROR(IF(ABS(B13-Answers!B13)&lt;0.5,"Correct","Try again"),"Enter a number"))</f>
        <v/>
      </c>
    </row>
    <row r="14" customFormat="false" ht="15" hidden="false" customHeight="false" outlineLevel="0" collapsed="false">
      <c r="A14" s="4" t="s">
        <v>61</v>
      </c>
      <c r="B14" s="16"/>
      <c r="C14" s="3" t="str">
        <f aca="false">IF(B14="","",IFERROR(IF(ABS(B14-Answers!B14)&lt;0.5,"Correct","Try again"),"Enter a number"))</f>
        <v/>
      </c>
    </row>
    <row r="15" customFormat="false" ht="15" hidden="false" customHeight="false" outlineLevel="0" collapsed="false">
      <c r="A15" s="4" t="s">
        <v>62</v>
      </c>
      <c r="B15" s="16"/>
      <c r="C15" s="3" t="str">
        <f aca="false">IF(B15="","",IFERROR(IF(ABS(B15-Answers!B15)&lt;0.5,"Correct","Try again"),"Enter a number"))</f>
        <v/>
      </c>
    </row>
    <row r="16" customFormat="false" ht="15" hidden="false" customHeight="false" outlineLevel="0" collapsed="false">
      <c r="A16" s="3" t="s">
        <v>63</v>
      </c>
    </row>
    <row r="17" customFormat="false" ht="15" hidden="false" customHeight="false" outlineLevel="0" collapsed="false">
      <c r="A17" s="4" t="s">
        <v>64</v>
      </c>
      <c r="B17" s="16"/>
      <c r="C17" s="3" t="str">
        <f aca="false">IF(B17="","",IFERROR(IF(ABS(B17-Answers!B17)&lt;0.5,"Correct","Try again"),"Enter a number"))</f>
        <v/>
      </c>
    </row>
    <row r="18" customFormat="false" ht="15" hidden="false" customHeight="false" outlineLevel="0" collapsed="false">
      <c r="A18" s="4" t="s">
        <v>65</v>
      </c>
      <c r="B18" s="17"/>
      <c r="C18" s="3" t="str">
        <f aca="false">IF(B18="","",IF(LOWER(TRIM(B18))=LOWER(Answers!B18),"Correct","Try again"))</f>
        <v/>
      </c>
    </row>
    <row r="19" customFormat="false" ht="15" hidden="false" customHeight="false" outlineLevel="0" collapsed="false">
      <c r="A19" s="4" t="s">
        <v>66</v>
      </c>
      <c r="B19" s="16"/>
      <c r="C19" s="3" t="str">
        <f aca="false">IF(B19="","",IFERROR(IF(ABS(B19-Answers!B19)&lt;0.5,"Correct","Try again"),"Enter a number"))</f>
        <v/>
      </c>
    </row>
    <row r="20" customFormat="false" ht="15" hidden="false" customHeight="false" outlineLevel="0" collapsed="false">
      <c r="A20" s="4" t="s">
        <v>67</v>
      </c>
      <c r="B20" s="17"/>
      <c r="C20" s="3" t="str">
        <f aca="false">IF(B20="","",IF(LOWER(TRIM(B20))=LOWER(Answers!B20),"Correct","Try again"))</f>
        <v/>
      </c>
    </row>
    <row r="21" customFormat="false" ht="15" hidden="false" customHeight="false" outlineLevel="0" collapsed="false">
      <c r="A21" s="4" t="s">
        <v>68</v>
      </c>
      <c r="B21" s="16"/>
      <c r="C21" s="3" t="str">
        <f aca="false">IF(B21="","",IFERROR(IF(ABS(B21-Answers!B21)&lt;0.5,"Correct","Try again"),"Enter a number"))</f>
        <v/>
      </c>
    </row>
    <row r="22" customFormat="false" ht="15" hidden="false" customHeight="false" outlineLevel="0" collapsed="false">
      <c r="A22" s="4" t="s">
        <v>69</v>
      </c>
      <c r="B22" s="17"/>
      <c r="C22" s="3" t="str">
        <f aca="false">IF(B22="","",IF(LOWER(TRIM(B22))=LOWER(Answers!B22),"Correct","Try again"))</f>
        <v/>
      </c>
    </row>
    <row r="23" customFormat="false" ht="15" hidden="false" customHeight="false" outlineLevel="0" collapsed="false">
      <c r="A23" s="3" t="s">
        <v>70</v>
      </c>
    </row>
    <row r="24" customFormat="false" ht="15" hidden="false" customHeight="false" outlineLevel="0" collapsed="false">
      <c r="A24" s="4" t="s">
        <v>71</v>
      </c>
      <c r="B24" s="16"/>
      <c r="C24" s="3" t="str">
        <f aca="false">IF(B24="","",IFERROR(IF(ABS(B24-Answers!B24)&lt;0.5,"Correct","Try again"),"Enter a number"))</f>
        <v/>
      </c>
    </row>
    <row r="25" customFormat="false" ht="15" hidden="false" customHeight="false" outlineLevel="0" collapsed="false">
      <c r="A25" s="4" t="s">
        <v>72</v>
      </c>
      <c r="B25" s="16"/>
      <c r="C25" s="3" t="str">
        <f aca="false">IF(B25="","",IFERROR(IF(ABS(B25-Answers!B25)&lt;0.5,"Correct","Try again"),"Enter a number"))</f>
        <v/>
      </c>
    </row>
    <row r="27" customFormat="false" ht="15" hidden="false" customHeight="false" outlineLevel="0" collapsed="false">
      <c r="A27" s="3" t="s">
        <v>73</v>
      </c>
      <c r="B27" s="3" t="str">
        <f aca="false">COUNTIF(C12:C26,"Correct")&amp;" / "&amp;COUNTA(B12:B26)&amp;" answered"</f>
        <v>0 / 0 answered</v>
      </c>
    </row>
  </sheetData>
  <conditionalFormatting sqref="C12:C26">
    <cfRule type="expression" priority="2" aboveAverage="0" equalAverage="0" bottom="0" percent="0" rank="0" text="" dxfId="0">
      <formula>LEFT(C12,7)="Correct"</formula>
    </cfRule>
    <cfRule type="expression" priority="3" aboveAverage="0" equalAverage="0" bottom="0" percent="0" rank="0" text="" dxfId="1">
      <formula>LEFT(C12,3)="Try"</formula>
    </cfRule>
  </conditionalFormatting>
  <dataValidations count="3">
    <dataValidation allowBlank="true" errorStyle="stop" operator="between" showDropDown="false" showErrorMessage="false" showInputMessage="false" sqref="B18" type="list">
      <formula1>"Expense,Income"</formula1>
      <formula2>0</formula2>
    </dataValidation>
    <dataValidation allowBlank="true" errorStyle="stop" operator="between" showDropDown="false" showErrorMessage="false" showInputMessage="false" sqref="B20" type="list">
      <formula1>"Expense,Income"</formula1>
      <formula2>0</formula2>
    </dataValidation>
    <dataValidation allowBlank="true" errorStyle="stop" operator="between" showDropDown="false" showErrorMessage="false" showInputMessage="false" sqref="B22" type="list">
      <formula1>"Expense,Income"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11" customFormat="false" ht="15" hidden="false" customHeight="false" outlineLevel="0" collapsed="false">
      <c r="A11" s="7" t="s">
        <v>56</v>
      </c>
      <c r="B11" s="7" t="s">
        <v>76</v>
      </c>
    </row>
    <row r="12" customFormat="false" ht="15" hidden="false" customHeight="false" outlineLevel="0" collapsed="false">
      <c r="A12" s="3" t="s">
        <v>59</v>
      </c>
    </row>
    <row r="13" customFormat="false" ht="15" hidden="false" customHeight="false" outlineLevel="0" collapsed="false">
      <c r="A13" s="4" t="s">
        <v>60</v>
      </c>
      <c r="B13" s="11" t="n">
        <f aca="false">ROUND((Practice!$B$6-Practice!$B$7)*Practice!$B$8,2)</f>
        <v>1200</v>
      </c>
    </row>
    <row r="14" customFormat="false" ht="15" hidden="false" customHeight="false" outlineLevel="0" collapsed="false">
      <c r="A14" s="4" t="s">
        <v>61</v>
      </c>
      <c r="B14" s="11" t="n">
        <f aca="false">ROUND((Practice!$C$6-Practice!$C$7)*Practice!$C$8,2)</f>
        <v>1500</v>
      </c>
    </row>
    <row r="15" customFormat="false" ht="15" hidden="false" customHeight="false" outlineLevel="0" collapsed="false">
      <c r="A15" s="4" t="s">
        <v>62</v>
      </c>
      <c r="B15" s="11" t="n">
        <f aca="false">ROUND((Practice!$D$6-Practice!$D$7)*Practice!$D$8,2)</f>
        <v>1050</v>
      </c>
    </row>
    <row r="16" customFormat="false" ht="15" hidden="false" customHeight="false" outlineLevel="0" collapsed="false">
      <c r="A16" s="3" t="s">
        <v>63</v>
      </c>
    </row>
    <row r="17" customFormat="false" ht="15" hidden="false" customHeight="false" outlineLevel="0" collapsed="false">
      <c r="A17" s="4" t="s">
        <v>64</v>
      </c>
      <c r="B17" s="11" t="n">
        <f aca="false">ABS(ROUND((Practice!$B$6-Practice!$B$7)*Practice!$B$8,2))</f>
        <v>1200</v>
      </c>
    </row>
    <row r="18" customFormat="false" ht="15" hidden="false" customHeight="false" outlineLevel="0" collapsed="false">
      <c r="A18" s="4" t="s">
        <v>65</v>
      </c>
      <c r="B18" s="11" t="str">
        <f aca="false">IF(ROUND((Practice!$B$6-Practice!$B$7)*Practice!$B$8,2)&gt;=0,"Expense","Income")</f>
        <v>Expense</v>
      </c>
    </row>
    <row r="19" customFormat="false" ht="15" hidden="false" customHeight="false" outlineLevel="0" collapsed="false">
      <c r="A19" s="4" t="s">
        <v>66</v>
      </c>
      <c r="B19" s="11" t="n">
        <f aca="false">ABS(ROUND((Practice!$C$6-Practice!$C$7)*Practice!$C$8,2)-ROUND((Practice!$B$6-Practice!$B$7)*Practice!$B$8,2))</f>
        <v>300</v>
      </c>
    </row>
    <row r="20" customFormat="false" ht="15" hidden="false" customHeight="false" outlineLevel="0" collapsed="false">
      <c r="A20" s="4" t="s">
        <v>67</v>
      </c>
      <c r="B20" s="11" t="str">
        <f aca="false">IF(ROUND((Practice!$C$6-Practice!$C$7)*Practice!$C$8,2)-ROUND((Practice!$B$6-Practice!$B$7)*Practice!$B$8,2)&gt;=0,"Expense","Income")</f>
        <v>Expense</v>
      </c>
    </row>
    <row r="21" customFormat="false" ht="15" hidden="false" customHeight="false" outlineLevel="0" collapsed="false">
      <c r="A21" s="4" t="s">
        <v>68</v>
      </c>
      <c r="B21" s="11" t="n">
        <f aca="false">ABS(ROUND((Practice!$D$6-Practice!$D$7)*Practice!$D$8,2)-ROUND((Practice!$C$6-Practice!$C$7)*Practice!$C$8,2))</f>
        <v>450</v>
      </c>
    </row>
    <row r="22" customFormat="false" ht="15" hidden="false" customHeight="false" outlineLevel="0" collapsed="false">
      <c r="A22" s="4" t="s">
        <v>69</v>
      </c>
      <c r="B22" s="11" t="str">
        <f aca="false">IF(ROUND((Practice!$D$6-Practice!$D$7)*Practice!$D$8,2)-ROUND((Practice!$C$6-Practice!$C$7)*Practice!$C$8,2)&gt;=0,"Expense","Income")</f>
        <v>Income</v>
      </c>
    </row>
    <row r="23" customFormat="false" ht="15" hidden="false" customHeight="false" outlineLevel="0" collapsed="false">
      <c r="A23" s="3" t="s">
        <v>70</v>
      </c>
    </row>
    <row r="24" customFormat="false" ht="15" hidden="false" customHeight="false" outlineLevel="0" collapsed="false">
      <c r="A24" s="4" t="s">
        <v>71</v>
      </c>
      <c r="B24" s="11" t="n">
        <f aca="false">(Practice!$D$6-Practice!$D$7)</f>
        <v>35000</v>
      </c>
    </row>
    <row r="25" customFormat="false" ht="15" hidden="false" customHeight="false" outlineLevel="0" collapsed="false">
      <c r="A25" s="4" t="s">
        <v>72</v>
      </c>
      <c r="B25" s="11" t="n">
        <f aca="false">(Practice!$D$6-Practice!$D$7)-ROUND((Practice!$D$6-Practice!$D$7)*Practice!$D$8,2)</f>
        <v>33950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2026-09-30T09:13:09Z</dcterms:created>
  <dc:creator>openpyxl</dc:creator>
  <dc:description/>
  <dc:language>en-US</dc:language>
  <cp:lastModifiedBy/>
  <dcterms:modified xsi:type="dcterms:W3CDTF">2026-09-30T09:13:09Z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