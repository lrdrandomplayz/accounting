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13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 Me" sheetId="1" state="visible" r:id="rId3"/>
    <sheet name="Worked 8.1-8.2" sheetId="2" state="visible" r:id="rId4"/>
    <sheet name="Worked 8.3" sheetId="3" state="visible" r:id="rId5"/>
    <sheet name="Q8.8" sheetId="4" state="visible" r:id="rId6"/>
    <sheet name="Q8.9" sheetId="5" state="visible" r:id="rId7"/>
    <sheet name="Q8.10" sheetId="6" state="visible" r:id="rId8"/>
    <sheet name="Q8.11" sheetId="7" state="visible" r:id="rId9"/>
    <sheet name="Q8.12" sheetId="8" state="visible" r:id="rId10"/>
    <sheet name="Q8.8 Ans" sheetId="9" state="visible" r:id="rId11"/>
    <sheet name="Q8.9 Ans" sheetId="10" state="visible" r:id="rId12"/>
    <sheet name="Q8.10 Ans" sheetId="11" state="visible" r:id="rId13"/>
    <sheet name="Q8.11 Ans" sheetId="12" state="visible" r:id="rId14"/>
    <sheet name="Q8.12 Ans" sheetId="13" state="visible" r:id="rId15"/>
  </sheets>
  <definedNames>
    <definedName function="false" hidden="false" localSheetId="5" name="_xlnm.Print_Area" vbProcedure="false">'Q8.10'!$A$1:$AG$58</definedName>
    <definedName function="false" hidden="false" localSheetId="10" name="_xlnm.Print_Area" vbProcedure="false">'Q8.10 Ans'!$A$1:$AG$58</definedName>
    <definedName function="false" hidden="false" localSheetId="6" name="_xlnm.Print_Area" vbProcedure="false">'Q8.11'!$A$1:$AG$57</definedName>
    <definedName function="false" hidden="false" localSheetId="11" name="_xlnm.Print_Area" vbProcedure="false">'Q8.11 Ans'!$A$1:$AG$57</definedName>
    <definedName function="false" hidden="false" localSheetId="7" name="_xlnm.Print_Area" vbProcedure="false">'Q8.12'!$A$1:$AG$60</definedName>
    <definedName function="false" hidden="false" localSheetId="12" name="_xlnm.Print_Area" vbProcedure="false">'Q8.12 Ans'!$A$1:$AG$60</definedName>
    <definedName function="false" hidden="false" localSheetId="3" name="_xlnm.Print_Area" vbProcedure="false">'Q8.8'!$A$1:$AG$34</definedName>
    <definedName function="false" hidden="false" localSheetId="8" name="_xlnm.Print_Area" vbProcedure="false">'Q8.8 Ans'!$A$1:$AG$34</definedName>
    <definedName function="false" hidden="false" localSheetId="4" name="_xlnm.Print_Area" vbProcedure="false">'Q8.9'!$A$1:$AG$35</definedName>
    <definedName function="false" hidden="false" localSheetId="9" name="_xlnm.Print_Area" vbProcedure="false">'Q8.9 Ans'!$A$1:$AG$35</definedName>
    <definedName function="false" hidden="false" localSheetId="0" name="_xlnm.Print_Area" vbProcedure="false">'Read Me'!$A$1:$AG$33</definedName>
    <definedName function="false" hidden="false" localSheetId="1" name="_xlnm.Print_Area" vbProcedure="false">'Worked 8.1-8.2'!$A$1:$AG$37</definedName>
    <definedName function="false" hidden="false" localSheetId="2" name="_xlnm.Print_Area" vbProcedure="false">'Worked 8.3'!$A$1:$AG$41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<sst xmlns="http://schemas.openxmlformats.org/spreadsheetml/2006/main" count="861" uniqueCount="212">
  <si>
    <t xml:space="preserve">Chapter 8: Irrecoverable Debts and Allowance for Receivables</t>
  </si>
  <si>
    <t xml:space="preserve">Senior 1 Accounting. Free to use and share. Not for sale.</t>
  </si>
  <si>
    <t xml:space="preserve">How to use this workbook</t>
  </si>
  <si>
    <t xml:space="preserve">1. Read the notes first. Then open the orange Worked tabs: change any blue figure and watch the answers update.</t>
  </si>
  <si>
    <t xml:space="preserve">2. Try the blue question tabs in order, Level 1 to Level 5. Type your answers in the yellow cells.</t>
  </si>
  <si>
    <t xml:space="preserve">3. The small column next to each yellow cell shows ✓ (correct) or ✗ (try again). Your score is at the top of each question.</t>
  </si>
  <si>
    <t xml:space="preserve">4. Particulars and dates are given so the sheet can mark your figures. Try writing each account or statement on paper first.</t>
  </si>
  <si>
    <t xml:space="preserve">5. Written answers cannot be marked by Excel. Compare them with the model answers on the green tabs.</t>
  </si>
  <si>
    <t xml:space="preserve">6. The green Ans tabs show the full solutions in exam format.</t>
  </si>
  <si>
    <t xml:space="preserve">Colour key</t>
  </si>
  <si>
    <t xml:space="preserve">Blue figure: data from the question. Teachers may change it to make a new version.</t>
  </si>
  <si>
    <t xml:space="preserve">Black figure: a formula. Do not type over it.</t>
  </si>
  <si>
    <t xml:space="preserve">Yellow cell: type your answer here (numbers only; enter 0 for nil).</t>
  </si>
  <si>
    <t xml:space="preserve">Green cell: the correct answer (Ans tabs).</t>
  </si>
  <si>
    <t xml:space="preserve">Formats used</t>
  </si>
  <si>
    <t xml:space="preserve">Journal: Date | Particulars | Debit | Credit. The first row shows the year, with RM under Debit and Credit.</t>
  </si>
  <si>
    <t xml:space="preserve">Ledger account: Dr side and Cr side, each with Date | Particulars | Folio | Amount. The first row under the headings shows the year, with RM in the Amount column; entries then show the month and day. Folio: GJ = general journal, CB = cash book.</t>
  </si>
  <si>
    <t xml:space="preserve">Statement of Profit or Loss: marker (Add / Less) | Particulars | RM | RM | RM.</t>
  </si>
  <si>
    <t xml:space="preserve">Statement of Financial Position: the same, with Cost | Accumulated Depreciation | Carrying Amount under the RM headings.</t>
  </si>
  <si>
    <t xml:space="preserve">Sheets in this workbook</t>
  </si>
  <si>
    <t xml:space="preserve">Sheet</t>
  </si>
  <si>
    <t xml:space="preserve">What it is</t>
  </si>
  <si>
    <t xml:space="preserve">Worked 8.1-8.2</t>
  </si>
  <si>
    <t xml:space="preserve">Worked example (orange tab)</t>
  </si>
  <si>
    <t xml:space="preserve">Worked 8.3</t>
  </si>
  <si>
    <t xml:space="preserve">Q8.8</t>
  </si>
  <si>
    <t xml:space="preserve">Structured question, Level 1: Easy (blue tab). Answers: Q8.8 Ans (green tab).</t>
  </si>
  <si>
    <t xml:space="preserve">Q8.9</t>
  </si>
  <si>
    <t xml:space="preserve">Structured question, Level 2: Easy to medium (blue tab). Answers: Q8.9 Ans (green tab).</t>
  </si>
  <si>
    <t xml:space="preserve">Q8.10</t>
  </si>
  <si>
    <t xml:space="preserve">Structured question, Level 3: Medium (blue tab). Answers: Q8.10 Ans (green tab).</t>
  </si>
  <si>
    <t xml:space="preserve">Q8.11</t>
  </si>
  <si>
    <t xml:space="preserve">Structured question, Level 4: Hard (blue tab). Answers: Q8.11 Ans (green tab).</t>
  </si>
  <si>
    <t xml:space="preserve">Q8.12</t>
  </si>
  <si>
    <t xml:space="preserve">Structured question, Level 5: Challenge (blue tab). Answers: Q8.12 Ans (green tab).</t>
  </si>
  <si>
    <t xml:space="preserve">Worked example. Change any blue figure and every answer below updates.</t>
  </si>
  <si>
    <t xml:space="preserve">Black figures are formulas. Do not type over them.</t>
  </si>
  <si>
    <t xml:space="preserve">Worked examples 8.1 and 8.2 from the notes.</t>
  </si>
  <si>
    <t xml:space="preserve">Inputs</t>
  </si>
  <si>
    <t xml:space="preserve">Figure</t>
  </si>
  <si>
    <t xml:space="preserve">Example 8.1: debt owed by Kofi (RM)</t>
  </si>
  <si>
    <t xml:space="preserve">Example 8.2: debt recovered from Lina (RM)</t>
  </si>
  <si>
    <t xml:space="preserve">Example 8.1: Kofi is declared bankrupt on 30 June 2025</t>
  </si>
  <si>
    <t xml:space="preserve">Date</t>
  </si>
  <si>
    <t xml:space="preserve">Particulars</t>
  </si>
  <si>
    <t xml:space="preserve">Debit</t>
  </si>
  <si>
    <t xml:space="preserve">Credit</t>
  </si>
  <si>
    <t xml:space="preserve">2025</t>
  </si>
  <si>
    <t xml:space="preserve">RM</t>
  </si>
  <si>
    <t xml:space="preserve">Jun 30</t>
  </si>
  <si>
    <t xml:space="preserve">Irrecoverable debts</t>
  </si>
  <si>
    <t xml:space="preserve">Kofi</t>
  </si>
  <si>
    <t xml:space="preserve">(Being debt written off: customer declared bankrupt)</t>
  </si>
  <si>
    <t xml:space="preserve">Dr</t>
  </si>
  <si>
    <t xml:space="preserve">Kofi Account</t>
  </si>
  <si>
    <t xml:space="preserve">Cr</t>
  </si>
  <si>
    <t xml:space="preserve">Folio</t>
  </si>
  <si>
    <t xml:space="preserve">Amount</t>
  </si>
  <si>
    <t xml:space="preserve">Jun 1</t>
  </si>
  <si>
    <t xml:space="preserve">Balance b/d</t>
  </si>
  <si>
    <t xml:space="preserve">GJ1</t>
  </si>
  <si>
    <t xml:space="preserve">Irrecoverable Debts Account</t>
  </si>
  <si>
    <t xml:space="preserve">Dec 31</t>
  </si>
  <si>
    <t xml:space="preserve">Income statement</t>
  </si>
  <si>
    <t xml:space="preserve">GJ2</t>
  </si>
  <si>
    <t xml:space="preserve">Example 8.2: Lina pays a debt that was written off last year</t>
  </si>
  <si>
    <t xml:space="preserve">Lina</t>
  </si>
  <si>
    <t xml:space="preserve">Irrecoverable debts recovered</t>
  </si>
  <si>
    <t xml:space="preserve">(Being debt written off last year reinstated)</t>
  </si>
  <si>
    <t xml:space="preserve">Bank</t>
  </si>
  <si>
    <t xml:space="preserve">(Being cheque received from Lina)</t>
  </si>
  <si>
    <t xml:space="preserve">Worked example 8.3: an allowance of 5% of trade receivables over three years.</t>
  </si>
  <si>
    <t xml:space="preserve">Item</t>
  </si>
  <si>
    <t xml:space="preserve">2023</t>
  </si>
  <si>
    <t xml:space="preserve">2024</t>
  </si>
  <si>
    <t xml:space="preserve">Trade receivables before write-offs</t>
  </si>
  <si>
    <t xml:space="preserve">Less: irrecoverable debts written off</t>
  </si>
  <si>
    <t xml:space="preserve">Trade receivables after write-offs</t>
  </si>
  <si>
    <t xml:space="preserve">Allowance rate</t>
  </si>
  <si>
    <t xml:space="preserve">Step 1: allowance required at year end</t>
  </si>
  <si>
    <t xml:space="preserve">Less: allowance brought forward</t>
  </si>
  <si>
    <t xml:space="preserve">Step 2: change (+ increase, - decrease)</t>
  </si>
  <si>
    <t xml:space="preserve">Step 3: treatment in the SPL</t>
  </si>
  <si>
    <t xml:space="preserve">Net trade receivables in the SOFP</t>
  </si>
  <si>
    <t xml:space="preserve">Allowance for Irrecoverable Debts Account</t>
  </si>
  <si>
    <t xml:space="preserve">Income statement (decrease)</t>
  </si>
  <si>
    <t xml:space="preserve">Jan 1</t>
  </si>
  <si>
    <t xml:space="preserve">Balance c/d</t>
  </si>
  <si>
    <t xml:space="preserve">Income statement (increase)</t>
  </si>
  <si>
    <t xml:space="preserve">2026</t>
  </si>
  <si>
    <t xml:space="preserve">A dash means no amount in that year. Only the change in the allowance goes to the income statement.</t>
  </si>
  <si>
    <t xml:space="preserve">Statement of Financial Position (extract) at 31 December 2025</t>
  </si>
  <si>
    <t xml:space="preserve">Cost</t>
  </si>
  <si>
    <t xml:space="preserve">Accumulated Depreciation</t>
  </si>
  <si>
    <t xml:space="preserve">Carrying Amount</t>
  </si>
  <si>
    <t xml:space="preserve">Current assets</t>
  </si>
  <si>
    <t xml:space="preserve">Trade receivables</t>
  </si>
  <si>
    <t xml:space="preserve">Less:</t>
  </si>
  <si>
    <t xml:space="preserve">Allowance for irrecoverable debts</t>
  </si>
  <si>
    <t xml:space="preserve">Question 8.8 (Level 1: Easy)</t>
  </si>
  <si>
    <t xml:space="preserve">Type your answers in the yellow cells. Numbers only: no RM, no commas. Enter 0 where the answer is nil. ✓ = correct, ✗ = try again.</t>
  </si>
  <si>
    <t xml:space="preserve">Your score:</t>
  </si>
  <si>
    <t xml:space="preserve">Sara sells goods on credit. Her financial year ends on 31 December 2025. Two credit customers cannot pay:</t>
  </si>
  <si>
    <t xml:space="preserve">•  31 March 2025: Peter, who owes RM350, is declared bankrupt.</t>
  </si>
  <si>
    <t xml:space="preserve">•  30 September 2025: Jane, who owes RM200, leaves the country. Sara decides the debt will never be paid.</t>
  </si>
  <si>
    <t xml:space="preserve">Figures from the question</t>
  </si>
  <si>
    <t xml:space="preserve">Debt owed by Peter (RM)</t>
  </si>
  <si>
    <t xml:space="preserve">Debt owed by Jane (RM)</t>
  </si>
  <si>
    <t xml:space="preserve">a) Prepare the journal entries to write off both debts. (4)</t>
  </si>
  <si>
    <t xml:space="preserve">Mar 31</t>
  </si>
  <si>
    <t xml:space="preserve">Peter</t>
  </si>
  <si>
    <t xml:space="preserve">Sep 30</t>
  </si>
  <si>
    <t xml:space="preserve">Jane</t>
  </si>
  <si>
    <t xml:space="preserve">(Being debt written off: customer left the country)</t>
  </si>
  <si>
    <t xml:space="preserve">b) Prepare the Irrecoverable debts account for the year, showing the transfer to the income statement. (3)</t>
  </si>
  <si>
    <t xml:space="preserve">c) State the effect of the write-offs on profit and on trade receivables. (2)</t>
  </si>
  <si>
    <t xml:space="preserve">Decrease in profit for the year (RM)</t>
  </si>
  <si>
    <t xml:space="preserve">Decrease in trade receivables (RM)</t>
  </si>
  <si>
    <t xml:space="preserve">Question 8.9 (Level 2: Easy to medium)</t>
  </si>
  <si>
    <t xml:space="preserve">At 31 December 2025, trade receivables are RM24,000. This includes RM800 owed by Ali, who has disappeared. The business writes off Ali's debt. It then creates an allowance for irrecoverable debts of 5% of trade receivables for the first time.</t>
  </si>
  <si>
    <t xml:space="preserve">Trade receivables before writing off Ali's debt (RM)</t>
  </si>
  <si>
    <t xml:space="preserve">Debt owed by Ali (RM)</t>
  </si>
  <si>
    <t xml:space="preserve">a) Calculate trade receivables after writing off Ali's debt. (1)</t>
  </si>
  <si>
    <t xml:space="preserve">Trade receivables after the write-off (RM)</t>
  </si>
  <si>
    <t xml:space="preserve">b) Calculate the allowance for irrecoverable debts. (2)</t>
  </si>
  <si>
    <t xml:space="preserve">Allowance for irrecoverable debts (RM)</t>
  </si>
  <si>
    <t xml:space="preserve">c) Show the Statement of Profit or Loss extract for the year. (2)</t>
  </si>
  <si>
    <t xml:space="preserve">Statement of Profit or Loss (extract) for the year ended 31 December 2025</t>
  </si>
  <si>
    <t xml:space="preserve">Expenses</t>
  </si>
  <si>
    <t xml:space="preserve">Allowance for irrecoverable debts (created)</t>
  </si>
  <si>
    <t xml:space="preserve">d) Show the Statement of Financial Position extract at 31 December 2025. (2)</t>
  </si>
  <si>
    <t xml:space="preserve">e) Name the accounting concept which explains why the allowance is created. (1)</t>
  </si>
  <si>
    <t xml:space="preserve">Concept</t>
  </si>
  <si>
    <t xml:space="preserve">Question 8.10 (Level 3: Medium)</t>
  </si>
  <si>
    <t xml:space="preserve">Lee's year ends on 30 June 2026. The allowance for irrecoverable debts at 1 July 2025 was RM900. During the year:</t>
  </si>
  <si>
    <t xml:space="preserve">•  A debt of RM400 owed by Omar was written off.</t>
  </si>
  <si>
    <t xml:space="preserve">•  Lucy paid RM250 by cheque. Her debt was written off in 2024.</t>
  </si>
  <si>
    <t xml:space="preserve">Trade receivables at 30 June 2026 were RM26,000 after writing off Omar's debt. The allowance is to be 4% of trade receivables.</t>
  </si>
  <si>
    <t xml:space="preserve">Allowance at 1 July 2025 (RM)</t>
  </si>
  <si>
    <t xml:space="preserve">Omar's debt written off (RM)</t>
  </si>
  <si>
    <t xml:space="preserve">Received from Lucy (RM)</t>
  </si>
  <si>
    <t xml:space="preserve">Trade receivables at 30 June 2026 (RM)</t>
  </si>
  <si>
    <t xml:space="preserve">a) Prepare the journal entries to record the money received from Lucy. (4)</t>
  </si>
  <si>
    <t xml:space="preserve">Lucy</t>
  </si>
  <si>
    <t xml:space="preserve">(Being debt written off in 2024 reinstated)</t>
  </si>
  <si>
    <t xml:space="preserve">(Being cheque received from Lucy)</t>
  </si>
  <si>
    <t xml:space="preserve">b) Calculate the new allowance and the change in the allowance. (2)</t>
  </si>
  <si>
    <t xml:space="preserve">New allowance at 30 June 2026 (RM)</t>
  </si>
  <si>
    <t xml:space="preserve">Increase in the allowance (RM)</t>
  </si>
  <si>
    <t xml:space="preserve">c) Prepare the Allowance for irrecoverable debts account for the year. (4)</t>
  </si>
  <si>
    <t xml:space="preserve">Jul 1</t>
  </si>
  <si>
    <t xml:space="preserve">d) Show the Statement of Profit or Loss extract for the three items above. (3)</t>
  </si>
  <si>
    <t xml:space="preserve">Statement of Profit or Loss (extract) for the year ended 30 June 2026</t>
  </si>
  <si>
    <t xml:space="preserve">Add:</t>
  </si>
  <si>
    <t xml:space="preserve">Other income</t>
  </si>
  <si>
    <t xml:space="preserve">Increase in allowance for irrecoverable debts</t>
  </si>
  <si>
    <t xml:space="preserve">Net effect on profit</t>
  </si>
  <si>
    <t xml:space="preserve">e) Show the Statement of Financial Position extract at 30 June 2026. (2)</t>
  </si>
  <si>
    <t xml:space="preserve">Statement of Financial Position (extract) at 30 June 2026</t>
  </si>
  <si>
    <t xml:space="preserve">Question 8.11 (Level 4: Hard)</t>
  </si>
  <si>
    <t xml:space="preserve">Grace keeps an allowance for irrecoverable debts of 3% of trade receivables. Her year end is 31 December. There was no allowance before 2023.</t>
  </si>
  <si>
    <t xml:space="preserve">Trade receivables before write-offs (RM)</t>
  </si>
  <si>
    <t xml:space="preserve">Debts to be written off (RM)</t>
  </si>
  <si>
    <t xml:space="preserve">All years</t>
  </si>
  <si>
    <t xml:space="preserve">a) Calculate the allowance required at the end of each year. (3)</t>
  </si>
  <si>
    <t xml:space="preserve">Allowance at 31 December 2023 (RM)</t>
  </si>
  <si>
    <t xml:space="preserve">Allowance at 31 December 2024 (RM)</t>
  </si>
  <si>
    <t xml:space="preserve">Allowance at 31 December 2025 (RM)</t>
  </si>
  <si>
    <t xml:space="preserve">b) State the amount charged or credited to the Statement of Profit or Loss each year, and whether it is an expense or income. (3)</t>
  </si>
  <si>
    <t xml:space="preserve">Amount to the SPL in 2023 (RM)</t>
  </si>
  <si>
    <t xml:space="preserve">Amount to the SPL in 2024 (RM)</t>
  </si>
  <si>
    <t xml:space="preserve">Amount to the SPL in 2025 (RM)</t>
  </si>
  <si>
    <t xml:space="preserve">2023: expense or income?</t>
  </si>
  <si>
    <t xml:space="preserve">2024: expense or income?</t>
  </si>
  <si>
    <t xml:space="preserve">2025: expense or income?</t>
  </si>
  <si>
    <t xml:space="preserve">c) Prepare the Allowance for irrecoverable debts account for the three years. (6)</t>
  </si>
  <si>
    <t xml:space="preserve">GJ3</t>
  </si>
  <si>
    <t xml:space="preserve">d) Show the Statement of Financial Position extract for trade receivables at 31 December 2025. (2)</t>
  </si>
  <si>
    <t xml:space="preserve">Question 8.12 (Level 5: Challenge)</t>
  </si>
  <si>
    <t xml:space="preserve">Hamid's draft profit for the year ended 31 December 2025 is RM18,000. The following items have not yet been dealt with:</t>
  </si>
  <si>
    <t xml:space="preserve">•  Trade receivables at 31 December 2025 are RM41,500 in the books.</t>
  </si>
  <si>
    <t xml:space="preserve">•  Kim owes RM1,500 and has been declared bankrupt. The debt must be written off.</t>
  </si>
  <si>
    <t xml:space="preserve">•  During the year RM300 was received from a customer whose debt was written off in 2023. The bookkeeper debited bank and credited trade receivables by mistake.</t>
  </si>
  <si>
    <t xml:space="preserve">•  The allowance for irrecoverable debts at 1 January 2025 was RM2,500. It is to be 5% of trade receivables at 31 December 2025.</t>
  </si>
  <si>
    <t xml:space="preserve">Draft profit (RM)</t>
  </si>
  <si>
    <t xml:space="preserve">Trade receivables in the books (RM)</t>
  </si>
  <si>
    <t xml:space="preserve">Kim's debt (RM)</t>
  </si>
  <si>
    <t xml:space="preserve">Debt recovered, wrongly credited to trade receivables (RM)</t>
  </si>
  <si>
    <t xml:space="preserve">Allowance at 1 January 2025 (RM)</t>
  </si>
  <si>
    <t xml:space="preserve">a) Calculate the correct trade receivables at 31 December 2025. (3)</t>
  </si>
  <si>
    <t xml:space="preserve">Correct trade receivables (RM)</t>
  </si>
  <si>
    <t xml:space="preserve">b) Calculate the allowance required and the change in the allowance. State whether the change is an expense or income. (3)</t>
  </si>
  <si>
    <t xml:space="preserve">Allowance required (RM)</t>
  </si>
  <si>
    <t xml:space="preserve">Change in the allowance (RM)</t>
  </si>
  <si>
    <t xml:space="preserve">Is the change an expense or income?</t>
  </si>
  <si>
    <t xml:space="preserve">c) Calculate the corrected profit for the year. (4)</t>
  </si>
  <si>
    <t xml:space="preserve">Hamid: calculation of corrected profit for the year ended 31 December 2025</t>
  </si>
  <si>
    <t xml:space="preserve">Draft profit</t>
  </si>
  <si>
    <t xml:space="preserve">Irrecoverable debt written off (Kim)</t>
  </si>
  <si>
    <t xml:space="preserve">Decrease in allowance for irrecoverable debts</t>
  </si>
  <si>
    <t xml:space="preserve">Corrected profit</t>
  </si>
  <si>
    <t xml:space="preserve">d) Prepare the Allowance for irrecoverable debts account for the year. (3)</t>
  </si>
  <si>
    <t xml:space="preserve">e) Show the Statement of Financial Position extract for trade receivables. (2)</t>
  </si>
  <si>
    <t xml:space="preserve">f) Hamid says: "I will make the allowance 20% next year, just to be safe." Evaluate this idea. (3)</t>
  </si>
  <si>
    <t xml:space="preserve">Question 8.8 (Level 1: Easy): Answers</t>
  </si>
  <si>
    <t xml:space="preserve">Answer sheet. Green cells hold the correct answers. Each figure is a formula linked to the question sheet, so the answers follow any change to the blue figures.</t>
  </si>
  <si>
    <t xml:space="preserve">Written answers are model answers: other wording that makes the same points also earns the marks.</t>
  </si>
  <si>
    <t xml:space="preserve">Question 8.9 (Level 2: Easy to medium): Answers</t>
  </si>
  <si>
    <t xml:space="preserve">Question 8.10 (Level 3: Medium): Answers</t>
  </si>
  <si>
    <t xml:space="preserve">Question 8.11 (Level 4: Hard): Answers</t>
  </si>
  <si>
    <t xml:space="preserve">Question 8.12 (Level 5: Challenge): Answers</t>
  </si>
  <si>
    <t xml:space="preserve">For: a bigger allowance is more cautious, so assets and profit are less likely to be overstated.
Against: the allowance must be a reasonable estimate based on past experience. 20% is far above Hamid's real losses, so profit and trade receivables would be understated and the statements would not be reliable. A sudden change also breaks the consistency concept.
Conclusion: keep a realistic rate (about 5%) and change it only when experience of bad debts changes. Prudence means do not overstate; it does not mean understate on purpose.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</si>
</sst>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#,##0;\(#,##0\);\-"/>
    <numFmt numFmtId="166" formatCode="0.0%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color rgb="FFFFFFFF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b val="true"/>
      <sz val="10"/>
      <color rgb="FF1F3864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9"/>
      <color rgb="FF000000"/>
      <name val="Arial"/>
      <family val="0"/>
      <charset val="1"/>
    </font>
    <font>
      <sz val="9"/>
      <color rgb="FF595959"/>
      <name val="Arial"/>
      <family val="0"/>
      <charset val="1"/>
    </font>
    <font>
      <i val="true"/>
      <sz val="10"/>
      <color rgb="FF000000"/>
      <name val="Arial"/>
      <family val="0"/>
      <charset val="1"/>
    </font>
    <font>
      <b val="true"/>
      <i val="true"/>
      <sz val="10"/>
      <color rgb="FF000000"/>
      <name val="Arial"/>
      <family val="0"/>
      <charset val="1"/>
    </font>
    <font>
      <sz val="10"/>
      <color rgb="FF008000"/>
      <name val="Arial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DDEBF7"/>
        <bgColor rgb="FFD9E1F2"/>
      </patternFill>
    </fill>
    <fill>
      <patternFill patternType="solid">
        <fgColor rgb="FFF2F2F2"/>
        <bgColor rgb="FFEEF6E8"/>
      </patternFill>
    </fill>
    <fill>
      <patternFill patternType="solid">
        <fgColor rgb="FFFFF59D"/>
        <bgColor rgb="FFE2EFDA"/>
      </patternFill>
    </fill>
    <fill>
      <patternFill patternType="solid">
        <fgColor rgb="FFE2EFDA"/>
        <bgColor rgb="FFEEF6E8"/>
      </patternFill>
    </fill>
    <fill>
      <patternFill patternType="solid">
        <fgColor rgb="FFD9E1F2"/>
        <bgColor rgb="FFDDEBF7"/>
      </patternFill>
    </fill>
    <fill>
      <patternFill patternType="solid">
        <fgColor rgb="FFEEF6E8"/>
        <bgColor rgb="FFF2F2F2"/>
      </patternFill>
    </fill>
  </fills>
  <borders count="11">
    <border diagonalUp="false" diagonalDown="false">
      <left/>
      <right/>
      <top/>
      <bottom/>
      <diagonal/>
    </border>
    <border diagonalUp="false" diagonalDown="false">
      <left style="medium">
        <color rgb="FF1F3864"/>
      </left>
      <right/>
      <top/>
      <bottom/>
      <diagonal/>
    </border>
    <border diagonalUp="false" diagonalDown="false">
      <left style="thin">
        <color rgb="FFB4C6E7"/>
      </left>
      <right style="thin">
        <color rgb="FFB4C6E7"/>
      </right>
      <top style="thin">
        <color rgb="FFB4C6E7"/>
      </top>
      <bottom style="thin">
        <color rgb="FFB4C6E7"/>
      </bottom>
      <diagonal/>
    </border>
    <border diagonalUp="false" diagonalDown="false">
      <left/>
      <right/>
      <top/>
      <bottom style="medium">
        <color rgb="FF1F3864"/>
      </bottom>
      <diagonal/>
    </border>
    <border diagonalUp="false" diagonalDown="false">
      <left style="medium">
        <color rgb="FF1F3864"/>
      </left>
      <right/>
      <top/>
      <bottom style="medium">
        <color rgb="FF1F3864"/>
      </bottom>
      <diagonal/>
    </border>
    <border diagonalUp="false" diagonalDown="false">
      <left style="thin">
        <color rgb="FFB4C6E7"/>
      </left>
      <right style="thin">
        <color rgb="FFB4C6E7"/>
      </right>
      <top style="thin"/>
      <bottom style="thin">
        <color rgb="FFB4C6E7"/>
      </bottom>
      <diagonal/>
    </border>
    <border diagonalUp="false" diagonalDown="false">
      <left style="thin">
        <color rgb="FFB4C6E7"/>
      </left>
      <right style="thin">
        <color rgb="FFB4C6E7"/>
      </right>
      <top style="thin"/>
      <bottom style="double"/>
      <diagonal/>
    </border>
    <border diagonalUp="false" diagonalDown="false">
      <left/>
      <right/>
      <top style="thin"/>
      <bottom style="double"/>
      <diagonal/>
    </border>
    <border diagonalUp="false" diagonalDown="false">
      <left/>
      <right/>
      <top/>
      <bottom style="thin"/>
      <diagonal/>
    </border>
    <border diagonalUp="false" diagonalDown="false">
      <left/>
      <right/>
      <top/>
      <bottom style="thin">
        <color rgb="FFB4C6E7"/>
      </bottom>
      <diagonal/>
    </border>
    <border diagonalUp="false" diagonalDown="false">
      <left style="thin">
        <color rgb="FFB4C6E7"/>
      </left>
      <right style="thin">
        <color rgb="FFB4C6E7"/>
      </right>
      <top style="thin">
        <color rgb="FFB4C6E7"/>
      </top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0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6" fillId="3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0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5" fontId="8" fillId="4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7" fillId="0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7" fillId="5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9" fillId="6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9" fillId="7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9" fillId="7" borderId="2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0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0" borderId="2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5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7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7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8" fillId="4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9" fillId="0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0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0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7" fillId="0" borderId="2" xfId="0" applyFont="true" applyBorder="true" applyAlignment="true" applyProtection="false">
      <alignment horizontal="left" vertical="center" textRotation="0" wrapText="false" indent="3" shrinkToFit="false"/>
      <protection locked="true" hidden="false"/>
    </xf>
    <xf numFmtId="164" fontId="5" fillId="0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6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9" fillId="7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7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7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7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0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1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7" fillId="0" borderId="5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8" fillId="4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7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0" borderId="6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7" fillId="0" borderId="7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7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2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7" fillId="0" borderId="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7" fillId="5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9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5" borderId="6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7" fillId="0" borderId="9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7" fillId="5" borderId="1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7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3" fillId="0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5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5" fontId="14" fillId="4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9" fillId="6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9" fillId="6" borderId="6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4" fillId="4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9" fillId="6" borderId="1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9" fillId="6" borderId="2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8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ont>
        <name val="Arial"/>
        <charset val="1"/>
        <family val="0"/>
        <b val="1"/>
        <color rgb="FF00B050"/>
      </font>
    </dxf>
    <dxf>
      <font>
        <name val="Arial"/>
        <charset val="1"/>
        <family val="0"/>
        <b val="1"/>
        <color rgb="FFC00000"/>
      </font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6E7"/>
      <rgbColor rgb="FF808080"/>
      <rgbColor rgb="FF9999FF"/>
      <rgbColor rgb="FF993366"/>
      <rgbColor rgb="FFEEF6E8"/>
      <rgbColor rgb="FFDDEBF7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E2EFDA"/>
      <rgbColor rgb="FFFFF59D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ED7D31"/>
      <rgbColor rgb="FF595959"/>
      <rgbColor rgb="FF70AD47"/>
      <rgbColor rgb="FF1F3864"/>
      <rgbColor rgb="FF00B050"/>
      <rgbColor rgb="FF003300"/>
      <rgbColor rgb="FF333300"/>
      <rgbColor rgb="FF993300"/>
      <rgbColor rgb="FF993366"/>
      <rgbColor rgb="FF2F5597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true"/>
  </sheetPr>
  <dimension ref="B1:AF32"/>
  <sheetViews>
    <sheetView showFormulas="false" showGridLines="false" showRowColHeaders="true" showZeros="true" rightToLeft="false" tabSelected="true" showOutlineSymbols="true" defaultGridColor="true" view="normal" topLeftCell="A1" colorId="64" zoomScale="110" zoomScaleNormal="11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34" min="2" style="0" width="4.6"/>
  </cols>
  <sheetData>
    <row r="1" customFormat="false" ht="25.5" hidden="false" customHeight="true" outlineLevel="0" collapsed="false">
      <c r="B1" s="1" t="s">
        <v>0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</row>
    <row r="2" customFormat="false" ht="16.5" hidden="false" customHeight="true" outlineLevel="0" collapsed="false">
      <c r="B2" s="2" t="s">
        <v>1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</row>
    <row r="4" customFormat="false" ht="18.75" hidden="false" customHeight="true" outlineLevel="0" collapsed="false">
      <c r="B4" s="3" t="s">
        <v>2</v>
      </c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</row>
    <row r="5" customFormat="false" ht="16.5" hidden="false" customHeight="true" outlineLevel="0" collapsed="false">
      <c r="B5" s="4" t="s">
        <v>3</v>
      </c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</row>
    <row r="6" customFormat="false" ht="16.5" hidden="false" customHeight="true" outlineLevel="0" collapsed="false">
      <c r="B6" s="4" t="s">
        <v>4</v>
      </c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</row>
    <row r="7" customFormat="false" ht="16.5" hidden="false" customHeight="true" outlineLevel="0" collapsed="false">
      <c r="B7" s="4" t="s">
        <v>5</v>
      </c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</row>
    <row r="8" customFormat="false" ht="16.5" hidden="false" customHeight="true" outlineLevel="0" collapsed="false">
      <c r="B8" s="4" t="s">
        <v>6</v>
      </c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</row>
    <row r="9" customFormat="false" ht="16.5" hidden="false" customHeight="true" outlineLevel="0" collapsed="false">
      <c r="B9" s="4" t="s">
        <v>7</v>
      </c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</row>
    <row r="10" customFormat="false" ht="16.5" hidden="false" customHeight="true" outlineLevel="0" collapsed="false">
      <c r="B10" s="4" t="s">
        <v>8</v>
      </c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</row>
    <row r="12" customFormat="false" ht="18.75" hidden="false" customHeight="true" outlineLevel="0" collapsed="false">
      <c r="B12" s="3" t="s">
        <v>9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</row>
    <row r="13" customFormat="false" ht="15" hidden="false" customHeight="false" outlineLevel="0" collapsed="false">
      <c r="B13" s="5" t="n">
        <v>1000</v>
      </c>
      <c r="C13" s="5"/>
      <c r="D13" s="5"/>
      <c r="E13" s="5"/>
      <c r="F13" s="5"/>
      <c r="H13" s="6" t="s">
        <v>10</v>
      </c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  <c r="AA13" s="6"/>
      <c r="AB13" s="6"/>
      <c r="AC13" s="6"/>
      <c r="AD13" s="6"/>
      <c r="AE13" s="6"/>
      <c r="AF13" s="6"/>
    </row>
    <row r="14" customFormat="false" ht="15" hidden="false" customHeight="false" outlineLevel="0" collapsed="false">
      <c r="B14" s="7" t="n">
        <v>1000</v>
      </c>
      <c r="C14" s="7"/>
      <c r="D14" s="7"/>
      <c r="E14" s="7"/>
      <c r="F14" s="7"/>
      <c r="H14" s="6" t="s">
        <v>11</v>
      </c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  <c r="AA14" s="6"/>
      <c r="AB14" s="6"/>
      <c r="AC14" s="6"/>
      <c r="AD14" s="6"/>
      <c r="AE14" s="6"/>
      <c r="AF14" s="6"/>
    </row>
    <row r="15" customFormat="false" ht="15" hidden="false" customHeight="false" outlineLevel="0" collapsed="false">
      <c r="B15" s="8"/>
      <c r="C15" s="8"/>
      <c r="D15" s="8"/>
      <c r="E15" s="8"/>
      <c r="F15" s="8"/>
      <c r="H15" s="6" t="s">
        <v>12</v>
      </c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  <c r="AA15" s="6"/>
      <c r="AB15" s="6"/>
      <c r="AC15" s="6"/>
      <c r="AD15" s="6"/>
      <c r="AE15" s="6"/>
      <c r="AF15" s="6"/>
    </row>
    <row r="16" customFormat="false" ht="15" hidden="false" customHeight="false" outlineLevel="0" collapsed="false">
      <c r="B16" s="9" t="n">
        <v>1000</v>
      </c>
      <c r="C16" s="9"/>
      <c r="D16" s="9"/>
      <c r="E16" s="9"/>
      <c r="F16" s="9"/>
      <c r="H16" s="6" t="s">
        <v>13</v>
      </c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  <c r="AA16" s="6"/>
      <c r="AB16" s="6"/>
      <c r="AC16" s="6"/>
      <c r="AD16" s="6"/>
      <c r="AE16" s="6"/>
      <c r="AF16" s="6"/>
    </row>
    <row r="18" customFormat="false" ht="18.75" hidden="false" customHeight="true" outlineLevel="0" collapsed="false">
      <c r="B18" s="3" t="s">
        <v>14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</row>
    <row r="19" customFormat="false" ht="16.5" hidden="false" customHeight="true" outlineLevel="0" collapsed="false">
      <c r="B19" s="4" t="s">
        <v>15</v>
      </c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</row>
    <row r="20" customFormat="false" ht="30" hidden="false" customHeight="true" outlineLevel="0" collapsed="false">
      <c r="B20" s="4" t="s">
        <v>16</v>
      </c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</row>
    <row r="21" customFormat="false" ht="16.5" hidden="false" customHeight="true" outlineLevel="0" collapsed="false">
      <c r="B21" s="4" t="s">
        <v>17</v>
      </c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</row>
    <row r="22" customFormat="false" ht="16.5" hidden="false" customHeight="true" outlineLevel="0" collapsed="false">
      <c r="B22" s="4" t="s">
        <v>18</v>
      </c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</row>
    <row r="24" customFormat="false" ht="18.75" hidden="false" customHeight="true" outlineLevel="0" collapsed="false">
      <c r="B24" s="3" t="s">
        <v>19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</row>
    <row r="25" customFormat="false" ht="17.25" hidden="false" customHeight="true" outlineLevel="0" collapsed="false">
      <c r="B25" s="10" t="s">
        <v>20</v>
      </c>
      <c r="C25" s="10"/>
      <c r="D25" s="10"/>
      <c r="E25" s="10"/>
      <c r="F25" s="10"/>
      <c r="G25" s="10"/>
      <c r="H25" s="10"/>
      <c r="I25" s="11" t="s">
        <v>21</v>
      </c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  <c r="AA25" s="11"/>
      <c r="AB25" s="11"/>
      <c r="AC25" s="11"/>
      <c r="AD25" s="11"/>
      <c r="AE25" s="11"/>
      <c r="AF25" s="11"/>
    </row>
    <row r="26" customFormat="false" ht="17.25" hidden="false" customHeight="true" outlineLevel="0" collapsed="false">
      <c r="B26" s="12" t="s">
        <v>22</v>
      </c>
      <c r="C26" s="12"/>
      <c r="D26" s="12"/>
      <c r="E26" s="12"/>
      <c r="F26" s="12"/>
      <c r="G26" s="12"/>
      <c r="H26" s="12"/>
      <c r="I26" s="13" t="s">
        <v>23</v>
      </c>
      <c r="J26" s="13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</row>
    <row r="27" customFormat="false" ht="17.25" hidden="false" customHeight="true" outlineLevel="0" collapsed="false">
      <c r="B27" s="12" t="s">
        <v>24</v>
      </c>
      <c r="C27" s="12"/>
      <c r="D27" s="12"/>
      <c r="E27" s="12"/>
      <c r="F27" s="12"/>
      <c r="G27" s="12"/>
      <c r="H27" s="12"/>
      <c r="I27" s="13" t="s">
        <v>23</v>
      </c>
      <c r="J27" s="13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</row>
    <row r="28" customFormat="false" ht="17.25" hidden="false" customHeight="true" outlineLevel="0" collapsed="false">
      <c r="B28" s="12" t="s">
        <v>25</v>
      </c>
      <c r="C28" s="12"/>
      <c r="D28" s="12"/>
      <c r="E28" s="12"/>
      <c r="F28" s="12"/>
      <c r="G28" s="12"/>
      <c r="H28" s="12"/>
      <c r="I28" s="13" t="s">
        <v>26</v>
      </c>
      <c r="J28" s="13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</row>
    <row r="29" customFormat="false" ht="17.25" hidden="false" customHeight="true" outlineLevel="0" collapsed="false">
      <c r="B29" s="12" t="s">
        <v>27</v>
      </c>
      <c r="C29" s="12"/>
      <c r="D29" s="12"/>
      <c r="E29" s="12"/>
      <c r="F29" s="12"/>
      <c r="G29" s="12"/>
      <c r="H29" s="12"/>
      <c r="I29" s="13" t="s">
        <v>28</v>
      </c>
      <c r="J29" s="13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</row>
    <row r="30" customFormat="false" ht="17.25" hidden="false" customHeight="true" outlineLevel="0" collapsed="false">
      <c r="B30" s="12" t="s">
        <v>29</v>
      </c>
      <c r="C30" s="12"/>
      <c r="D30" s="12"/>
      <c r="E30" s="12"/>
      <c r="F30" s="12"/>
      <c r="G30" s="12"/>
      <c r="H30" s="12"/>
      <c r="I30" s="13" t="s">
        <v>30</v>
      </c>
      <c r="J30" s="13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</row>
    <row r="31" customFormat="false" ht="17.25" hidden="false" customHeight="true" outlineLevel="0" collapsed="false">
      <c r="B31" s="12" t="s">
        <v>31</v>
      </c>
      <c r="C31" s="12"/>
      <c r="D31" s="12"/>
      <c r="E31" s="12"/>
      <c r="F31" s="12"/>
      <c r="G31" s="12"/>
      <c r="H31" s="12"/>
      <c r="I31" s="13" t="s">
        <v>32</v>
      </c>
      <c r="J31" s="13"/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</row>
    <row r="32" customFormat="false" ht="17.25" hidden="false" customHeight="true" outlineLevel="0" collapsed="false">
      <c r="B32" s="12" t="s">
        <v>33</v>
      </c>
      <c r="C32" s="12"/>
      <c r="D32" s="12"/>
      <c r="E32" s="12"/>
      <c r="F32" s="12"/>
      <c r="G32" s="12"/>
      <c r="H32" s="12"/>
      <c r="I32" s="13" t="s">
        <v>34</v>
      </c>
      <c r="J32" s="13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</row>
  </sheetData>
  <mergeCells count="40">
    <mergeCell ref="B1:AF1"/>
    <mergeCell ref="B2:AF2"/>
    <mergeCell ref="B4:AF4"/>
    <mergeCell ref="B5:AF5"/>
    <mergeCell ref="B6:AF6"/>
    <mergeCell ref="B7:AF7"/>
    <mergeCell ref="B8:AF8"/>
    <mergeCell ref="B9:AF9"/>
    <mergeCell ref="B10:AF10"/>
    <mergeCell ref="B12:AF12"/>
    <mergeCell ref="B13:F13"/>
    <mergeCell ref="H13:AF13"/>
    <mergeCell ref="B14:F14"/>
    <mergeCell ref="H14:AF14"/>
    <mergeCell ref="B15:F15"/>
    <mergeCell ref="H15:AF15"/>
    <mergeCell ref="B16:F16"/>
    <mergeCell ref="H16:AF16"/>
    <mergeCell ref="B18:AF18"/>
    <mergeCell ref="B19:AF19"/>
    <mergeCell ref="B20:AF20"/>
    <mergeCell ref="B21:AF21"/>
    <mergeCell ref="B22:AF22"/>
    <mergeCell ref="B24:AF24"/>
    <mergeCell ref="B25:H25"/>
    <mergeCell ref="I25:AF25"/>
    <mergeCell ref="B26:H26"/>
    <mergeCell ref="I26:AF26"/>
    <mergeCell ref="B27:H27"/>
    <mergeCell ref="I27:AF27"/>
    <mergeCell ref="B28:H28"/>
    <mergeCell ref="I28:AF28"/>
    <mergeCell ref="B29:H29"/>
    <mergeCell ref="I29:AF29"/>
    <mergeCell ref="B30:H30"/>
    <mergeCell ref="I30:AF30"/>
    <mergeCell ref="B31:H31"/>
    <mergeCell ref="I31:AF31"/>
    <mergeCell ref="B32:H32"/>
    <mergeCell ref="I32:AF32"/>
  </mergeCells>
  <conditionalFormatting sqref="B1:AG33">
    <cfRule type="cellIs" priority="2" operator="equal" aboveAverage="0" equalAverage="0" bottom="0" percent="0" rank="0" text="" dxfId="0">
      <formula>"✓"</formula>
    </cfRule>
    <cfRule type="cellIs" priority="3" operator="equal" aboveAverage="0" equalAverage="0" bottom="0" percent="0" rank="0" text="" dxfId="1">
      <formula>"✗"</formula>
    </cfRule>
  </conditionalFormatting>
  <printOptions headings="false" gridLines="false" gridLinesSet="true" horizontalCentered="false" verticalCentered="false"/>
  <pageMargins left="0.4" right="0.4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D7D31"/>
    <pageSetUpPr fitToPage="true"/>
  </sheetPr>
  <dimension ref="B1:AF36"/>
  <sheetViews>
    <sheetView showFormulas="false" showGridLines="fals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34" min="2" style="0" width="4.6"/>
  </cols>
  <sheetData>
    <row r="1" customFormat="false" ht="25.5" hidden="false" customHeight="true" outlineLevel="0" collapsed="false">
      <c r="B1" s="1" t="s">
        <v>22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</row>
    <row r="2" customFormat="false" ht="15" hidden="false" customHeight="false" outlineLevel="0" collapsed="false">
      <c r="B2" s="14" t="s">
        <v>35</v>
      </c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</row>
    <row r="3" customFormat="false" ht="15" hidden="false" customHeight="false" outlineLevel="0" collapsed="false">
      <c r="B3" s="14" t="s">
        <v>36</v>
      </c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</row>
    <row r="5" customFormat="false" ht="16.5" hidden="false" customHeight="true" outlineLevel="0" collapsed="false">
      <c r="B5" s="4" t="s">
        <v>37</v>
      </c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</row>
    <row r="6" customFormat="false" ht="15" hidden="false" customHeight="false" outlineLevel="0" collapsed="false">
      <c r="B6" s="15" t="s">
        <v>38</v>
      </c>
      <c r="C6" s="15"/>
      <c r="D6" s="15"/>
      <c r="E6" s="15"/>
      <c r="F6" s="15"/>
      <c r="G6" s="15"/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6" t="s">
        <v>39</v>
      </c>
      <c r="Y6" s="16"/>
      <c r="Z6" s="16"/>
      <c r="AA6" s="16"/>
      <c r="AB6" s="16"/>
      <c r="AC6" s="16"/>
    </row>
    <row r="7" customFormat="false" ht="16.5" hidden="false" customHeight="true" outlineLevel="0" collapsed="false">
      <c r="B7" s="12" t="s">
        <v>40</v>
      </c>
      <c r="C7" s="12"/>
      <c r="D7" s="12"/>
      <c r="E7" s="12"/>
      <c r="F7" s="12"/>
      <c r="G7" s="12"/>
      <c r="H7" s="12"/>
      <c r="I7" s="12"/>
      <c r="J7" s="12"/>
      <c r="K7" s="12"/>
      <c r="L7" s="12"/>
      <c r="M7" s="12"/>
      <c r="N7" s="12"/>
      <c r="O7" s="12"/>
      <c r="P7" s="12"/>
      <c r="Q7" s="12"/>
      <c r="R7" s="12"/>
      <c r="S7" s="12"/>
      <c r="T7" s="12"/>
      <c r="U7" s="12"/>
      <c r="V7" s="12"/>
      <c r="W7" s="12"/>
      <c r="X7" s="17" t="n">
        <v>600</v>
      </c>
      <c r="Y7" s="17"/>
      <c r="Z7" s="17"/>
      <c r="AA7" s="17"/>
      <c r="AB7" s="17"/>
      <c r="AC7" s="17"/>
    </row>
    <row r="8" customFormat="false" ht="16.5" hidden="false" customHeight="true" outlineLevel="0" collapsed="false">
      <c r="B8" s="12" t="s">
        <v>41</v>
      </c>
      <c r="C8" s="12"/>
      <c r="D8" s="12"/>
      <c r="E8" s="12"/>
      <c r="F8" s="12"/>
      <c r="G8" s="12"/>
      <c r="H8" s="12"/>
      <c r="I8" s="12"/>
      <c r="J8" s="12"/>
      <c r="K8" s="12"/>
      <c r="L8" s="12"/>
      <c r="M8" s="12"/>
      <c r="N8" s="12"/>
      <c r="O8" s="12"/>
      <c r="P8" s="12"/>
      <c r="Q8" s="12"/>
      <c r="R8" s="12"/>
      <c r="S8" s="12"/>
      <c r="T8" s="12"/>
      <c r="U8" s="12"/>
      <c r="V8" s="12"/>
      <c r="W8" s="12"/>
      <c r="X8" s="17" t="n">
        <v>300</v>
      </c>
      <c r="Y8" s="17"/>
      <c r="Z8" s="17"/>
      <c r="AA8" s="17"/>
      <c r="AB8" s="17"/>
      <c r="AC8" s="17"/>
    </row>
    <row r="11" customFormat="false" ht="18.75" hidden="false" customHeight="true" outlineLevel="0" collapsed="false">
      <c r="B11" s="3" t="s">
        <v>42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</row>
    <row r="12" customFormat="false" ht="15" hidden="false" customHeight="false" outlineLevel="0" collapsed="false">
      <c r="B12" s="15" t="s">
        <v>43</v>
      </c>
      <c r="C12" s="15"/>
      <c r="D12" s="15"/>
      <c r="E12" s="15" t="s">
        <v>44</v>
      </c>
      <c r="F12" s="15"/>
      <c r="G12" s="15"/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6" t="s">
        <v>45</v>
      </c>
      <c r="V12" s="16"/>
      <c r="W12" s="16"/>
      <c r="X12" s="16"/>
      <c r="Y12" s="16"/>
      <c r="Z12" s="16"/>
      <c r="AA12" s="16" t="s">
        <v>46</v>
      </c>
      <c r="AB12" s="16"/>
      <c r="AC12" s="16"/>
      <c r="AD12" s="16"/>
      <c r="AE12" s="16"/>
      <c r="AF12" s="16"/>
    </row>
    <row r="13" customFormat="false" ht="16.5" hidden="false" customHeight="true" outlineLevel="0" collapsed="false">
      <c r="B13" s="18" t="s">
        <v>47</v>
      </c>
      <c r="C13" s="18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20" t="s">
        <v>48</v>
      </c>
      <c r="V13" s="20"/>
      <c r="W13" s="20"/>
      <c r="X13" s="20"/>
      <c r="Y13" s="20"/>
      <c r="Z13" s="20"/>
      <c r="AA13" s="20" t="s">
        <v>48</v>
      </c>
      <c r="AB13" s="20"/>
      <c r="AC13" s="20"/>
      <c r="AD13" s="20"/>
      <c r="AE13" s="20"/>
      <c r="AF13" s="20"/>
    </row>
    <row r="14" customFormat="false" ht="16.5" hidden="false" customHeight="true" outlineLevel="0" collapsed="false">
      <c r="B14" s="19" t="s">
        <v>49</v>
      </c>
      <c r="C14" s="19"/>
      <c r="D14" s="19"/>
      <c r="E14" s="19" t="s">
        <v>50</v>
      </c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21" t="n">
        <f aca="false">$X$7</f>
        <v>600</v>
      </c>
      <c r="V14" s="21"/>
      <c r="W14" s="21"/>
      <c r="X14" s="21"/>
      <c r="Y14" s="21"/>
      <c r="Z14" s="19"/>
      <c r="AA14" s="19"/>
      <c r="AB14" s="19"/>
      <c r="AC14" s="19"/>
      <c r="AD14" s="19"/>
      <c r="AE14" s="19"/>
      <c r="AF14" s="19"/>
    </row>
    <row r="15" customFormat="false" ht="16.5" hidden="false" customHeight="true" outlineLevel="0" collapsed="false">
      <c r="B15" s="19"/>
      <c r="C15" s="19"/>
      <c r="D15" s="19"/>
      <c r="E15" s="22" t="s">
        <v>51</v>
      </c>
      <c r="F15" s="22"/>
      <c r="G15" s="22"/>
      <c r="H15" s="22"/>
      <c r="I15" s="22"/>
      <c r="J15" s="22"/>
      <c r="K15" s="22"/>
      <c r="L15" s="22"/>
      <c r="M15" s="22"/>
      <c r="N15" s="22"/>
      <c r="O15" s="22"/>
      <c r="P15" s="22"/>
      <c r="Q15" s="22"/>
      <c r="R15" s="22"/>
      <c r="S15" s="22"/>
      <c r="T15" s="22"/>
      <c r="U15" s="19"/>
      <c r="V15" s="19"/>
      <c r="W15" s="19"/>
      <c r="X15" s="19"/>
      <c r="Y15" s="19"/>
      <c r="Z15" s="19"/>
      <c r="AA15" s="21" t="n">
        <f aca="false">$X$7</f>
        <v>600</v>
      </c>
      <c r="AB15" s="21"/>
      <c r="AC15" s="21"/>
      <c r="AD15" s="21"/>
      <c r="AE15" s="21"/>
      <c r="AF15" s="19"/>
    </row>
    <row r="16" customFormat="false" ht="17.25" hidden="false" customHeight="true" outlineLevel="0" collapsed="false">
      <c r="B16" s="19"/>
      <c r="C16" s="19"/>
      <c r="D16" s="19"/>
      <c r="E16" s="23" t="s">
        <v>52</v>
      </c>
      <c r="F16" s="23"/>
      <c r="G16" s="23"/>
      <c r="H16" s="23"/>
      <c r="I16" s="23"/>
      <c r="J16" s="23"/>
      <c r="K16" s="23"/>
      <c r="L16" s="23"/>
      <c r="M16" s="23"/>
      <c r="N16" s="23"/>
      <c r="O16" s="23"/>
      <c r="P16" s="23"/>
      <c r="Q16" s="23"/>
      <c r="R16" s="23"/>
      <c r="S16" s="23"/>
      <c r="T16" s="23"/>
      <c r="U16" s="19"/>
      <c r="V16" s="19"/>
      <c r="W16" s="19"/>
      <c r="X16" s="19"/>
      <c r="Y16" s="19"/>
      <c r="Z16" s="19"/>
      <c r="AA16" s="19"/>
      <c r="AB16" s="19"/>
      <c r="AC16" s="19"/>
      <c r="AD16" s="19"/>
      <c r="AE16" s="19"/>
      <c r="AF16" s="19"/>
    </row>
    <row r="18" customFormat="false" ht="15" hidden="false" customHeight="false" outlineLevel="0" collapsed="false">
      <c r="B18" s="24" t="s">
        <v>53</v>
      </c>
      <c r="C18" s="24"/>
      <c r="D18" s="24"/>
      <c r="E18" s="25" t="s">
        <v>54</v>
      </c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6" t="s">
        <v>55</v>
      </c>
      <c r="AE18" s="26"/>
      <c r="AF18" s="26"/>
    </row>
    <row r="19" customFormat="false" ht="15" hidden="false" customHeight="false" outlineLevel="0" collapsed="false">
      <c r="B19" s="27" t="s">
        <v>43</v>
      </c>
      <c r="C19" s="27"/>
      <c r="D19" s="27"/>
      <c r="E19" s="27" t="s">
        <v>44</v>
      </c>
      <c r="F19" s="27"/>
      <c r="G19" s="27"/>
      <c r="H19" s="27"/>
      <c r="I19" s="27"/>
      <c r="J19" s="27"/>
      <c r="K19" s="27"/>
      <c r="L19" s="28" t="s">
        <v>56</v>
      </c>
      <c r="M19" s="29" t="s">
        <v>57</v>
      </c>
      <c r="N19" s="29"/>
      <c r="O19" s="29"/>
      <c r="P19" s="29"/>
      <c r="Q19" s="30"/>
      <c r="R19" s="31" t="s">
        <v>43</v>
      </c>
      <c r="S19" s="31"/>
      <c r="T19" s="31"/>
      <c r="U19" s="27" t="s">
        <v>44</v>
      </c>
      <c r="V19" s="27"/>
      <c r="W19" s="27"/>
      <c r="X19" s="27"/>
      <c r="Y19" s="27"/>
      <c r="Z19" s="27"/>
      <c r="AA19" s="27"/>
      <c r="AB19" s="28" t="s">
        <v>56</v>
      </c>
      <c r="AC19" s="29" t="s">
        <v>57</v>
      </c>
      <c r="AD19" s="29"/>
      <c r="AE19" s="29"/>
      <c r="AF19" s="29"/>
    </row>
    <row r="20" customFormat="false" ht="16.5" hidden="false" customHeight="true" outlineLevel="0" collapsed="false">
      <c r="B20" s="32" t="s">
        <v>47</v>
      </c>
      <c r="C20" s="32"/>
      <c r="D20" s="32"/>
      <c r="M20" s="33" t="s">
        <v>48</v>
      </c>
      <c r="N20" s="33"/>
      <c r="O20" s="33"/>
      <c r="R20" s="34" t="s">
        <v>47</v>
      </c>
      <c r="S20" s="34"/>
      <c r="T20" s="34"/>
      <c r="AC20" s="33" t="s">
        <v>48</v>
      </c>
      <c r="AD20" s="33"/>
      <c r="AE20" s="33"/>
    </row>
    <row r="21" customFormat="false" ht="17.25" hidden="false" customHeight="true" outlineLevel="0" collapsed="false">
      <c r="B21" s="6" t="s">
        <v>58</v>
      </c>
      <c r="C21" s="6"/>
      <c r="D21" s="6"/>
      <c r="E21" s="35" t="s">
        <v>59</v>
      </c>
      <c r="F21" s="35"/>
      <c r="G21" s="35"/>
      <c r="H21" s="35"/>
      <c r="I21" s="35"/>
      <c r="J21" s="35"/>
      <c r="K21" s="35"/>
      <c r="L21" s="36"/>
      <c r="M21" s="7" t="n">
        <f aca="false">$X$7</f>
        <v>600</v>
      </c>
      <c r="N21" s="7"/>
      <c r="O21" s="7"/>
      <c r="R21" s="37" t="s">
        <v>49</v>
      </c>
      <c r="S21" s="37"/>
      <c r="T21" s="37"/>
      <c r="U21" s="35" t="s">
        <v>50</v>
      </c>
      <c r="V21" s="35"/>
      <c r="W21" s="35"/>
      <c r="X21" s="35"/>
      <c r="Y21" s="35"/>
      <c r="Z21" s="35"/>
      <c r="AA21" s="35"/>
      <c r="AB21" s="36" t="s">
        <v>60</v>
      </c>
      <c r="AC21" s="7" t="n">
        <f aca="false">$X$7</f>
        <v>600</v>
      </c>
      <c r="AD21" s="7"/>
      <c r="AE21" s="7"/>
    </row>
    <row r="23" customFormat="false" ht="15" hidden="false" customHeight="false" outlineLevel="0" collapsed="false">
      <c r="B23" s="24" t="s">
        <v>53</v>
      </c>
      <c r="C23" s="24"/>
      <c r="D23" s="24"/>
      <c r="E23" s="25" t="s">
        <v>61</v>
      </c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6" t="s">
        <v>55</v>
      </c>
      <c r="AE23" s="26"/>
      <c r="AF23" s="26"/>
    </row>
    <row r="24" customFormat="false" ht="15" hidden="false" customHeight="false" outlineLevel="0" collapsed="false">
      <c r="B24" s="27" t="s">
        <v>43</v>
      </c>
      <c r="C24" s="27"/>
      <c r="D24" s="27"/>
      <c r="E24" s="27" t="s">
        <v>44</v>
      </c>
      <c r="F24" s="27"/>
      <c r="G24" s="27"/>
      <c r="H24" s="27"/>
      <c r="I24" s="27"/>
      <c r="J24" s="27"/>
      <c r="K24" s="27"/>
      <c r="L24" s="28" t="s">
        <v>56</v>
      </c>
      <c r="M24" s="29" t="s">
        <v>57</v>
      </c>
      <c r="N24" s="29"/>
      <c r="O24" s="29"/>
      <c r="P24" s="29"/>
      <c r="Q24" s="30"/>
      <c r="R24" s="31" t="s">
        <v>43</v>
      </c>
      <c r="S24" s="31"/>
      <c r="T24" s="31"/>
      <c r="U24" s="27" t="s">
        <v>44</v>
      </c>
      <c r="V24" s="27"/>
      <c r="W24" s="27"/>
      <c r="X24" s="27"/>
      <c r="Y24" s="27"/>
      <c r="Z24" s="27"/>
      <c r="AA24" s="27"/>
      <c r="AB24" s="28" t="s">
        <v>56</v>
      </c>
      <c r="AC24" s="29" t="s">
        <v>57</v>
      </c>
      <c r="AD24" s="29"/>
      <c r="AE24" s="29"/>
      <c r="AF24" s="29"/>
    </row>
    <row r="25" customFormat="false" ht="16.5" hidden="false" customHeight="true" outlineLevel="0" collapsed="false">
      <c r="B25" s="32" t="s">
        <v>47</v>
      </c>
      <c r="C25" s="32"/>
      <c r="D25" s="32"/>
      <c r="M25" s="33" t="s">
        <v>48</v>
      </c>
      <c r="N25" s="33"/>
      <c r="O25" s="33"/>
      <c r="R25" s="34" t="s">
        <v>47</v>
      </c>
      <c r="S25" s="34"/>
      <c r="T25" s="34"/>
      <c r="AC25" s="33" t="s">
        <v>48</v>
      </c>
      <c r="AD25" s="33"/>
      <c r="AE25" s="33"/>
    </row>
    <row r="26" customFormat="false" ht="17.25" hidden="false" customHeight="true" outlineLevel="0" collapsed="false">
      <c r="B26" s="6" t="s">
        <v>49</v>
      </c>
      <c r="C26" s="6"/>
      <c r="D26" s="6"/>
      <c r="E26" s="35" t="s">
        <v>51</v>
      </c>
      <c r="F26" s="35"/>
      <c r="G26" s="35"/>
      <c r="H26" s="35"/>
      <c r="I26" s="35"/>
      <c r="J26" s="35"/>
      <c r="K26" s="35"/>
      <c r="L26" s="36" t="s">
        <v>60</v>
      </c>
      <c r="M26" s="7" t="n">
        <f aca="false">$X$7</f>
        <v>600</v>
      </c>
      <c r="N26" s="7"/>
      <c r="O26" s="7"/>
      <c r="R26" s="37" t="s">
        <v>62</v>
      </c>
      <c r="S26" s="37"/>
      <c r="T26" s="37"/>
      <c r="U26" s="35" t="s">
        <v>63</v>
      </c>
      <c r="V26" s="35"/>
      <c r="W26" s="35"/>
      <c r="X26" s="35"/>
      <c r="Y26" s="35"/>
      <c r="Z26" s="35"/>
      <c r="AA26" s="35"/>
      <c r="AB26" s="36" t="s">
        <v>64</v>
      </c>
      <c r="AC26" s="7" t="n">
        <f aca="false">$X$7</f>
        <v>600</v>
      </c>
      <c r="AD26" s="7"/>
      <c r="AE26" s="7"/>
    </row>
    <row r="28" customFormat="false" ht="18.75" hidden="false" customHeight="true" outlineLevel="0" collapsed="false">
      <c r="B28" s="3" t="s">
        <v>65</v>
      </c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</row>
    <row r="29" customFormat="false" ht="15" hidden="false" customHeight="false" outlineLevel="0" collapsed="false">
      <c r="B29" s="15" t="s">
        <v>43</v>
      </c>
      <c r="C29" s="15"/>
      <c r="D29" s="15"/>
      <c r="E29" s="15" t="s">
        <v>44</v>
      </c>
      <c r="F29" s="15"/>
      <c r="G29" s="15"/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6" t="s">
        <v>45</v>
      </c>
      <c r="V29" s="16"/>
      <c r="W29" s="16"/>
      <c r="X29" s="16"/>
      <c r="Y29" s="16"/>
      <c r="Z29" s="16"/>
      <c r="AA29" s="16" t="s">
        <v>46</v>
      </c>
      <c r="AB29" s="16"/>
      <c r="AC29" s="16"/>
      <c r="AD29" s="16"/>
      <c r="AE29" s="16"/>
      <c r="AF29" s="16"/>
    </row>
    <row r="30" customFormat="false" ht="16.5" hidden="false" customHeight="true" outlineLevel="0" collapsed="false">
      <c r="B30" s="18"/>
      <c r="C30" s="18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20" t="s">
        <v>48</v>
      </c>
      <c r="V30" s="20"/>
      <c r="W30" s="20"/>
      <c r="X30" s="20"/>
      <c r="Y30" s="20"/>
      <c r="Z30" s="20"/>
      <c r="AA30" s="20" t="s">
        <v>48</v>
      </c>
      <c r="AB30" s="20"/>
      <c r="AC30" s="20"/>
      <c r="AD30" s="20"/>
      <c r="AE30" s="20"/>
      <c r="AF30" s="20"/>
    </row>
    <row r="31" customFormat="false" ht="16.5" hidden="false" customHeight="true" outlineLevel="0" collapsed="false">
      <c r="B31" s="19"/>
      <c r="C31" s="19"/>
      <c r="D31" s="19"/>
      <c r="E31" s="19" t="s">
        <v>66</v>
      </c>
      <c r="F31" s="19"/>
      <c r="G31" s="19"/>
      <c r="H31" s="19"/>
      <c r="I31" s="19"/>
      <c r="J31" s="19"/>
      <c r="K31" s="19"/>
      <c r="L31" s="19"/>
      <c r="M31" s="19"/>
      <c r="N31" s="19"/>
      <c r="O31" s="19"/>
      <c r="P31" s="19"/>
      <c r="Q31" s="19"/>
      <c r="R31" s="19"/>
      <c r="S31" s="19"/>
      <c r="T31" s="19"/>
      <c r="U31" s="21" t="n">
        <f aca="false">$X$8</f>
        <v>300</v>
      </c>
      <c r="V31" s="21"/>
      <c r="W31" s="21"/>
      <c r="X31" s="21"/>
      <c r="Y31" s="21"/>
      <c r="Z31" s="19"/>
      <c r="AA31" s="19"/>
      <c r="AB31" s="19"/>
      <c r="AC31" s="19"/>
      <c r="AD31" s="19"/>
      <c r="AE31" s="19"/>
      <c r="AF31" s="19"/>
    </row>
    <row r="32" customFormat="false" ht="16.5" hidden="false" customHeight="true" outlineLevel="0" collapsed="false">
      <c r="B32" s="19"/>
      <c r="C32" s="19"/>
      <c r="D32" s="19"/>
      <c r="E32" s="22" t="s">
        <v>67</v>
      </c>
      <c r="F32" s="22"/>
      <c r="G32" s="22"/>
      <c r="H32" s="22"/>
      <c r="I32" s="22"/>
      <c r="J32" s="22"/>
      <c r="K32" s="22"/>
      <c r="L32" s="22"/>
      <c r="M32" s="22"/>
      <c r="N32" s="22"/>
      <c r="O32" s="22"/>
      <c r="P32" s="22"/>
      <c r="Q32" s="22"/>
      <c r="R32" s="22"/>
      <c r="S32" s="22"/>
      <c r="T32" s="22"/>
      <c r="U32" s="19"/>
      <c r="V32" s="19"/>
      <c r="W32" s="19"/>
      <c r="X32" s="19"/>
      <c r="Y32" s="19"/>
      <c r="Z32" s="19"/>
      <c r="AA32" s="21" t="n">
        <f aca="false">$X$8</f>
        <v>300</v>
      </c>
      <c r="AB32" s="21"/>
      <c r="AC32" s="21"/>
      <c r="AD32" s="21"/>
      <c r="AE32" s="21"/>
      <c r="AF32" s="19"/>
    </row>
    <row r="33" customFormat="false" ht="17.25" hidden="false" customHeight="true" outlineLevel="0" collapsed="false">
      <c r="B33" s="19"/>
      <c r="C33" s="19"/>
      <c r="D33" s="19"/>
      <c r="E33" s="23" t="s">
        <v>68</v>
      </c>
      <c r="F33" s="23"/>
      <c r="G33" s="23"/>
      <c r="H33" s="23"/>
      <c r="I33" s="23"/>
      <c r="J33" s="23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19"/>
      <c r="V33" s="19"/>
      <c r="W33" s="19"/>
      <c r="X33" s="19"/>
      <c r="Y33" s="19"/>
      <c r="Z33" s="19"/>
      <c r="AA33" s="19"/>
      <c r="AB33" s="19"/>
      <c r="AC33" s="19"/>
      <c r="AD33" s="19"/>
      <c r="AE33" s="19"/>
      <c r="AF33" s="19"/>
    </row>
    <row r="34" customFormat="false" ht="16.5" hidden="false" customHeight="true" outlineLevel="0" collapsed="false">
      <c r="B34" s="19"/>
      <c r="C34" s="19"/>
      <c r="D34" s="19"/>
      <c r="E34" s="19" t="s">
        <v>69</v>
      </c>
      <c r="F34" s="19"/>
      <c r="G34" s="19"/>
      <c r="H34" s="19"/>
      <c r="I34" s="19"/>
      <c r="J34" s="19"/>
      <c r="K34" s="19"/>
      <c r="L34" s="19"/>
      <c r="M34" s="19"/>
      <c r="N34" s="19"/>
      <c r="O34" s="19"/>
      <c r="P34" s="19"/>
      <c r="Q34" s="19"/>
      <c r="R34" s="19"/>
      <c r="S34" s="19"/>
      <c r="T34" s="19"/>
      <c r="U34" s="21" t="n">
        <f aca="false">$X$8</f>
        <v>300</v>
      </c>
      <c r="V34" s="21"/>
      <c r="W34" s="21"/>
      <c r="X34" s="21"/>
      <c r="Y34" s="21"/>
      <c r="Z34" s="19"/>
      <c r="AA34" s="19"/>
      <c r="AB34" s="19"/>
      <c r="AC34" s="19"/>
      <c r="AD34" s="19"/>
      <c r="AE34" s="19"/>
      <c r="AF34" s="19"/>
    </row>
    <row r="35" customFormat="false" ht="16.5" hidden="false" customHeight="true" outlineLevel="0" collapsed="false">
      <c r="B35" s="19"/>
      <c r="C35" s="19"/>
      <c r="D35" s="19"/>
      <c r="E35" s="22" t="s">
        <v>66</v>
      </c>
      <c r="F35" s="22"/>
      <c r="G35" s="22"/>
      <c r="H35" s="22"/>
      <c r="I35" s="22"/>
      <c r="J35" s="22"/>
      <c r="K35" s="22"/>
      <c r="L35" s="22"/>
      <c r="M35" s="22"/>
      <c r="N35" s="22"/>
      <c r="O35" s="22"/>
      <c r="P35" s="22"/>
      <c r="Q35" s="22"/>
      <c r="R35" s="22"/>
      <c r="S35" s="22"/>
      <c r="T35" s="22"/>
      <c r="U35" s="19"/>
      <c r="V35" s="19"/>
      <c r="W35" s="19"/>
      <c r="X35" s="19"/>
      <c r="Y35" s="19"/>
      <c r="Z35" s="19"/>
      <c r="AA35" s="21" t="n">
        <f aca="false">$X$8</f>
        <v>300</v>
      </c>
      <c r="AB35" s="21"/>
      <c r="AC35" s="21"/>
      <c r="AD35" s="21"/>
      <c r="AE35" s="21"/>
      <c r="AF35" s="19"/>
    </row>
    <row r="36" customFormat="false" ht="17.25" hidden="false" customHeight="true" outlineLevel="0" collapsed="false">
      <c r="B36" s="19"/>
      <c r="C36" s="19"/>
      <c r="D36" s="19"/>
      <c r="E36" s="23" t="s">
        <v>70</v>
      </c>
      <c r="F36" s="23"/>
      <c r="G36" s="23"/>
      <c r="H36" s="23"/>
      <c r="I36" s="23"/>
      <c r="J36" s="23"/>
      <c r="K36" s="23"/>
      <c r="L36" s="23"/>
      <c r="M36" s="23"/>
      <c r="N36" s="23"/>
      <c r="O36" s="23"/>
      <c r="P36" s="23"/>
      <c r="Q36" s="23"/>
      <c r="R36" s="23"/>
      <c r="S36" s="23"/>
      <c r="T36" s="23"/>
      <c r="U36" s="19"/>
      <c r="V36" s="19"/>
      <c r="W36" s="19"/>
      <c r="X36" s="19"/>
      <c r="Y36" s="19"/>
      <c r="Z36" s="19"/>
      <c r="AA36" s="19"/>
      <c r="AB36" s="19"/>
      <c r="AC36" s="19"/>
      <c r="AD36" s="19"/>
      <c r="AE36" s="19"/>
      <c r="AF36" s="19"/>
    </row>
  </sheetData>
  <mergeCells count="102">
    <mergeCell ref="B1:AF1"/>
    <mergeCell ref="B2:AF2"/>
    <mergeCell ref="B3:AF3"/>
    <mergeCell ref="B5:AF5"/>
    <mergeCell ref="B6:W6"/>
    <mergeCell ref="X6:AC6"/>
    <mergeCell ref="B7:W7"/>
    <mergeCell ref="X7:AC7"/>
    <mergeCell ref="B8:W8"/>
    <mergeCell ref="X8:AC8"/>
    <mergeCell ref="B11:AF11"/>
    <mergeCell ref="B12:D12"/>
    <mergeCell ref="E12:T12"/>
    <mergeCell ref="U12:Z12"/>
    <mergeCell ref="AA12:AF12"/>
    <mergeCell ref="B13:D13"/>
    <mergeCell ref="E13:T13"/>
    <mergeCell ref="U13:Z13"/>
    <mergeCell ref="AA13:AF13"/>
    <mergeCell ref="B14:D14"/>
    <mergeCell ref="E14:T14"/>
    <mergeCell ref="U14:Y14"/>
    <mergeCell ref="AA14:AF14"/>
    <mergeCell ref="B15:D15"/>
    <mergeCell ref="E15:T15"/>
    <mergeCell ref="U15:Z15"/>
    <mergeCell ref="AA15:AE15"/>
    <mergeCell ref="B16:D16"/>
    <mergeCell ref="E16:T16"/>
    <mergeCell ref="U16:Z16"/>
    <mergeCell ref="AA16:AF16"/>
    <mergeCell ref="B18:D18"/>
    <mergeCell ref="E18:AC18"/>
    <mergeCell ref="AD18:AF18"/>
    <mergeCell ref="B19:D19"/>
    <mergeCell ref="E19:K19"/>
    <mergeCell ref="M19:P19"/>
    <mergeCell ref="R19:T19"/>
    <mergeCell ref="U19:AA19"/>
    <mergeCell ref="AC19:AF19"/>
    <mergeCell ref="B20:D20"/>
    <mergeCell ref="M20:O20"/>
    <mergeCell ref="R20:T20"/>
    <mergeCell ref="AC20:AE20"/>
    <mergeCell ref="B21:D21"/>
    <mergeCell ref="E21:K21"/>
    <mergeCell ref="M21:O21"/>
    <mergeCell ref="R21:T21"/>
    <mergeCell ref="U21:AA21"/>
    <mergeCell ref="AC21:AE21"/>
    <mergeCell ref="B23:D23"/>
    <mergeCell ref="E23:AC23"/>
    <mergeCell ref="AD23:AF23"/>
    <mergeCell ref="B24:D24"/>
    <mergeCell ref="E24:K24"/>
    <mergeCell ref="M24:P24"/>
    <mergeCell ref="R24:T24"/>
    <mergeCell ref="U24:AA24"/>
    <mergeCell ref="AC24:AF24"/>
    <mergeCell ref="B25:D25"/>
    <mergeCell ref="M25:O25"/>
    <mergeCell ref="R25:T25"/>
    <mergeCell ref="AC25:AE25"/>
    <mergeCell ref="B26:D26"/>
    <mergeCell ref="E26:K26"/>
    <mergeCell ref="M26:O26"/>
    <mergeCell ref="R26:T26"/>
    <mergeCell ref="U26:AA26"/>
    <mergeCell ref="AC26:AE26"/>
    <mergeCell ref="B28:AF28"/>
    <mergeCell ref="B29:D29"/>
    <mergeCell ref="E29:T29"/>
    <mergeCell ref="U29:Z29"/>
    <mergeCell ref="AA29:AF29"/>
    <mergeCell ref="B30:D30"/>
    <mergeCell ref="E30:T30"/>
    <mergeCell ref="U30:Z30"/>
    <mergeCell ref="AA30:AF30"/>
    <mergeCell ref="B31:D31"/>
    <mergeCell ref="E31:T31"/>
    <mergeCell ref="U31:Y31"/>
    <mergeCell ref="AA31:AF31"/>
    <mergeCell ref="B32:D32"/>
    <mergeCell ref="E32:T32"/>
    <mergeCell ref="U32:Z32"/>
    <mergeCell ref="AA32:AE32"/>
    <mergeCell ref="B33:D33"/>
    <mergeCell ref="E33:T33"/>
    <mergeCell ref="U33:Z33"/>
    <mergeCell ref="AA33:AF33"/>
    <mergeCell ref="B34:D34"/>
    <mergeCell ref="E34:T34"/>
    <mergeCell ref="U34:Y34"/>
    <mergeCell ref="AA34:AF34"/>
    <mergeCell ref="B35:D35"/>
    <mergeCell ref="E35:T35"/>
    <mergeCell ref="U35:Z35"/>
    <mergeCell ref="AA35:AE35"/>
    <mergeCell ref="B36:D36"/>
    <mergeCell ref="E36:T36"/>
    <mergeCell ref="U36:Z36"/>
    <mergeCell ref="AA36:AF36"/>
  </mergeCells>
  <conditionalFormatting sqref="B1:AG37">
    <cfRule type="cellIs" priority="2" operator="equal" aboveAverage="0" equalAverage="0" bottom="0" percent="0" rank="0" text="" dxfId="0">
      <formula>"✓"</formula>
    </cfRule>
    <cfRule type="cellIs" priority="3" operator="equal" aboveAverage="0" equalAverage="0" bottom="0" percent="0" rank="0" text="" dxfId="1">
      <formula>"✗"</formula>
    </cfRule>
  </conditionalFormatting>
  <printOptions headings="false" gridLines="false" gridLinesSet="true" horizontalCentered="false" verticalCentered="false"/>
  <pageMargins left="0.4" right="0.4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D7D31"/>
    <pageSetUpPr fitToPage="true"/>
  </sheetPr>
  <dimension ref="B1:AF40"/>
  <sheetViews>
    <sheetView showFormulas="false" showGridLines="fals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34" min="2" style="0" width="4.6"/>
  </cols>
  <sheetData>
    <row r="1" customFormat="false" ht="25.5" hidden="false" customHeight="true" outlineLevel="0" collapsed="false">
      <c r="B1" s="1" t="s">
        <v>24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</row>
    <row r="2" customFormat="false" ht="15" hidden="false" customHeight="false" outlineLevel="0" collapsed="false">
      <c r="B2" s="14" t="s">
        <v>35</v>
      </c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</row>
    <row r="3" customFormat="false" ht="15" hidden="false" customHeight="false" outlineLevel="0" collapsed="false">
      <c r="B3" s="14" t="s">
        <v>36</v>
      </c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</row>
    <row r="5" customFormat="false" ht="16.5" hidden="false" customHeight="true" outlineLevel="0" collapsed="false">
      <c r="B5" s="4" t="s">
        <v>71</v>
      </c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</row>
    <row r="6" customFormat="false" ht="17.25" hidden="false" customHeight="true" outlineLevel="0" collapsed="false">
      <c r="B6" s="10" t="s">
        <v>72</v>
      </c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1" t="s">
        <v>73</v>
      </c>
      <c r="S6" s="11"/>
      <c r="T6" s="11"/>
      <c r="U6" s="11"/>
      <c r="V6" s="11"/>
      <c r="W6" s="11" t="s">
        <v>74</v>
      </c>
      <c r="X6" s="11"/>
      <c r="Y6" s="11"/>
      <c r="Z6" s="11"/>
      <c r="AA6" s="11"/>
      <c r="AB6" s="11" t="s">
        <v>47</v>
      </c>
      <c r="AC6" s="11"/>
      <c r="AD6" s="11"/>
      <c r="AE6" s="11"/>
      <c r="AF6" s="11"/>
    </row>
    <row r="7" customFormat="false" ht="17.25" hidden="false" customHeight="true" outlineLevel="0" collapsed="false">
      <c r="B7" s="12" t="s">
        <v>75</v>
      </c>
      <c r="C7" s="12"/>
      <c r="D7" s="12"/>
      <c r="E7" s="12"/>
      <c r="F7" s="12"/>
      <c r="G7" s="12"/>
      <c r="H7" s="12"/>
      <c r="I7" s="12"/>
      <c r="J7" s="12"/>
      <c r="K7" s="12"/>
      <c r="L7" s="12"/>
      <c r="M7" s="12"/>
      <c r="N7" s="12"/>
      <c r="O7" s="12"/>
      <c r="P7" s="12"/>
      <c r="Q7" s="12"/>
      <c r="R7" s="17" t="n">
        <v>20500</v>
      </c>
      <c r="S7" s="17"/>
      <c r="T7" s="17"/>
      <c r="U7" s="17"/>
      <c r="V7" s="17"/>
      <c r="W7" s="17" t="n">
        <v>26800</v>
      </c>
      <c r="X7" s="17"/>
      <c r="Y7" s="17"/>
      <c r="Z7" s="17"/>
      <c r="AA7" s="17"/>
      <c r="AB7" s="17" t="n">
        <v>18600</v>
      </c>
      <c r="AC7" s="17"/>
      <c r="AD7" s="17"/>
      <c r="AE7" s="17"/>
      <c r="AF7" s="17"/>
    </row>
    <row r="8" customFormat="false" ht="17.25" hidden="false" customHeight="true" outlineLevel="0" collapsed="false">
      <c r="B8" s="12" t="s">
        <v>76</v>
      </c>
      <c r="C8" s="12"/>
      <c r="D8" s="12"/>
      <c r="E8" s="12"/>
      <c r="F8" s="12"/>
      <c r="G8" s="12"/>
      <c r="H8" s="12"/>
      <c r="I8" s="12"/>
      <c r="J8" s="12"/>
      <c r="K8" s="12"/>
      <c r="L8" s="12"/>
      <c r="M8" s="12"/>
      <c r="N8" s="12"/>
      <c r="O8" s="12"/>
      <c r="P8" s="12"/>
      <c r="Q8" s="12"/>
      <c r="R8" s="17" t="n">
        <v>500</v>
      </c>
      <c r="S8" s="17"/>
      <c r="T8" s="17"/>
      <c r="U8" s="17"/>
      <c r="V8" s="17"/>
      <c r="W8" s="17" t="n">
        <v>800</v>
      </c>
      <c r="X8" s="17"/>
      <c r="Y8" s="17"/>
      <c r="Z8" s="17"/>
      <c r="AA8" s="17"/>
      <c r="AB8" s="17" t="n">
        <v>600</v>
      </c>
      <c r="AC8" s="17"/>
      <c r="AD8" s="17"/>
      <c r="AE8" s="17"/>
      <c r="AF8" s="17"/>
    </row>
    <row r="9" customFormat="false" ht="17.25" hidden="false" customHeight="true" outlineLevel="0" collapsed="false">
      <c r="B9" s="12" t="s">
        <v>77</v>
      </c>
      <c r="C9" s="12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2"/>
      <c r="P9" s="12"/>
      <c r="Q9" s="12"/>
      <c r="R9" s="38" t="n">
        <f aca="false">$R$7-$R$8</f>
        <v>20000</v>
      </c>
      <c r="S9" s="38"/>
      <c r="T9" s="38"/>
      <c r="U9" s="38"/>
      <c r="V9" s="38"/>
      <c r="W9" s="38" t="n">
        <f aca="false">$W$7-$W$8</f>
        <v>26000</v>
      </c>
      <c r="X9" s="38"/>
      <c r="Y9" s="38"/>
      <c r="Z9" s="38"/>
      <c r="AA9" s="38"/>
      <c r="AB9" s="38" t="n">
        <f aca="false">$AB$7-$AB$8</f>
        <v>18000</v>
      </c>
      <c r="AC9" s="38"/>
      <c r="AD9" s="38"/>
      <c r="AE9" s="38"/>
      <c r="AF9" s="38"/>
    </row>
    <row r="10" customFormat="false" ht="17.25" hidden="false" customHeight="true" outlineLevel="0" collapsed="false">
      <c r="B10" s="12" t="s">
        <v>78</v>
      </c>
      <c r="C10" s="12"/>
      <c r="D10" s="12"/>
      <c r="E10" s="12"/>
      <c r="F10" s="12"/>
      <c r="G10" s="12"/>
      <c r="H10" s="12"/>
      <c r="I10" s="12"/>
      <c r="J10" s="12"/>
      <c r="K10" s="12"/>
      <c r="L10" s="12"/>
      <c r="M10" s="12"/>
      <c r="N10" s="12"/>
      <c r="O10" s="12"/>
      <c r="P10" s="12"/>
      <c r="Q10" s="12"/>
      <c r="R10" s="39" t="n">
        <v>0.05</v>
      </c>
      <c r="S10" s="39"/>
      <c r="T10" s="39"/>
      <c r="U10" s="39"/>
      <c r="V10" s="39"/>
      <c r="W10" s="39" t="n">
        <v>0.05</v>
      </c>
      <c r="X10" s="39"/>
      <c r="Y10" s="39"/>
      <c r="Z10" s="39"/>
      <c r="AA10" s="39"/>
      <c r="AB10" s="39" t="n">
        <v>0.05</v>
      </c>
      <c r="AC10" s="39"/>
      <c r="AD10" s="39"/>
      <c r="AE10" s="39"/>
      <c r="AF10" s="39"/>
    </row>
    <row r="11" customFormat="false" ht="17.25" hidden="false" customHeight="true" outlineLevel="0" collapsed="false">
      <c r="B11" s="12" t="s">
        <v>79</v>
      </c>
      <c r="C11" s="12"/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12"/>
      <c r="O11" s="12"/>
      <c r="P11" s="12"/>
      <c r="Q11" s="12"/>
      <c r="R11" s="21" t="n">
        <f aca="false">ROUND($R$9*$R$10,2)</f>
        <v>1000</v>
      </c>
      <c r="S11" s="21"/>
      <c r="T11" s="21"/>
      <c r="U11" s="21"/>
      <c r="V11" s="21"/>
      <c r="W11" s="21" t="n">
        <f aca="false">ROUND($W$9*$W$10,2)</f>
        <v>1300</v>
      </c>
      <c r="X11" s="21"/>
      <c r="Y11" s="21"/>
      <c r="Z11" s="21"/>
      <c r="AA11" s="21"/>
      <c r="AB11" s="21" t="n">
        <f aca="false">ROUND($AB$9*$AB$10,2)</f>
        <v>900</v>
      </c>
      <c r="AC11" s="21"/>
      <c r="AD11" s="21"/>
      <c r="AE11" s="21"/>
      <c r="AF11" s="21"/>
    </row>
    <row r="12" customFormat="false" ht="17.25" hidden="false" customHeight="true" outlineLevel="0" collapsed="false">
      <c r="B12" s="12" t="s">
        <v>80</v>
      </c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7" t="n">
        <v>0</v>
      </c>
      <c r="S12" s="17"/>
      <c r="T12" s="17"/>
      <c r="U12" s="17"/>
      <c r="V12" s="17"/>
      <c r="W12" s="21" t="n">
        <f aca="false">$R$11</f>
        <v>1000</v>
      </c>
      <c r="X12" s="21"/>
      <c r="Y12" s="21"/>
      <c r="Z12" s="21"/>
      <c r="AA12" s="21"/>
      <c r="AB12" s="21" t="n">
        <f aca="false">$W$11</f>
        <v>1300</v>
      </c>
      <c r="AC12" s="21"/>
      <c r="AD12" s="21"/>
      <c r="AE12" s="21"/>
      <c r="AF12" s="21"/>
    </row>
    <row r="13" customFormat="false" ht="17.25" hidden="false" customHeight="true" outlineLevel="0" collapsed="false">
      <c r="B13" s="12" t="s">
        <v>81</v>
      </c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21" t="n">
        <f aca="false">$R$11-$R$12</f>
        <v>1000</v>
      </c>
      <c r="S13" s="21"/>
      <c r="T13" s="21"/>
      <c r="U13" s="21"/>
      <c r="V13" s="21"/>
      <c r="W13" s="21" t="n">
        <f aca="false">$W$11-$W$12</f>
        <v>300</v>
      </c>
      <c r="X13" s="21"/>
      <c r="Y13" s="21"/>
      <c r="Z13" s="21"/>
      <c r="AA13" s="21"/>
      <c r="AB13" s="21" t="n">
        <f aca="false">$AB$11-$AB$12</f>
        <v>-400</v>
      </c>
      <c r="AC13" s="21"/>
      <c r="AD13" s="21"/>
      <c r="AE13" s="21"/>
      <c r="AF13" s="21"/>
    </row>
    <row r="14" customFormat="false" ht="17.25" hidden="false" customHeight="true" outlineLevel="0" collapsed="false">
      <c r="B14" s="12" t="s">
        <v>82</v>
      </c>
      <c r="C14" s="12"/>
      <c r="D14" s="12"/>
      <c r="E14" s="12"/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2"/>
      <c r="R14" s="40" t="str">
        <f aca="false">IF($R$13&gt;0,"Expense "&amp;TEXT($R$13,"#,##0"),IF($R$13&lt;0,"Income "&amp;TEXT(-$R$13,"#,##0"),"No entry"))</f>
        <v>Expense 1,000</v>
      </c>
      <c r="S14" s="40"/>
      <c r="T14" s="40"/>
      <c r="U14" s="40"/>
      <c r="V14" s="40"/>
      <c r="W14" s="40" t="str">
        <f aca="false">IF($W$13&gt;0,"Expense "&amp;TEXT($W$13,"#,##0"),IF($W$13&lt;0,"Income "&amp;TEXT(-$W$13,"#,##0"),"No entry"))</f>
        <v>Expense 300</v>
      </c>
      <c r="X14" s="40"/>
      <c r="Y14" s="40"/>
      <c r="Z14" s="40"/>
      <c r="AA14" s="40"/>
      <c r="AB14" s="40" t="str">
        <f aca="false">IF($AB$13&gt;0,"Expense "&amp;TEXT($AB$13,"#,##0"),IF($AB$13&lt;0,"Income "&amp;TEXT(-$AB$13,"#,##0"),"No entry"))</f>
        <v>Income 400</v>
      </c>
      <c r="AC14" s="40"/>
      <c r="AD14" s="40"/>
      <c r="AE14" s="40"/>
      <c r="AF14" s="40"/>
    </row>
    <row r="15" customFormat="false" ht="17.25" hidden="false" customHeight="true" outlineLevel="0" collapsed="false">
      <c r="B15" s="12" t="s">
        <v>83</v>
      </c>
      <c r="C15" s="12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12"/>
      <c r="O15" s="12"/>
      <c r="P15" s="12"/>
      <c r="Q15" s="12"/>
      <c r="R15" s="41" t="n">
        <f aca="false">$R$9-$R$11</f>
        <v>19000</v>
      </c>
      <c r="S15" s="41"/>
      <c r="T15" s="41"/>
      <c r="U15" s="41"/>
      <c r="V15" s="41"/>
      <c r="W15" s="41" t="n">
        <f aca="false">$W$9-$W$11</f>
        <v>24700</v>
      </c>
      <c r="X15" s="41"/>
      <c r="Y15" s="41"/>
      <c r="Z15" s="41"/>
      <c r="AA15" s="41"/>
      <c r="AB15" s="41" t="n">
        <f aca="false">$AB$9-$AB$11</f>
        <v>17100</v>
      </c>
      <c r="AC15" s="41"/>
      <c r="AD15" s="41"/>
      <c r="AE15" s="41"/>
      <c r="AF15" s="41"/>
    </row>
    <row r="17" customFormat="false" ht="15" hidden="false" customHeight="false" outlineLevel="0" collapsed="false">
      <c r="B17" s="24" t="s">
        <v>53</v>
      </c>
      <c r="C17" s="24"/>
      <c r="D17" s="24"/>
      <c r="E17" s="25" t="s">
        <v>84</v>
      </c>
      <c r="F17" s="25"/>
      <c r="G17" s="25"/>
      <c r="H17" s="25"/>
      <c r="I17" s="25"/>
      <c r="J17" s="25"/>
      <c r="K17" s="25"/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  <c r="AB17" s="25"/>
      <c r="AC17" s="25"/>
      <c r="AD17" s="26" t="s">
        <v>55</v>
      </c>
      <c r="AE17" s="26"/>
      <c r="AF17" s="26"/>
    </row>
    <row r="18" customFormat="false" ht="15" hidden="false" customHeight="false" outlineLevel="0" collapsed="false">
      <c r="B18" s="27" t="s">
        <v>43</v>
      </c>
      <c r="C18" s="27"/>
      <c r="D18" s="27"/>
      <c r="E18" s="27" t="s">
        <v>44</v>
      </c>
      <c r="F18" s="27"/>
      <c r="G18" s="27"/>
      <c r="H18" s="27"/>
      <c r="I18" s="27"/>
      <c r="J18" s="27"/>
      <c r="K18" s="27"/>
      <c r="L18" s="28" t="s">
        <v>56</v>
      </c>
      <c r="M18" s="29" t="s">
        <v>57</v>
      </c>
      <c r="N18" s="29"/>
      <c r="O18" s="29"/>
      <c r="P18" s="29"/>
      <c r="Q18" s="30"/>
      <c r="R18" s="31" t="s">
        <v>43</v>
      </c>
      <c r="S18" s="31"/>
      <c r="T18" s="31"/>
      <c r="U18" s="27" t="s">
        <v>44</v>
      </c>
      <c r="V18" s="27"/>
      <c r="W18" s="27"/>
      <c r="X18" s="27"/>
      <c r="Y18" s="27"/>
      <c r="Z18" s="27"/>
      <c r="AA18" s="27"/>
      <c r="AB18" s="28" t="s">
        <v>56</v>
      </c>
      <c r="AC18" s="29" t="s">
        <v>57</v>
      </c>
      <c r="AD18" s="29"/>
      <c r="AE18" s="29"/>
      <c r="AF18" s="29"/>
    </row>
    <row r="19" customFormat="false" ht="16.5" hidden="false" customHeight="true" outlineLevel="0" collapsed="false">
      <c r="B19" s="32" t="s">
        <v>73</v>
      </c>
      <c r="C19" s="32"/>
      <c r="D19" s="32"/>
      <c r="M19" s="33" t="s">
        <v>48</v>
      </c>
      <c r="N19" s="33"/>
      <c r="O19" s="33"/>
      <c r="R19" s="34" t="s">
        <v>73</v>
      </c>
      <c r="S19" s="34"/>
      <c r="T19" s="34"/>
      <c r="AC19" s="33" t="s">
        <v>48</v>
      </c>
      <c r="AD19" s="33"/>
      <c r="AE19" s="33"/>
    </row>
    <row r="20" customFormat="false" ht="17.25" hidden="false" customHeight="true" outlineLevel="0" collapsed="false">
      <c r="B20" s="6" t="s">
        <v>62</v>
      </c>
      <c r="C20" s="6"/>
      <c r="D20" s="6"/>
      <c r="E20" s="35" t="s">
        <v>85</v>
      </c>
      <c r="F20" s="35"/>
      <c r="G20" s="35"/>
      <c r="H20" s="35"/>
      <c r="I20" s="35"/>
      <c r="J20" s="35"/>
      <c r="K20" s="35"/>
      <c r="L20" s="36" t="s">
        <v>60</v>
      </c>
      <c r="M20" s="7" t="n">
        <f aca="false">IF($R$13&lt;0,-$R$13,0)</f>
        <v>0</v>
      </c>
      <c r="N20" s="7"/>
      <c r="O20" s="7"/>
      <c r="R20" s="37" t="s">
        <v>86</v>
      </c>
      <c r="S20" s="37"/>
      <c r="T20" s="37"/>
      <c r="U20" s="35" t="s">
        <v>59</v>
      </c>
      <c r="V20" s="35"/>
      <c r="W20" s="35"/>
      <c r="X20" s="35"/>
      <c r="Y20" s="35"/>
      <c r="Z20" s="35"/>
      <c r="AA20" s="35"/>
      <c r="AB20" s="36"/>
      <c r="AC20" s="7" t="n">
        <f aca="false">$R$12</f>
        <v>0</v>
      </c>
      <c r="AD20" s="7"/>
      <c r="AE20" s="7"/>
    </row>
    <row r="21" customFormat="false" ht="17.25" hidden="false" customHeight="true" outlineLevel="0" collapsed="false">
      <c r="B21" s="6" t="s">
        <v>62</v>
      </c>
      <c r="C21" s="6"/>
      <c r="D21" s="6"/>
      <c r="E21" s="35" t="s">
        <v>87</v>
      </c>
      <c r="F21" s="35"/>
      <c r="G21" s="35"/>
      <c r="H21" s="35"/>
      <c r="I21" s="35"/>
      <c r="J21" s="35"/>
      <c r="K21" s="35"/>
      <c r="L21" s="36"/>
      <c r="M21" s="7" t="n">
        <f aca="false">$R$11</f>
        <v>1000</v>
      </c>
      <c r="N21" s="7"/>
      <c r="O21" s="7"/>
      <c r="R21" s="37" t="s">
        <v>62</v>
      </c>
      <c r="S21" s="37"/>
      <c r="T21" s="37"/>
      <c r="U21" s="35" t="s">
        <v>88</v>
      </c>
      <c r="V21" s="35"/>
      <c r="W21" s="35"/>
      <c r="X21" s="35"/>
      <c r="Y21" s="35"/>
      <c r="Z21" s="35"/>
      <c r="AA21" s="35"/>
      <c r="AB21" s="36" t="s">
        <v>60</v>
      </c>
      <c r="AC21" s="7" t="n">
        <f aca="false">IF($R$13&gt;0,$R$13,0)</f>
        <v>1000</v>
      </c>
      <c r="AD21" s="7"/>
      <c r="AE21" s="7"/>
    </row>
    <row r="22" customFormat="false" ht="16.5" hidden="false" customHeight="true" outlineLevel="0" collapsed="false">
      <c r="M22" s="42" t="n">
        <f aca="false">SUM(M19:M21)</f>
        <v>1000</v>
      </c>
      <c r="N22" s="42"/>
      <c r="O22" s="42"/>
      <c r="R22" s="43"/>
      <c r="AC22" s="42" t="n">
        <f aca="false">SUM(AC19:AC21)</f>
        <v>1000</v>
      </c>
      <c r="AD22" s="42"/>
      <c r="AE22" s="42"/>
    </row>
    <row r="23" customFormat="false" ht="16.5" hidden="false" customHeight="true" outlineLevel="0" collapsed="false">
      <c r="B23" s="32" t="s">
        <v>74</v>
      </c>
      <c r="C23" s="32"/>
      <c r="D23" s="32"/>
      <c r="R23" s="34" t="s">
        <v>74</v>
      </c>
      <c r="S23" s="34"/>
      <c r="T23" s="34"/>
    </row>
    <row r="24" customFormat="false" ht="17.25" hidden="false" customHeight="true" outlineLevel="0" collapsed="false">
      <c r="B24" s="6" t="s">
        <v>62</v>
      </c>
      <c r="C24" s="6"/>
      <c r="D24" s="6"/>
      <c r="E24" s="35" t="s">
        <v>85</v>
      </c>
      <c r="F24" s="35"/>
      <c r="G24" s="35"/>
      <c r="H24" s="35"/>
      <c r="I24" s="35"/>
      <c r="J24" s="35"/>
      <c r="K24" s="35"/>
      <c r="L24" s="36" t="s">
        <v>60</v>
      </c>
      <c r="M24" s="7" t="n">
        <f aca="false">IF($W$13&lt;0,-$W$13,0)</f>
        <v>0</v>
      </c>
      <c r="N24" s="7"/>
      <c r="O24" s="7"/>
      <c r="R24" s="37" t="s">
        <v>86</v>
      </c>
      <c r="S24" s="37"/>
      <c r="T24" s="37"/>
      <c r="U24" s="35" t="s">
        <v>59</v>
      </c>
      <c r="V24" s="35"/>
      <c r="W24" s="35"/>
      <c r="X24" s="35"/>
      <c r="Y24" s="35"/>
      <c r="Z24" s="35"/>
      <c r="AA24" s="35"/>
      <c r="AB24" s="36"/>
      <c r="AC24" s="7" t="n">
        <f aca="false">$W$12</f>
        <v>1000</v>
      </c>
      <c r="AD24" s="7"/>
      <c r="AE24" s="7"/>
    </row>
    <row r="25" customFormat="false" ht="17.25" hidden="false" customHeight="true" outlineLevel="0" collapsed="false">
      <c r="B25" s="6" t="s">
        <v>62</v>
      </c>
      <c r="C25" s="6"/>
      <c r="D25" s="6"/>
      <c r="E25" s="35" t="s">
        <v>87</v>
      </c>
      <c r="F25" s="35"/>
      <c r="G25" s="35"/>
      <c r="H25" s="35"/>
      <c r="I25" s="35"/>
      <c r="J25" s="35"/>
      <c r="K25" s="35"/>
      <c r="L25" s="36"/>
      <c r="M25" s="7" t="n">
        <f aca="false">$W$11</f>
        <v>1300</v>
      </c>
      <c r="N25" s="7"/>
      <c r="O25" s="7"/>
      <c r="R25" s="37" t="s">
        <v>62</v>
      </c>
      <c r="S25" s="37"/>
      <c r="T25" s="37"/>
      <c r="U25" s="35" t="s">
        <v>88</v>
      </c>
      <c r="V25" s="35"/>
      <c r="W25" s="35"/>
      <c r="X25" s="35"/>
      <c r="Y25" s="35"/>
      <c r="Z25" s="35"/>
      <c r="AA25" s="35"/>
      <c r="AB25" s="36" t="s">
        <v>60</v>
      </c>
      <c r="AC25" s="7" t="n">
        <f aca="false">IF($W$13&gt;0,$W$13,0)</f>
        <v>300</v>
      </c>
      <c r="AD25" s="7"/>
      <c r="AE25" s="7"/>
    </row>
    <row r="26" customFormat="false" ht="16.5" hidden="false" customHeight="true" outlineLevel="0" collapsed="false">
      <c r="M26" s="42" t="n">
        <f aca="false">SUM(M23:M25)</f>
        <v>1300</v>
      </c>
      <c r="N26" s="42"/>
      <c r="O26" s="42"/>
      <c r="R26" s="43"/>
      <c r="AC26" s="42" t="n">
        <f aca="false">SUM(AC23:AC25)</f>
        <v>1300</v>
      </c>
      <c r="AD26" s="42"/>
      <c r="AE26" s="42"/>
    </row>
    <row r="27" customFormat="false" ht="16.5" hidden="false" customHeight="true" outlineLevel="0" collapsed="false">
      <c r="B27" s="32" t="s">
        <v>47</v>
      </c>
      <c r="C27" s="32"/>
      <c r="D27" s="32"/>
      <c r="R27" s="34" t="s">
        <v>47</v>
      </c>
      <c r="S27" s="34"/>
      <c r="T27" s="34"/>
    </row>
    <row r="28" customFormat="false" ht="17.25" hidden="false" customHeight="true" outlineLevel="0" collapsed="false">
      <c r="B28" s="6" t="s">
        <v>62</v>
      </c>
      <c r="C28" s="6"/>
      <c r="D28" s="6"/>
      <c r="E28" s="35" t="s">
        <v>85</v>
      </c>
      <c r="F28" s="35"/>
      <c r="G28" s="35"/>
      <c r="H28" s="35"/>
      <c r="I28" s="35"/>
      <c r="J28" s="35"/>
      <c r="K28" s="35"/>
      <c r="L28" s="36" t="s">
        <v>60</v>
      </c>
      <c r="M28" s="7" t="n">
        <f aca="false">IF($AB$13&lt;0,-$AB$13,0)</f>
        <v>400</v>
      </c>
      <c r="N28" s="7"/>
      <c r="O28" s="7"/>
      <c r="R28" s="37" t="s">
        <v>86</v>
      </c>
      <c r="S28" s="37"/>
      <c r="T28" s="37"/>
      <c r="U28" s="35" t="s">
        <v>59</v>
      </c>
      <c r="V28" s="35"/>
      <c r="W28" s="35"/>
      <c r="X28" s="35"/>
      <c r="Y28" s="35"/>
      <c r="Z28" s="35"/>
      <c r="AA28" s="35"/>
      <c r="AB28" s="36"/>
      <c r="AC28" s="7" t="n">
        <f aca="false">$AB$12</f>
        <v>1300</v>
      </c>
      <c r="AD28" s="7"/>
      <c r="AE28" s="7"/>
    </row>
    <row r="29" customFormat="false" ht="17.25" hidden="false" customHeight="true" outlineLevel="0" collapsed="false">
      <c r="B29" s="6" t="s">
        <v>62</v>
      </c>
      <c r="C29" s="6"/>
      <c r="D29" s="6"/>
      <c r="E29" s="35" t="s">
        <v>87</v>
      </c>
      <c r="F29" s="35"/>
      <c r="G29" s="35"/>
      <c r="H29" s="35"/>
      <c r="I29" s="35"/>
      <c r="J29" s="35"/>
      <c r="K29" s="35"/>
      <c r="L29" s="36"/>
      <c r="M29" s="7" t="n">
        <f aca="false">$AB$11</f>
        <v>900</v>
      </c>
      <c r="N29" s="7"/>
      <c r="O29" s="7"/>
      <c r="R29" s="37" t="s">
        <v>62</v>
      </c>
      <c r="S29" s="37"/>
      <c r="T29" s="37"/>
      <c r="U29" s="35" t="s">
        <v>88</v>
      </c>
      <c r="V29" s="35"/>
      <c r="W29" s="35"/>
      <c r="X29" s="35"/>
      <c r="Y29" s="35"/>
      <c r="Z29" s="35"/>
      <c r="AA29" s="35"/>
      <c r="AB29" s="36" t="s">
        <v>60</v>
      </c>
      <c r="AC29" s="7" t="n">
        <f aca="false">IF($AB$13&gt;0,$AB$13,0)</f>
        <v>0</v>
      </c>
      <c r="AD29" s="7"/>
      <c r="AE29" s="7"/>
    </row>
    <row r="30" customFormat="false" ht="16.5" hidden="false" customHeight="true" outlineLevel="0" collapsed="false">
      <c r="M30" s="42" t="n">
        <f aca="false">SUM(M27:M29)</f>
        <v>1300</v>
      </c>
      <c r="N30" s="42"/>
      <c r="O30" s="42"/>
      <c r="R30" s="43"/>
      <c r="AC30" s="42" t="n">
        <f aca="false">SUM(AC27:AC29)</f>
        <v>1300</v>
      </c>
      <c r="AD30" s="42"/>
      <c r="AE30" s="42"/>
    </row>
    <row r="31" customFormat="false" ht="16.5" hidden="false" customHeight="true" outlineLevel="0" collapsed="false">
      <c r="R31" s="34" t="s">
        <v>89</v>
      </c>
      <c r="S31" s="34"/>
      <c r="T31" s="34"/>
    </row>
    <row r="32" customFormat="false" ht="17.25" hidden="false" customHeight="true" outlineLevel="0" collapsed="false">
      <c r="R32" s="37" t="s">
        <v>86</v>
      </c>
      <c r="S32" s="37"/>
      <c r="T32" s="37"/>
      <c r="U32" s="35" t="s">
        <v>59</v>
      </c>
      <c r="V32" s="35"/>
      <c r="W32" s="35"/>
      <c r="X32" s="35"/>
      <c r="Y32" s="35"/>
      <c r="Z32" s="35"/>
      <c r="AA32" s="35"/>
      <c r="AB32" s="36"/>
      <c r="AC32" s="7" t="n">
        <f aca="false">$AB$11</f>
        <v>900</v>
      </c>
      <c r="AD32" s="7"/>
      <c r="AE32" s="7"/>
    </row>
    <row r="33" customFormat="false" ht="16.5" hidden="false" customHeight="true" outlineLevel="0" collapsed="false">
      <c r="B33" s="2" t="s">
        <v>90</v>
      </c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</row>
    <row r="35" customFormat="false" ht="15" hidden="false" customHeight="false" outlineLevel="0" collapsed="false">
      <c r="B35" s="25" t="s">
        <v>91</v>
      </c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  <c r="AB35" s="25"/>
      <c r="AC35" s="25"/>
      <c r="AD35" s="25"/>
      <c r="AE35" s="25"/>
      <c r="AF35" s="25"/>
    </row>
    <row r="36" customFormat="false" ht="15" hidden="false" customHeight="false" outlineLevel="0" collapsed="false">
      <c r="B36" s="44"/>
      <c r="C36" s="44"/>
      <c r="D36" s="44"/>
      <c r="E36" s="15" t="s">
        <v>44</v>
      </c>
      <c r="F36" s="15"/>
      <c r="G36" s="15"/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6" t="s">
        <v>48</v>
      </c>
      <c r="S36" s="16"/>
      <c r="T36" s="16"/>
      <c r="U36" s="16"/>
      <c r="V36" s="16"/>
      <c r="W36" s="16" t="s">
        <v>48</v>
      </c>
      <c r="X36" s="16"/>
      <c r="Y36" s="16"/>
      <c r="Z36" s="16"/>
      <c r="AA36" s="16"/>
      <c r="AB36" s="16" t="s">
        <v>48</v>
      </c>
      <c r="AC36" s="16"/>
      <c r="AD36" s="16"/>
      <c r="AE36" s="16"/>
      <c r="AF36" s="16"/>
    </row>
    <row r="37" customFormat="false" ht="30" hidden="false" customHeight="true" outlineLevel="0" collapsed="false">
      <c r="B37" s="44"/>
      <c r="C37" s="44"/>
      <c r="D37" s="44"/>
      <c r="E37" s="44"/>
      <c r="F37" s="44"/>
      <c r="G37" s="44"/>
      <c r="H37" s="44"/>
      <c r="I37" s="44"/>
      <c r="J37" s="44"/>
      <c r="K37" s="44"/>
      <c r="L37" s="44"/>
      <c r="M37" s="44"/>
      <c r="N37" s="44"/>
      <c r="O37" s="44"/>
      <c r="P37" s="44"/>
      <c r="Q37" s="44"/>
      <c r="R37" s="11" t="s">
        <v>92</v>
      </c>
      <c r="S37" s="11"/>
      <c r="T37" s="11"/>
      <c r="U37" s="11"/>
      <c r="V37" s="11"/>
      <c r="W37" s="11" t="s">
        <v>93</v>
      </c>
      <c r="X37" s="11"/>
      <c r="Y37" s="11"/>
      <c r="Z37" s="11"/>
      <c r="AA37" s="11"/>
      <c r="AB37" s="11" t="s">
        <v>94</v>
      </c>
      <c r="AC37" s="11"/>
      <c r="AD37" s="11"/>
      <c r="AE37" s="11"/>
      <c r="AF37" s="11"/>
    </row>
    <row r="38" customFormat="false" ht="17.25" hidden="false" customHeight="true" outlineLevel="0" collapsed="false">
      <c r="B38" s="45"/>
      <c r="C38" s="45"/>
      <c r="D38" s="45"/>
      <c r="E38" s="46" t="s">
        <v>95</v>
      </c>
      <c r="F38" s="46"/>
      <c r="G38" s="46"/>
      <c r="H38" s="46"/>
      <c r="I38" s="46"/>
      <c r="J38" s="46"/>
      <c r="K38" s="46"/>
      <c r="L38" s="46"/>
      <c r="M38" s="46"/>
      <c r="N38" s="46"/>
      <c r="O38" s="46"/>
      <c r="P38" s="46"/>
      <c r="Q38" s="46"/>
    </row>
    <row r="39" customFormat="false" ht="17.25" hidden="false" customHeight="true" outlineLevel="0" collapsed="false">
      <c r="B39" s="45"/>
      <c r="C39" s="45"/>
      <c r="D39" s="45"/>
      <c r="E39" s="35" t="s">
        <v>96</v>
      </c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/>
      <c r="R39" s="7" t="n">
        <f aca="false">$AB$9</f>
        <v>18000</v>
      </c>
      <c r="S39" s="7"/>
      <c r="T39" s="7"/>
      <c r="U39" s="7"/>
    </row>
    <row r="40" customFormat="false" ht="17.25" hidden="false" customHeight="true" outlineLevel="0" collapsed="false">
      <c r="B40" s="45" t="s">
        <v>97</v>
      </c>
      <c r="C40" s="45"/>
      <c r="D40" s="45"/>
      <c r="E40" s="35" t="s">
        <v>98</v>
      </c>
      <c r="F40" s="35"/>
      <c r="G40" s="35"/>
      <c r="H40" s="35"/>
      <c r="I40" s="35"/>
      <c r="J40" s="35"/>
      <c r="K40" s="35"/>
      <c r="L40" s="35"/>
      <c r="M40" s="35"/>
      <c r="N40" s="35"/>
      <c r="O40" s="35"/>
      <c r="P40" s="35"/>
      <c r="Q40" s="35"/>
      <c r="R40" s="47" t="n">
        <f aca="false">-$AB$11</f>
        <v>-900</v>
      </c>
      <c r="S40" s="47"/>
      <c r="T40" s="47"/>
      <c r="U40" s="47"/>
      <c r="W40" s="7" t="n">
        <f aca="false">$AB$9-$AB$11</f>
        <v>17100</v>
      </c>
      <c r="X40" s="7"/>
      <c r="Y40" s="7"/>
      <c r="Z40" s="7"/>
    </row>
  </sheetData>
  <mergeCells count="128">
    <mergeCell ref="B1:AF1"/>
    <mergeCell ref="B2:AF2"/>
    <mergeCell ref="B3:AF3"/>
    <mergeCell ref="B5:AF5"/>
    <mergeCell ref="B6:Q6"/>
    <mergeCell ref="R6:V6"/>
    <mergeCell ref="W6:AA6"/>
    <mergeCell ref="AB6:AF6"/>
    <mergeCell ref="B7:Q7"/>
    <mergeCell ref="R7:V7"/>
    <mergeCell ref="W7:AA7"/>
    <mergeCell ref="AB7:AF7"/>
    <mergeCell ref="B8:Q8"/>
    <mergeCell ref="R8:V8"/>
    <mergeCell ref="W8:AA8"/>
    <mergeCell ref="AB8:AF8"/>
    <mergeCell ref="B9:Q9"/>
    <mergeCell ref="R9:V9"/>
    <mergeCell ref="W9:AA9"/>
    <mergeCell ref="AB9:AF9"/>
    <mergeCell ref="B10:Q10"/>
    <mergeCell ref="R10:V10"/>
    <mergeCell ref="W10:AA10"/>
    <mergeCell ref="AB10:AF10"/>
    <mergeCell ref="B11:Q11"/>
    <mergeCell ref="R11:V11"/>
    <mergeCell ref="W11:AA11"/>
    <mergeCell ref="AB11:AF11"/>
    <mergeCell ref="B12:Q12"/>
    <mergeCell ref="R12:V12"/>
    <mergeCell ref="W12:AA12"/>
    <mergeCell ref="AB12:AF12"/>
    <mergeCell ref="B13:Q13"/>
    <mergeCell ref="R13:V13"/>
    <mergeCell ref="W13:AA13"/>
    <mergeCell ref="AB13:AF13"/>
    <mergeCell ref="B14:Q14"/>
    <mergeCell ref="R14:V14"/>
    <mergeCell ref="W14:AA14"/>
    <mergeCell ref="AB14:AF14"/>
    <mergeCell ref="B15:Q15"/>
    <mergeCell ref="R15:V15"/>
    <mergeCell ref="W15:AA15"/>
    <mergeCell ref="AB15:AF15"/>
    <mergeCell ref="B17:D17"/>
    <mergeCell ref="E17:AC17"/>
    <mergeCell ref="AD17:AF17"/>
    <mergeCell ref="B18:D18"/>
    <mergeCell ref="E18:K18"/>
    <mergeCell ref="M18:P18"/>
    <mergeCell ref="R18:T18"/>
    <mergeCell ref="U18:AA18"/>
    <mergeCell ref="AC18:AF18"/>
    <mergeCell ref="B19:D19"/>
    <mergeCell ref="M19:O19"/>
    <mergeCell ref="R19:T19"/>
    <mergeCell ref="AC19:AE19"/>
    <mergeCell ref="B20:D20"/>
    <mergeCell ref="E20:K20"/>
    <mergeCell ref="M20:O20"/>
    <mergeCell ref="R20:T20"/>
    <mergeCell ref="U20:AA20"/>
    <mergeCell ref="AC20:AE20"/>
    <mergeCell ref="B21:D21"/>
    <mergeCell ref="E21:K21"/>
    <mergeCell ref="M21:O21"/>
    <mergeCell ref="R21:T21"/>
    <mergeCell ref="U21:AA21"/>
    <mergeCell ref="AC21:AE21"/>
    <mergeCell ref="M22:O22"/>
    <mergeCell ref="AC22:AE22"/>
    <mergeCell ref="B23:D23"/>
    <mergeCell ref="R23:T23"/>
    <mergeCell ref="B24:D24"/>
    <mergeCell ref="E24:K24"/>
    <mergeCell ref="M24:O24"/>
    <mergeCell ref="R24:T24"/>
    <mergeCell ref="U24:AA24"/>
    <mergeCell ref="AC24:AE24"/>
    <mergeCell ref="B25:D25"/>
    <mergeCell ref="E25:K25"/>
    <mergeCell ref="M25:O25"/>
    <mergeCell ref="R25:T25"/>
    <mergeCell ref="U25:AA25"/>
    <mergeCell ref="AC25:AE25"/>
    <mergeCell ref="M26:O26"/>
    <mergeCell ref="AC26:AE26"/>
    <mergeCell ref="B27:D27"/>
    <mergeCell ref="R27:T27"/>
    <mergeCell ref="B28:D28"/>
    <mergeCell ref="E28:K28"/>
    <mergeCell ref="M28:O28"/>
    <mergeCell ref="R28:T28"/>
    <mergeCell ref="U28:AA28"/>
    <mergeCell ref="AC28:AE28"/>
    <mergeCell ref="B29:D29"/>
    <mergeCell ref="E29:K29"/>
    <mergeCell ref="M29:O29"/>
    <mergeCell ref="R29:T29"/>
    <mergeCell ref="U29:AA29"/>
    <mergeCell ref="AC29:AE29"/>
    <mergeCell ref="M30:O30"/>
    <mergeCell ref="AC30:AE30"/>
    <mergeCell ref="R31:T31"/>
    <mergeCell ref="R32:T32"/>
    <mergeCell ref="U32:AA32"/>
    <mergeCell ref="AC32:AE32"/>
    <mergeCell ref="B33:AF33"/>
    <mergeCell ref="B35:AF35"/>
    <mergeCell ref="B36:D36"/>
    <mergeCell ref="E36:Q36"/>
    <mergeCell ref="R36:V36"/>
    <mergeCell ref="W36:AA36"/>
    <mergeCell ref="AB36:AF36"/>
    <mergeCell ref="B37:D37"/>
    <mergeCell ref="E37:Q37"/>
    <mergeCell ref="R37:V37"/>
    <mergeCell ref="W37:AA37"/>
    <mergeCell ref="AB37:AF37"/>
    <mergeCell ref="B38:D38"/>
    <mergeCell ref="E38:Q38"/>
    <mergeCell ref="B39:D39"/>
    <mergeCell ref="E39:Q39"/>
    <mergeCell ref="R39:U39"/>
    <mergeCell ref="B40:D40"/>
    <mergeCell ref="E40:Q40"/>
    <mergeCell ref="R40:U40"/>
    <mergeCell ref="W40:Z40"/>
  </mergeCells>
  <conditionalFormatting sqref="B1:AG41">
    <cfRule type="cellIs" priority="2" operator="equal" aboveAverage="0" equalAverage="0" bottom="0" percent="0" rank="0" text="" dxfId="0">
      <formula>"✓"</formula>
    </cfRule>
    <cfRule type="cellIs" priority="3" operator="equal" aboveAverage="0" equalAverage="0" bottom="0" percent="0" rank="0" text="" dxfId="1">
      <formula>"✗"</formula>
    </cfRule>
  </conditionalFormatting>
  <printOptions headings="false" gridLines="false" gridLinesSet="true" horizontalCentered="false" verticalCentered="false"/>
  <pageMargins left="0.4" right="0.4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597"/>
    <pageSetUpPr fitToPage="true"/>
  </sheetPr>
  <dimension ref="B1:AF33"/>
  <sheetViews>
    <sheetView showFormulas="false" showGridLines="fals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34" min="2" style="0" width="4.6"/>
  </cols>
  <sheetData>
    <row r="1" customFormat="false" ht="25.5" hidden="false" customHeight="true" outlineLevel="0" collapsed="false">
      <c r="B1" s="1" t="s">
        <v>99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</row>
    <row r="2" customFormat="false" ht="15" hidden="false" customHeight="false" outlineLevel="0" collapsed="false">
      <c r="B2" s="14" t="s">
        <v>100</v>
      </c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</row>
    <row r="3" customFormat="false" ht="15" hidden="false" customHeight="false" outlineLevel="0" collapsed="false">
      <c r="B3" s="24" t="s">
        <v>101</v>
      </c>
      <c r="C3" s="24"/>
      <c r="D3" s="24"/>
      <c r="E3" s="24"/>
      <c r="F3" s="24"/>
      <c r="G3" s="24"/>
      <c r="H3" s="24" t="str">
        <f aca="false">COUNTIF(B4:AG34,"✓")&amp;" correct out of 11 answer cells"</f>
        <v>0 correct out of 11 answer cells</v>
      </c>
      <c r="I3" s="24"/>
      <c r="J3" s="24"/>
      <c r="K3" s="24"/>
      <c r="L3" s="24"/>
      <c r="M3" s="24"/>
      <c r="N3" s="24"/>
      <c r="O3" s="24"/>
      <c r="P3" s="24"/>
      <c r="Q3" s="24"/>
      <c r="R3" s="24"/>
      <c r="S3" s="24"/>
      <c r="T3" s="24"/>
      <c r="U3" s="24"/>
      <c r="V3" s="24"/>
      <c r="W3" s="24"/>
      <c r="X3" s="24"/>
      <c r="Y3" s="24"/>
      <c r="Z3" s="24"/>
      <c r="AA3" s="24"/>
      <c r="AB3" s="24"/>
      <c r="AC3" s="24"/>
      <c r="AD3" s="24"/>
      <c r="AE3" s="24"/>
      <c r="AF3" s="24"/>
    </row>
    <row r="5" customFormat="false" ht="16.5" hidden="false" customHeight="true" outlineLevel="0" collapsed="false">
      <c r="B5" s="4" t="s">
        <v>102</v>
      </c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</row>
    <row r="6" customFormat="false" ht="16.5" hidden="false" customHeight="true" outlineLevel="0" collapsed="false">
      <c r="C6" s="4" t="s">
        <v>103</v>
      </c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</row>
    <row r="7" customFormat="false" ht="16.5" hidden="false" customHeight="true" outlineLevel="0" collapsed="false">
      <c r="C7" s="4" t="s">
        <v>104</v>
      </c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</row>
    <row r="8" customFormat="false" ht="15" hidden="false" customHeight="false" outlineLevel="0" collapsed="false">
      <c r="B8" s="15" t="s">
        <v>105</v>
      </c>
      <c r="C8" s="15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6" t="s">
        <v>39</v>
      </c>
      <c r="Y8" s="16"/>
      <c r="Z8" s="16"/>
      <c r="AA8" s="16"/>
      <c r="AB8" s="16"/>
      <c r="AC8" s="16"/>
    </row>
    <row r="9" customFormat="false" ht="16.5" hidden="false" customHeight="true" outlineLevel="0" collapsed="false">
      <c r="B9" s="12" t="s">
        <v>106</v>
      </c>
      <c r="C9" s="12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7" t="n">
        <v>350</v>
      </c>
      <c r="Y9" s="17"/>
      <c r="Z9" s="17"/>
      <c r="AA9" s="17"/>
      <c r="AB9" s="17"/>
      <c r="AC9" s="17"/>
    </row>
    <row r="10" customFormat="false" ht="16.5" hidden="false" customHeight="true" outlineLevel="0" collapsed="false">
      <c r="B10" s="12" t="s">
        <v>107</v>
      </c>
      <c r="C10" s="12"/>
      <c r="D10" s="12"/>
      <c r="E10" s="12"/>
      <c r="F10" s="12"/>
      <c r="G10" s="12"/>
      <c r="H10" s="12"/>
      <c r="I10" s="12"/>
      <c r="J10" s="12"/>
      <c r="K10" s="12"/>
      <c r="L10" s="12"/>
      <c r="M10" s="12"/>
      <c r="N10" s="12"/>
      <c r="O10" s="12"/>
      <c r="P10" s="12"/>
      <c r="Q10" s="12"/>
      <c r="R10" s="12"/>
      <c r="S10" s="12"/>
      <c r="T10" s="12"/>
      <c r="U10" s="12"/>
      <c r="V10" s="12"/>
      <c r="W10" s="12"/>
      <c r="X10" s="17" t="n">
        <v>200</v>
      </c>
      <c r="Y10" s="17"/>
      <c r="Z10" s="17"/>
      <c r="AA10" s="17"/>
      <c r="AB10" s="17"/>
      <c r="AC10" s="17"/>
    </row>
    <row r="13" customFormat="false" ht="18.75" hidden="false" customHeight="true" outlineLevel="0" collapsed="false">
      <c r="B13" s="3" t="s">
        <v>108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</row>
    <row r="14" customFormat="false" ht="15" hidden="false" customHeight="false" outlineLevel="0" collapsed="false">
      <c r="B14" s="15" t="s">
        <v>43</v>
      </c>
      <c r="C14" s="15"/>
      <c r="D14" s="15"/>
      <c r="E14" s="15" t="s">
        <v>44</v>
      </c>
      <c r="F14" s="15"/>
      <c r="G14" s="15"/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6" t="s">
        <v>45</v>
      </c>
      <c r="V14" s="16"/>
      <c r="W14" s="16"/>
      <c r="X14" s="16"/>
      <c r="Y14" s="16"/>
      <c r="Z14" s="16"/>
      <c r="AA14" s="16" t="s">
        <v>46</v>
      </c>
      <c r="AB14" s="16"/>
      <c r="AC14" s="16"/>
      <c r="AD14" s="16"/>
      <c r="AE14" s="16"/>
      <c r="AF14" s="16"/>
    </row>
    <row r="15" customFormat="false" ht="16.5" hidden="false" customHeight="true" outlineLevel="0" collapsed="false">
      <c r="B15" s="18" t="s">
        <v>47</v>
      </c>
      <c r="C15" s="18"/>
      <c r="D15" s="18"/>
      <c r="E15" s="19"/>
      <c r="F15" s="19"/>
      <c r="G15" s="19"/>
      <c r="H15" s="19"/>
      <c r="I15" s="19"/>
      <c r="J15" s="19"/>
      <c r="K15" s="19"/>
      <c r="L15" s="19"/>
      <c r="M15" s="19"/>
      <c r="N15" s="19"/>
      <c r="O15" s="19"/>
      <c r="P15" s="19"/>
      <c r="Q15" s="19"/>
      <c r="R15" s="19"/>
      <c r="S15" s="19"/>
      <c r="T15" s="19"/>
      <c r="U15" s="20" t="s">
        <v>48</v>
      </c>
      <c r="V15" s="20"/>
      <c r="W15" s="20"/>
      <c r="X15" s="20"/>
      <c r="Y15" s="20"/>
      <c r="Z15" s="20"/>
      <c r="AA15" s="20" t="s">
        <v>48</v>
      </c>
      <c r="AB15" s="20"/>
      <c r="AC15" s="20"/>
      <c r="AD15" s="20"/>
      <c r="AE15" s="20"/>
      <c r="AF15" s="20"/>
    </row>
    <row r="16" customFormat="false" ht="16.5" hidden="false" customHeight="true" outlineLevel="0" collapsed="false">
      <c r="B16" s="19" t="s">
        <v>109</v>
      </c>
      <c r="C16" s="19"/>
      <c r="D16" s="19"/>
      <c r="E16" s="19" t="s">
        <v>50</v>
      </c>
      <c r="F16" s="19"/>
      <c r="G16" s="19"/>
      <c r="H16" s="19"/>
      <c r="I16" s="19"/>
      <c r="J16" s="19"/>
      <c r="K16" s="19"/>
      <c r="L16" s="19"/>
      <c r="M16" s="19"/>
      <c r="N16" s="19"/>
      <c r="O16" s="19"/>
      <c r="P16" s="19"/>
      <c r="Q16" s="19"/>
      <c r="R16" s="19"/>
      <c r="S16" s="19"/>
      <c r="T16" s="19"/>
      <c r="U16" s="48"/>
      <c r="V16" s="48"/>
      <c r="W16" s="48"/>
      <c r="X16" s="48"/>
      <c r="Y16" s="48"/>
      <c r="Z16" s="20" t="str">
        <f aca="false">IF(U16="","",IFERROR(IF(ABS(ABS(U16)-ABS('Q8.8 Ans'!U16))&lt;0.5,"✓","✗"),"✗"))</f>
        <v/>
      </c>
      <c r="AA16" s="19"/>
      <c r="AB16" s="19"/>
      <c r="AC16" s="19"/>
      <c r="AD16" s="19"/>
      <c r="AE16" s="19"/>
      <c r="AF16" s="19"/>
    </row>
    <row r="17" customFormat="false" ht="16.5" hidden="false" customHeight="true" outlineLevel="0" collapsed="false">
      <c r="B17" s="19"/>
      <c r="C17" s="19"/>
      <c r="D17" s="19"/>
      <c r="E17" s="22" t="s">
        <v>110</v>
      </c>
      <c r="F17" s="22"/>
      <c r="G17" s="22"/>
      <c r="H17" s="22"/>
      <c r="I17" s="22"/>
      <c r="J17" s="22"/>
      <c r="K17" s="22"/>
      <c r="L17" s="22"/>
      <c r="M17" s="22"/>
      <c r="N17" s="22"/>
      <c r="O17" s="22"/>
      <c r="P17" s="22"/>
      <c r="Q17" s="22"/>
      <c r="R17" s="22"/>
      <c r="S17" s="22"/>
      <c r="T17" s="22"/>
      <c r="U17" s="19"/>
      <c r="V17" s="19"/>
      <c r="W17" s="19"/>
      <c r="X17" s="19"/>
      <c r="Y17" s="19"/>
      <c r="Z17" s="19"/>
      <c r="AA17" s="48"/>
      <c r="AB17" s="48"/>
      <c r="AC17" s="48"/>
      <c r="AD17" s="48"/>
      <c r="AE17" s="48"/>
      <c r="AF17" s="20" t="str">
        <f aca="false">IF(AA17="","",IFERROR(IF(ABS(ABS(AA17)-ABS('Q8.8 Ans'!AA17))&lt;0.5,"✓","✗"),"✗"))</f>
        <v/>
      </c>
    </row>
    <row r="18" customFormat="false" ht="17.25" hidden="false" customHeight="true" outlineLevel="0" collapsed="false">
      <c r="B18" s="19"/>
      <c r="C18" s="19"/>
      <c r="D18" s="19"/>
      <c r="E18" s="23" t="s">
        <v>52</v>
      </c>
      <c r="F18" s="23"/>
      <c r="G18" s="23"/>
      <c r="H18" s="23"/>
      <c r="I18" s="23"/>
      <c r="J18" s="23"/>
      <c r="K18" s="23"/>
      <c r="L18" s="23"/>
      <c r="M18" s="23"/>
      <c r="N18" s="23"/>
      <c r="O18" s="23"/>
      <c r="P18" s="23"/>
      <c r="Q18" s="23"/>
      <c r="R18" s="23"/>
      <c r="S18" s="23"/>
      <c r="T18" s="23"/>
      <c r="U18" s="19"/>
      <c r="V18" s="19"/>
      <c r="W18" s="19"/>
      <c r="X18" s="19"/>
      <c r="Y18" s="19"/>
      <c r="Z18" s="19"/>
      <c r="AA18" s="19"/>
      <c r="AB18" s="19"/>
      <c r="AC18" s="19"/>
      <c r="AD18" s="19"/>
      <c r="AE18" s="19"/>
      <c r="AF18" s="19"/>
    </row>
    <row r="19" customFormat="false" ht="16.5" hidden="false" customHeight="true" outlineLevel="0" collapsed="false">
      <c r="B19" s="19" t="s">
        <v>111</v>
      </c>
      <c r="C19" s="19"/>
      <c r="D19" s="19"/>
      <c r="E19" s="19" t="s">
        <v>50</v>
      </c>
      <c r="F19" s="19"/>
      <c r="G19" s="19"/>
      <c r="H19" s="19"/>
      <c r="I19" s="19"/>
      <c r="J19" s="19"/>
      <c r="K19" s="19"/>
      <c r="L19" s="19"/>
      <c r="M19" s="19"/>
      <c r="N19" s="19"/>
      <c r="O19" s="19"/>
      <c r="P19" s="19"/>
      <c r="Q19" s="19"/>
      <c r="R19" s="19"/>
      <c r="S19" s="19"/>
      <c r="T19" s="19"/>
      <c r="U19" s="48"/>
      <c r="V19" s="48"/>
      <c r="W19" s="48"/>
      <c r="X19" s="48"/>
      <c r="Y19" s="48"/>
      <c r="Z19" s="20" t="str">
        <f aca="false">IF(U19="","",IFERROR(IF(ABS(ABS(U19)-ABS('Q8.8 Ans'!U19))&lt;0.5,"✓","✗"),"✗"))</f>
        <v/>
      </c>
      <c r="AA19" s="19"/>
      <c r="AB19" s="19"/>
      <c r="AC19" s="19"/>
      <c r="AD19" s="19"/>
      <c r="AE19" s="19"/>
      <c r="AF19" s="19"/>
    </row>
    <row r="20" customFormat="false" ht="16.5" hidden="false" customHeight="true" outlineLevel="0" collapsed="false">
      <c r="B20" s="19"/>
      <c r="C20" s="19"/>
      <c r="D20" s="19"/>
      <c r="E20" s="22" t="s">
        <v>112</v>
      </c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19"/>
      <c r="V20" s="19"/>
      <c r="W20" s="19"/>
      <c r="X20" s="19"/>
      <c r="Y20" s="19"/>
      <c r="Z20" s="19"/>
      <c r="AA20" s="48"/>
      <c r="AB20" s="48"/>
      <c r="AC20" s="48"/>
      <c r="AD20" s="48"/>
      <c r="AE20" s="48"/>
      <c r="AF20" s="20" t="str">
        <f aca="false">IF(AA20="","",IFERROR(IF(ABS(ABS(AA20)-ABS('Q8.8 Ans'!AA20))&lt;0.5,"✓","✗"),"✗"))</f>
        <v/>
      </c>
    </row>
    <row r="21" customFormat="false" ht="17.25" hidden="false" customHeight="true" outlineLevel="0" collapsed="false">
      <c r="B21" s="19"/>
      <c r="C21" s="19"/>
      <c r="D21" s="19"/>
      <c r="E21" s="23" t="s">
        <v>113</v>
      </c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23"/>
      <c r="S21" s="23"/>
      <c r="T21" s="23"/>
      <c r="U21" s="19"/>
      <c r="V21" s="19"/>
      <c r="W21" s="19"/>
      <c r="X21" s="19"/>
      <c r="Y21" s="19"/>
      <c r="Z21" s="19"/>
      <c r="AA21" s="19"/>
      <c r="AB21" s="19"/>
      <c r="AC21" s="19"/>
      <c r="AD21" s="19"/>
      <c r="AE21" s="19"/>
      <c r="AF21" s="19"/>
    </row>
    <row r="23" customFormat="false" ht="18.75" hidden="false" customHeight="true" outlineLevel="0" collapsed="false">
      <c r="B23" s="3" t="s">
        <v>114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</row>
    <row r="24" customFormat="false" ht="15" hidden="false" customHeight="false" outlineLevel="0" collapsed="false">
      <c r="B24" s="24" t="s">
        <v>53</v>
      </c>
      <c r="C24" s="24"/>
      <c r="D24" s="24"/>
      <c r="E24" s="25" t="s">
        <v>61</v>
      </c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6" t="s">
        <v>55</v>
      </c>
      <c r="AE24" s="26"/>
      <c r="AF24" s="26"/>
    </row>
    <row r="25" customFormat="false" ht="15" hidden="false" customHeight="false" outlineLevel="0" collapsed="false">
      <c r="B25" s="27" t="s">
        <v>43</v>
      </c>
      <c r="C25" s="27"/>
      <c r="D25" s="27"/>
      <c r="E25" s="27" t="s">
        <v>44</v>
      </c>
      <c r="F25" s="27"/>
      <c r="G25" s="27"/>
      <c r="H25" s="27"/>
      <c r="I25" s="27"/>
      <c r="J25" s="27"/>
      <c r="K25" s="27"/>
      <c r="L25" s="28" t="s">
        <v>56</v>
      </c>
      <c r="M25" s="29" t="s">
        <v>57</v>
      </c>
      <c r="N25" s="29"/>
      <c r="O25" s="29"/>
      <c r="P25" s="29"/>
      <c r="Q25" s="30"/>
      <c r="R25" s="31" t="s">
        <v>43</v>
      </c>
      <c r="S25" s="31"/>
      <c r="T25" s="31"/>
      <c r="U25" s="27" t="s">
        <v>44</v>
      </c>
      <c r="V25" s="27"/>
      <c r="W25" s="27"/>
      <c r="X25" s="27"/>
      <c r="Y25" s="27"/>
      <c r="Z25" s="27"/>
      <c r="AA25" s="27"/>
      <c r="AB25" s="28" t="s">
        <v>56</v>
      </c>
      <c r="AC25" s="29" t="s">
        <v>57</v>
      </c>
      <c r="AD25" s="29"/>
      <c r="AE25" s="29"/>
      <c r="AF25" s="29"/>
    </row>
    <row r="26" customFormat="false" ht="16.5" hidden="false" customHeight="true" outlineLevel="0" collapsed="false">
      <c r="B26" s="32" t="s">
        <v>47</v>
      </c>
      <c r="C26" s="32"/>
      <c r="D26" s="32"/>
      <c r="M26" s="33" t="s">
        <v>48</v>
      </c>
      <c r="N26" s="33"/>
      <c r="O26" s="33"/>
      <c r="R26" s="34" t="s">
        <v>47</v>
      </c>
      <c r="S26" s="34"/>
      <c r="T26" s="34"/>
      <c r="AC26" s="33" t="s">
        <v>48</v>
      </c>
      <c r="AD26" s="33"/>
      <c r="AE26" s="33"/>
    </row>
    <row r="27" customFormat="false" ht="17.25" hidden="false" customHeight="true" outlineLevel="0" collapsed="false">
      <c r="B27" s="6" t="s">
        <v>109</v>
      </c>
      <c r="C27" s="6"/>
      <c r="D27" s="6"/>
      <c r="E27" s="35" t="s">
        <v>110</v>
      </c>
      <c r="F27" s="35"/>
      <c r="G27" s="35"/>
      <c r="H27" s="35"/>
      <c r="I27" s="35"/>
      <c r="J27" s="35"/>
      <c r="K27" s="35"/>
      <c r="L27" s="36" t="s">
        <v>60</v>
      </c>
      <c r="M27" s="48"/>
      <c r="N27" s="48"/>
      <c r="O27" s="48"/>
      <c r="P27" s="49" t="str">
        <f aca="false">IF(M27="","",IFERROR(IF(ABS(ABS(M27)-ABS('Q8.8 Ans'!M27))&lt;0.5,"✓","✗"),"✗"))</f>
        <v/>
      </c>
      <c r="R27" s="37" t="s">
        <v>62</v>
      </c>
      <c r="S27" s="37"/>
      <c r="T27" s="37"/>
      <c r="U27" s="35" t="s">
        <v>63</v>
      </c>
      <c r="V27" s="35"/>
      <c r="W27" s="35"/>
      <c r="X27" s="35"/>
      <c r="Y27" s="35"/>
      <c r="Z27" s="35"/>
      <c r="AA27" s="35"/>
      <c r="AB27" s="36" t="s">
        <v>64</v>
      </c>
      <c r="AC27" s="48"/>
      <c r="AD27" s="48"/>
      <c r="AE27" s="48"/>
      <c r="AF27" s="49" t="str">
        <f aca="false">IF(AC27="","",IFERROR(IF(ABS(ABS(AC27)-ABS('Q8.8 Ans'!AC27))&lt;0.5,"✓","✗"),"✗"))</f>
        <v/>
      </c>
    </row>
    <row r="28" customFormat="false" ht="17.25" hidden="false" customHeight="true" outlineLevel="0" collapsed="false">
      <c r="B28" s="6" t="s">
        <v>111</v>
      </c>
      <c r="C28" s="6"/>
      <c r="D28" s="6"/>
      <c r="E28" s="35" t="s">
        <v>112</v>
      </c>
      <c r="F28" s="35"/>
      <c r="G28" s="35"/>
      <c r="H28" s="35"/>
      <c r="I28" s="35"/>
      <c r="J28" s="35"/>
      <c r="K28" s="35"/>
      <c r="L28" s="36" t="s">
        <v>60</v>
      </c>
      <c r="M28" s="48"/>
      <c r="N28" s="48"/>
      <c r="O28" s="48"/>
      <c r="P28" s="49" t="str">
        <f aca="false">IF(M28="","",IFERROR(IF(ABS(ABS(M28)-ABS('Q8.8 Ans'!M28))&lt;0.5,"✓","✗"),"✗"))</f>
        <v/>
      </c>
      <c r="R28" s="43"/>
    </row>
    <row r="29" customFormat="false" ht="16.5" hidden="false" customHeight="true" outlineLevel="0" collapsed="false">
      <c r="M29" s="50"/>
      <c r="N29" s="50"/>
      <c r="O29" s="50"/>
      <c r="P29" s="49" t="str">
        <f aca="false">IF(M29="","",IFERROR(IF(ABS(ABS(M29)-ABS('Q8.8 Ans'!M29))&lt;0.5,"✓","✗"),"✗"))</f>
        <v/>
      </c>
      <c r="R29" s="43"/>
      <c r="AC29" s="50"/>
      <c r="AD29" s="50"/>
      <c r="AE29" s="50"/>
      <c r="AF29" s="49" t="str">
        <f aca="false">IF(AC29="","",IFERROR(IF(ABS(ABS(AC29)-ABS('Q8.8 Ans'!AC29))&lt;0.5,"✓","✗"),"✗"))</f>
        <v/>
      </c>
    </row>
    <row r="31" customFormat="false" ht="18.75" hidden="false" customHeight="true" outlineLevel="0" collapsed="false">
      <c r="B31" s="3" t="s">
        <v>115</v>
      </c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</row>
    <row r="32" customFormat="false" ht="17.25" hidden="false" customHeight="true" outlineLevel="0" collapsed="false">
      <c r="B32" s="51" t="s">
        <v>116</v>
      </c>
      <c r="C32" s="51"/>
      <c r="D32" s="51"/>
      <c r="E32" s="51"/>
      <c r="F32" s="51"/>
      <c r="G32" s="51"/>
      <c r="H32" s="51"/>
      <c r="I32" s="51"/>
      <c r="J32" s="51"/>
      <c r="K32" s="51"/>
      <c r="L32" s="51"/>
      <c r="M32" s="51"/>
      <c r="N32" s="51"/>
      <c r="O32" s="51"/>
      <c r="P32" s="51"/>
      <c r="Q32" s="51"/>
      <c r="R32" s="51"/>
      <c r="S32" s="51"/>
      <c r="T32" s="51"/>
      <c r="U32" s="51"/>
      <c r="V32" s="51"/>
      <c r="W32" s="51"/>
      <c r="X32" s="48"/>
      <c r="Y32" s="48"/>
      <c r="Z32" s="48"/>
      <c r="AA32" s="48"/>
      <c r="AB32" s="48"/>
      <c r="AC32" s="49" t="str">
        <f aca="false">IF(X32="","",IFERROR(IF(ABS(ABS(X32)-ABS('Q8.8 Ans'!X32))&lt;0.5,"✓","✗"),"✗"))</f>
        <v/>
      </c>
    </row>
    <row r="33" customFormat="false" ht="17.25" hidden="false" customHeight="true" outlineLevel="0" collapsed="false">
      <c r="B33" s="51" t="s">
        <v>117</v>
      </c>
      <c r="C33" s="51"/>
      <c r="D33" s="51"/>
      <c r="E33" s="51"/>
      <c r="F33" s="51"/>
      <c r="G33" s="51"/>
      <c r="H33" s="51"/>
      <c r="I33" s="51"/>
      <c r="J33" s="51"/>
      <c r="K33" s="51"/>
      <c r="L33" s="51"/>
      <c r="M33" s="51"/>
      <c r="N33" s="51"/>
      <c r="O33" s="51"/>
      <c r="P33" s="51"/>
      <c r="Q33" s="51"/>
      <c r="R33" s="51"/>
      <c r="S33" s="51"/>
      <c r="T33" s="51"/>
      <c r="U33" s="51"/>
      <c r="V33" s="51"/>
      <c r="W33" s="51"/>
      <c r="X33" s="48"/>
      <c r="Y33" s="48"/>
      <c r="Z33" s="48"/>
      <c r="AA33" s="48"/>
      <c r="AB33" s="48"/>
      <c r="AC33" s="49" t="str">
        <f aca="false">IF(X33="","",IFERROR(IF(ABS(ABS(X33)-ABS('Q8.8 Ans'!X33))&lt;0.5,"✓","✗"),"✗"))</f>
        <v/>
      </c>
    </row>
  </sheetData>
  <mergeCells count="76">
    <mergeCell ref="B1:AF1"/>
    <mergeCell ref="B2:AF2"/>
    <mergeCell ref="B3:G3"/>
    <mergeCell ref="H3:AF3"/>
    <mergeCell ref="B5:AF5"/>
    <mergeCell ref="C6:AF6"/>
    <mergeCell ref="C7:AF7"/>
    <mergeCell ref="B8:W8"/>
    <mergeCell ref="X8:AC8"/>
    <mergeCell ref="B9:W9"/>
    <mergeCell ref="X9:AC9"/>
    <mergeCell ref="B10:W10"/>
    <mergeCell ref="X10:AC10"/>
    <mergeCell ref="B13:AF13"/>
    <mergeCell ref="B14:D14"/>
    <mergeCell ref="E14:T14"/>
    <mergeCell ref="U14:Z14"/>
    <mergeCell ref="AA14:AF14"/>
    <mergeCell ref="B15:D15"/>
    <mergeCell ref="E15:T15"/>
    <mergeCell ref="U15:Z15"/>
    <mergeCell ref="AA15:AF15"/>
    <mergeCell ref="B16:D16"/>
    <mergeCell ref="E16:T16"/>
    <mergeCell ref="U16:Y16"/>
    <mergeCell ref="AA16:AF16"/>
    <mergeCell ref="B17:D17"/>
    <mergeCell ref="E17:T17"/>
    <mergeCell ref="U17:Z17"/>
    <mergeCell ref="AA17:AE17"/>
    <mergeCell ref="B18:D18"/>
    <mergeCell ref="E18:T18"/>
    <mergeCell ref="U18:Z18"/>
    <mergeCell ref="AA18:AF18"/>
    <mergeCell ref="B19:D19"/>
    <mergeCell ref="E19:T19"/>
    <mergeCell ref="U19:Y19"/>
    <mergeCell ref="AA19:AF19"/>
    <mergeCell ref="B20:D20"/>
    <mergeCell ref="E20:T20"/>
    <mergeCell ref="U20:Z20"/>
    <mergeCell ref="AA20:AE20"/>
    <mergeCell ref="B21:D21"/>
    <mergeCell ref="E21:T21"/>
    <mergeCell ref="U21:Z21"/>
    <mergeCell ref="AA21:AF21"/>
    <mergeCell ref="B23:AF23"/>
    <mergeCell ref="B24:D24"/>
    <mergeCell ref="E24:AC24"/>
    <mergeCell ref="AD24:AF24"/>
    <mergeCell ref="B25:D25"/>
    <mergeCell ref="E25:K25"/>
    <mergeCell ref="M25:P25"/>
    <mergeCell ref="R25:T25"/>
    <mergeCell ref="U25:AA25"/>
    <mergeCell ref="AC25:AF25"/>
    <mergeCell ref="B26:D26"/>
    <mergeCell ref="M26:O26"/>
    <mergeCell ref="R26:T26"/>
    <mergeCell ref="AC26:AE26"/>
    <mergeCell ref="B27:D27"/>
    <mergeCell ref="E27:K27"/>
    <mergeCell ref="M27:O27"/>
    <mergeCell ref="R27:T27"/>
    <mergeCell ref="U27:AA27"/>
    <mergeCell ref="AC27:AE27"/>
    <mergeCell ref="B28:D28"/>
    <mergeCell ref="E28:K28"/>
    <mergeCell ref="M28:O28"/>
    <mergeCell ref="M29:O29"/>
    <mergeCell ref="AC29:AE29"/>
    <mergeCell ref="B31:AF31"/>
    <mergeCell ref="B32:W32"/>
    <mergeCell ref="X32:AB32"/>
    <mergeCell ref="B33:W33"/>
    <mergeCell ref="X33:AB33"/>
  </mergeCells>
  <conditionalFormatting sqref="B4:AG34">
    <cfRule type="cellIs" priority="2" operator="equal" aboveAverage="0" equalAverage="0" bottom="0" percent="0" rank="0" text="" dxfId="0">
      <formula>"✓"</formula>
    </cfRule>
    <cfRule type="cellIs" priority="3" operator="equal" aboveAverage="0" equalAverage="0" bottom="0" percent="0" rank="0" text="" dxfId="1">
      <formula>"✗"</formula>
    </cfRule>
  </conditionalFormatting>
  <printOptions headings="false" gridLines="false" gridLinesSet="true" horizontalCentered="false" verticalCentered="false"/>
  <pageMargins left="0.4" right="0.4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597"/>
    <pageSetUpPr fitToPage="true"/>
  </sheetPr>
  <dimension ref="B1:AF34"/>
  <sheetViews>
    <sheetView showFormulas="false" showGridLines="fals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34" min="2" style="0" width="4.6"/>
  </cols>
  <sheetData>
    <row r="1" customFormat="false" ht="25.5" hidden="false" customHeight="true" outlineLevel="0" collapsed="false">
      <c r="B1" s="1" t="s">
        <v>118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</row>
    <row r="2" customFormat="false" ht="15" hidden="false" customHeight="false" outlineLevel="0" collapsed="false">
      <c r="B2" s="14" t="s">
        <v>100</v>
      </c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</row>
    <row r="3" customFormat="false" ht="15" hidden="false" customHeight="false" outlineLevel="0" collapsed="false">
      <c r="B3" s="24" t="s">
        <v>101</v>
      </c>
      <c r="C3" s="24"/>
      <c r="D3" s="24"/>
      <c r="E3" s="24"/>
      <c r="F3" s="24"/>
      <c r="G3" s="24"/>
      <c r="H3" s="24" t="str">
        <f aca="false">COUNTIF(B4:AG35,"✓")&amp;" correct out of 9 answer cells"</f>
        <v>0 correct out of 9 answer cells</v>
      </c>
      <c r="I3" s="24"/>
      <c r="J3" s="24"/>
      <c r="K3" s="24"/>
      <c r="L3" s="24"/>
      <c r="M3" s="24"/>
      <c r="N3" s="24"/>
      <c r="O3" s="24"/>
      <c r="P3" s="24"/>
      <c r="Q3" s="24"/>
      <c r="R3" s="24"/>
      <c r="S3" s="24"/>
      <c r="T3" s="24"/>
      <c r="U3" s="24"/>
      <c r="V3" s="24"/>
      <c r="W3" s="24"/>
      <c r="X3" s="24"/>
      <c r="Y3" s="24"/>
      <c r="Z3" s="24"/>
      <c r="AA3" s="24"/>
      <c r="AB3" s="24"/>
      <c r="AC3" s="24"/>
      <c r="AD3" s="24"/>
      <c r="AE3" s="24"/>
      <c r="AF3" s="24"/>
    </row>
    <row r="5" customFormat="false" ht="30" hidden="false" customHeight="true" outlineLevel="0" collapsed="false">
      <c r="B5" s="4" t="s">
        <v>119</v>
      </c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</row>
    <row r="6" customFormat="false" ht="15" hidden="false" customHeight="false" outlineLevel="0" collapsed="false">
      <c r="B6" s="15" t="s">
        <v>105</v>
      </c>
      <c r="C6" s="15"/>
      <c r="D6" s="15"/>
      <c r="E6" s="15"/>
      <c r="F6" s="15"/>
      <c r="G6" s="15"/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6" t="s">
        <v>39</v>
      </c>
      <c r="Y6" s="16"/>
      <c r="Z6" s="16"/>
      <c r="AA6" s="16"/>
      <c r="AB6" s="16"/>
      <c r="AC6" s="16"/>
    </row>
    <row r="7" customFormat="false" ht="16.5" hidden="false" customHeight="true" outlineLevel="0" collapsed="false">
      <c r="B7" s="12" t="s">
        <v>120</v>
      </c>
      <c r="C7" s="12"/>
      <c r="D7" s="12"/>
      <c r="E7" s="12"/>
      <c r="F7" s="12"/>
      <c r="G7" s="12"/>
      <c r="H7" s="12"/>
      <c r="I7" s="12"/>
      <c r="J7" s="12"/>
      <c r="K7" s="12"/>
      <c r="L7" s="12"/>
      <c r="M7" s="12"/>
      <c r="N7" s="12"/>
      <c r="O7" s="12"/>
      <c r="P7" s="12"/>
      <c r="Q7" s="12"/>
      <c r="R7" s="12"/>
      <c r="S7" s="12"/>
      <c r="T7" s="12"/>
      <c r="U7" s="12"/>
      <c r="V7" s="12"/>
      <c r="W7" s="12"/>
      <c r="X7" s="17" t="n">
        <v>24000</v>
      </c>
      <c r="Y7" s="17"/>
      <c r="Z7" s="17"/>
      <c r="AA7" s="17"/>
      <c r="AB7" s="17"/>
      <c r="AC7" s="17"/>
    </row>
    <row r="8" customFormat="false" ht="16.5" hidden="false" customHeight="true" outlineLevel="0" collapsed="false">
      <c r="B8" s="12" t="s">
        <v>121</v>
      </c>
      <c r="C8" s="12"/>
      <c r="D8" s="12"/>
      <c r="E8" s="12"/>
      <c r="F8" s="12"/>
      <c r="G8" s="12"/>
      <c r="H8" s="12"/>
      <c r="I8" s="12"/>
      <c r="J8" s="12"/>
      <c r="K8" s="12"/>
      <c r="L8" s="12"/>
      <c r="M8" s="12"/>
      <c r="N8" s="12"/>
      <c r="O8" s="12"/>
      <c r="P8" s="12"/>
      <c r="Q8" s="12"/>
      <c r="R8" s="12"/>
      <c r="S8" s="12"/>
      <c r="T8" s="12"/>
      <c r="U8" s="12"/>
      <c r="V8" s="12"/>
      <c r="W8" s="12"/>
      <c r="X8" s="17" t="n">
        <v>800</v>
      </c>
      <c r="Y8" s="17"/>
      <c r="Z8" s="17"/>
      <c r="AA8" s="17"/>
      <c r="AB8" s="17"/>
      <c r="AC8" s="17"/>
    </row>
    <row r="9" customFormat="false" ht="16.5" hidden="false" customHeight="true" outlineLevel="0" collapsed="false">
      <c r="B9" s="12" t="s">
        <v>78</v>
      </c>
      <c r="C9" s="12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39" t="n">
        <v>0.05</v>
      </c>
      <c r="Y9" s="39"/>
      <c r="Z9" s="39"/>
      <c r="AA9" s="39"/>
      <c r="AB9" s="39"/>
      <c r="AC9" s="39"/>
    </row>
    <row r="12" customFormat="false" ht="18.75" hidden="false" customHeight="true" outlineLevel="0" collapsed="false">
      <c r="B12" s="3" t="s">
        <v>122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</row>
    <row r="13" customFormat="false" ht="17.25" hidden="false" customHeight="true" outlineLevel="0" collapsed="false">
      <c r="B13" s="51" t="s">
        <v>123</v>
      </c>
      <c r="C13" s="51"/>
      <c r="D13" s="51"/>
      <c r="E13" s="51"/>
      <c r="F13" s="51"/>
      <c r="G13" s="51"/>
      <c r="H13" s="51"/>
      <c r="I13" s="51"/>
      <c r="J13" s="51"/>
      <c r="K13" s="51"/>
      <c r="L13" s="51"/>
      <c r="M13" s="51"/>
      <c r="N13" s="51"/>
      <c r="O13" s="51"/>
      <c r="P13" s="51"/>
      <c r="Q13" s="51"/>
      <c r="R13" s="51"/>
      <c r="S13" s="51"/>
      <c r="T13" s="51"/>
      <c r="U13" s="51"/>
      <c r="V13" s="51"/>
      <c r="W13" s="51"/>
      <c r="X13" s="48"/>
      <c r="Y13" s="48"/>
      <c r="Z13" s="48"/>
      <c r="AA13" s="48"/>
      <c r="AB13" s="48"/>
      <c r="AC13" s="49" t="str">
        <f aca="false">IF(X13="","",IFERROR(IF(ABS(ABS(X13)-ABS('Q8.9 Ans'!X13))&lt;0.5,"✓","✗"),"✗"))</f>
        <v/>
      </c>
    </row>
    <row r="15" customFormat="false" ht="18.75" hidden="false" customHeight="true" outlineLevel="0" collapsed="false">
      <c r="B15" s="3" t="s">
        <v>124</v>
      </c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</row>
    <row r="16" customFormat="false" ht="17.25" hidden="false" customHeight="true" outlineLevel="0" collapsed="false">
      <c r="B16" s="51" t="s">
        <v>125</v>
      </c>
      <c r="C16" s="51"/>
      <c r="D16" s="51"/>
      <c r="E16" s="51"/>
      <c r="F16" s="51"/>
      <c r="G16" s="51"/>
      <c r="H16" s="51"/>
      <c r="I16" s="51"/>
      <c r="J16" s="51"/>
      <c r="K16" s="51"/>
      <c r="L16" s="51"/>
      <c r="M16" s="51"/>
      <c r="N16" s="51"/>
      <c r="O16" s="51"/>
      <c r="P16" s="51"/>
      <c r="Q16" s="51"/>
      <c r="R16" s="51"/>
      <c r="S16" s="51"/>
      <c r="T16" s="51"/>
      <c r="U16" s="51"/>
      <c r="V16" s="51"/>
      <c r="W16" s="51"/>
      <c r="X16" s="48"/>
      <c r="Y16" s="48"/>
      <c r="Z16" s="48"/>
      <c r="AA16" s="48"/>
      <c r="AB16" s="48"/>
      <c r="AC16" s="49" t="str">
        <f aca="false">IF(X16="","",IFERROR(IF(ABS(ABS(X16)-ABS('Q8.9 Ans'!X16))&lt;0.5,"✓","✗"),"✗"))</f>
        <v/>
      </c>
    </row>
    <row r="18" customFormat="false" ht="18.75" hidden="false" customHeight="true" outlineLevel="0" collapsed="false">
      <c r="B18" s="3" t="s">
        <v>126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</row>
    <row r="19" customFormat="false" ht="15" hidden="false" customHeight="false" outlineLevel="0" collapsed="false">
      <c r="B19" s="25" t="s">
        <v>127</v>
      </c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</row>
    <row r="20" customFormat="false" ht="15" hidden="false" customHeight="false" outlineLevel="0" collapsed="false">
      <c r="B20" s="44"/>
      <c r="C20" s="44"/>
      <c r="D20" s="44"/>
      <c r="E20" s="15" t="s">
        <v>44</v>
      </c>
      <c r="F20" s="15"/>
      <c r="G20" s="15"/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6" t="s">
        <v>48</v>
      </c>
      <c r="S20" s="16"/>
      <c r="T20" s="16"/>
      <c r="U20" s="16"/>
      <c r="V20" s="16"/>
      <c r="W20" s="16" t="s">
        <v>48</v>
      </c>
      <c r="X20" s="16"/>
      <c r="Y20" s="16"/>
      <c r="Z20" s="16"/>
      <c r="AA20" s="16"/>
      <c r="AB20" s="16" t="s">
        <v>48</v>
      </c>
      <c r="AC20" s="16"/>
      <c r="AD20" s="16"/>
      <c r="AE20" s="16"/>
      <c r="AF20" s="16"/>
    </row>
    <row r="21" customFormat="false" ht="17.25" hidden="false" customHeight="true" outlineLevel="0" collapsed="false">
      <c r="B21" s="45" t="s">
        <v>97</v>
      </c>
      <c r="C21" s="45"/>
      <c r="D21" s="45"/>
      <c r="E21" s="46" t="s">
        <v>128</v>
      </c>
      <c r="F21" s="46"/>
      <c r="G21" s="46"/>
      <c r="H21" s="46"/>
      <c r="I21" s="46"/>
      <c r="J21" s="46"/>
      <c r="K21" s="46"/>
      <c r="L21" s="46"/>
      <c r="M21" s="46"/>
      <c r="N21" s="46"/>
      <c r="O21" s="46"/>
      <c r="P21" s="46"/>
      <c r="Q21" s="46"/>
    </row>
    <row r="22" customFormat="false" ht="17.25" hidden="false" customHeight="true" outlineLevel="0" collapsed="false">
      <c r="B22" s="45"/>
      <c r="C22" s="45"/>
      <c r="D22" s="45"/>
      <c r="E22" s="35" t="s">
        <v>50</v>
      </c>
      <c r="F22" s="35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W22" s="48"/>
      <c r="X22" s="48"/>
      <c r="Y22" s="48"/>
      <c r="Z22" s="48"/>
      <c r="AA22" s="49" t="str">
        <f aca="false">IF(W22="","",IFERROR(IF(ABS(ABS(W22)-ABS('Q8.9 Ans'!W22))&lt;0.5,"✓","✗"),"✗"))</f>
        <v/>
      </c>
    </row>
    <row r="23" customFormat="false" ht="17.25" hidden="false" customHeight="true" outlineLevel="0" collapsed="false">
      <c r="B23" s="45"/>
      <c r="C23" s="45"/>
      <c r="D23" s="45"/>
      <c r="E23" s="35" t="s">
        <v>129</v>
      </c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W23" s="52"/>
      <c r="X23" s="52"/>
      <c r="Y23" s="52"/>
      <c r="Z23" s="52"/>
      <c r="AA23" s="49" t="str">
        <f aca="false">IF(W23="","",IFERROR(IF(ABS(ABS(W23)-ABS('Q8.9 Ans'!W23))&lt;0.5,"✓","✗"),"✗"))</f>
        <v/>
      </c>
      <c r="AB23" s="48"/>
      <c r="AC23" s="48"/>
      <c r="AD23" s="48"/>
      <c r="AE23" s="48"/>
      <c r="AF23" s="49" t="str">
        <f aca="false">IF(AB23="","",IFERROR(IF(ABS(ABS(AB23)-ABS('Q8.9 Ans'!AB23))&lt;0.5,"✓","✗"),"✗"))</f>
        <v/>
      </c>
    </row>
    <row r="25" customFormat="false" ht="18.75" hidden="false" customHeight="true" outlineLevel="0" collapsed="false">
      <c r="B25" s="3" t="s">
        <v>130</v>
      </c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</row>
    <row r="26" customFormat="false" ht="15" hidden="false" customHeight="false" outlineLevel="0" collapsed="false">
      <c r="B26" s="25" t="s">
        <v>91</v>
      </c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</row>
    <row r="27" customFormat="false" ht="15" hidden="false" customHeight="false" outlineLevel="0" collapsed="false">
      <c r="B27" s="44"/>
      <c r="C27" s="44"/>
      <c r="D27" s="44"/>
      <c r="E27" s="15" t="s">
        <v>44</v>
      </c>
      <c r="F27" s="15"/>
      <c r="G27" s="15"/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6" t="s">
        <v>48</v>
      </c>
      <c r="S27" s="16"/>
      <c r="T27" s="16"/>
      <c r="U27" s="16"/>
      <c r="V27" s="16"/>
      <c r="W27" s="16" t="s">
        <v>48</v>
      </c>
      <c r="X27" s="16"/>
      <c r="Y27" s="16"/>
      <c r="Z27" s="16"/>
      <c r="AA27" s="16"/>
      <c r="AB27" s="16" t="s">
        <v>48</v>
      </c>
      <c r="AC27" s="16"/>
      <c r="AD27" s="16"/>
      <c r="AE27" s="16"/>
      <c r="AF27" s="16"/>
    </row>
    <row r="28" customFormat="false" ht="30" hidden="false" customHeight="true" outlineLevel="0" collapsed="false"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4"/>
      <c r="P28" s="44"/>
      <c r="Q28" s="44"/>
      <c r="R28" s="11" t="s">
        <v>92</v>
      </c>
      <c r="S28" s="11"/>
      <c r="T28" s="11"/>
      <c r="U28" s="11"/>
      <c r="V28" s="11"/>
      <c r="W28" s="11" t="s">
        <v>93</v>
      </c>
      <c r="X28" s="11"/>
      <c r="Y28" s="11"/>
      <c r="Z28" s="11"/>
      <c r="AA28" s="11"/>
      <c r="AB28" s="11" t="s">
        <v>94</v>
      </c>
      <c r="AC28" s="11"/>
      <c r="AD28" s="11"/>
      <c r="AE28" s="11"/>
      <c r="AF28" s="11"/>
    </row>
    <row r="29" customFormat="false" ht="17.25" hidden="false" customHeight="true" outlineLevel="0" collapsed="false">
      <c r="B29" s="45"/>
      <c r="C29" s="45"/>
      <c r="D29" s="45"/>
      <c r="E29" s="46" t="s">
        <v>95</v>
      </c>
      <c r="F29" s="46"/>
      <c r="G29" s="46"/>
      <c r="H29" s="46"/>
      <c r="I29" s="46"/>
      <c r="J29" s="46"/>
      <c r="K29" s="46"/>
      <c r="L29" s="46"/>
      <c r="M29" s="46"/>
      <c r="N29" s="46"/>
      <c r="O29" s="46"/>
      <c r="P29" s="46"/>
      <c r="Q29" s="46"/>
    </row>
    <row r="30" customFormat="false" ht="17.25" hidden="false" customHeight="true" outlineLevel="0" collapsed="false">
      <c r="B30" s="45"/>
      <c r="C30" s="45"/>
      <c r="D30" s="45"/>
      <c r="E30" s="35" t="s">
        <v>96</v>
      </c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48"/>
      <c r="S30" s="48"/>
      <c r="T30" s="48"/>
      <c r="U30" s="48"/>
      <c r="V30" s="49" t="str">
        <f aca="false">IF(R30="","",IFERROR(IF(ABS(ABS(R30)-ABS('Q8.9 Ans'!R30))&lt;0.5,"✓","✗"),"✗"))</f>
        <v/>
      </c>
    </row>
    <row r="31" customFormat="false" ht="17.25" hidden="false" customHeight="true" outlineLevel="0" collapsed="false">
      <c r="B31" s="45" t="s">
        <v>97</v>
      </c>
      <c r="C31" s="45"/>
      <c r="D31" s="45"/>
      <c r="E31" s="35" t="s">
        <v>98</v>
      </c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52"/>
      <c r="S31" s="52"/>
      <c r="T31" s="52"/>
      <c r="U31" s="52"/>
      <c r="V31" s="49" t="str">
        <f aca="false">IF(R31="","",IFERROR(IF(ABS(ABS(R31)-ABS('Q8.9 Ans'!R31))&lt;0.5,"✓","✗"),"✗"))</f>
        <v/>
      </c>
      <c r="W31" s="48"/>
      <c r="X31" s="48"/>
      <c r="Y31" s="48"/>
      <c r="Z31" s="48"/>
      <c r="AA31" s="49" t="str">
        <f aca="false">IF(W31="","",IFERROR(IF(ABS(ABS(W31)-ABS('Q8.9 Ans'!W31))&lt;0.5,"✓","✗"),"✗"))</f>
        <v/>
      </c>
    </row>
    <row r="33" customFormat="false" ht="18.75" hidden="false" customHeight="true" outlineLevel="0" collapsed="false">
      <c r="B33" s="3" t="s">
        <v>131</v>
      </c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</row>
    <row r="34" customFormat="false" ht="17.25" hidden="false" customHeight="true" outlineLevel="0" collapsed="false">
      <c r="B34" s="51" t="s">
        <v>132</v>
      </c>
      <c r="C34" s="51"/>
      <c r="D34" s="51"/>
      <c r="E34" s="51"/>
      <c r="F34" s="51"/>
      <c r="G34" s="51"/>
      <c r="H34" s="51"/>
      <c r="I34" s="51"/>
      <c r="J34" s="51"/>
      <c r="K34" s="51"/>
      <c r="L34" s="51"/>
      <c r="M34" s="51"/>
      <c r="N34" s="51"/>
      <c r="O34" s="51"/>
      <c r="P34" s="51"/>
      <c r="Q34" s="51"/>
      <c r="R34" s="51"/>
      <c r="S34" s="51"/>
      <c r="T34" s="53"/>
      <c r="U34" s="53"/>
      <c r="V34" s="53"/>
      <c r="W34" s="53"/>
      <c r="X34" s="53"/>
      <c r="Y34" s="53"/>
      <c r="Z34" s="53"/>
      <c r="AA34" s="53"/>
      <c r="AB34" s="53"/>
      <c r="AC34" s="54" t="str">
        <f aca="false">IF(T34="","",IF(LOWER(TRIM(T34))=LOWER('Q8.9 Ans'!T34),"✓","✗"))</f>
        <v/>
      </c>
    </row>
  </sheetData>
  <mergeCells count="59">
    <mergeCell ref="B1:AF1"/>
    <mergeCell ref="B2:AF2"/>
    <mergeCell ref="B3:G3"/>
    <mergeCell ref="H3:AF3"/>
    <mergeCell ref="B5:AF5"/>
    <mergeCell ref="B6:W6"/>
    <mergeCell ref="X6:AC6"/>
    <mergeCell ref="B7:W7"/>
    <mergeCell ref="X7:AC7"/>
    <mergeCell ref="B8:W8"/>
    <mergeCell ref="X8:AC8"/>
    <mergeCell ref="B9:W9"/>
    <mergeCell ref="X9:AC9"/>
    <mergeCell ref="B12:AF12"/>
    <mergeCell ref="B13:W13"/>
    <mergeCell ref="X13:AB13"/>
    <mergeCell ref="B15:AF15"/>
    <mergeCell ref="B16:W16"/>
    <mergeCell ref="X16:AB16"/>
    <mergeCell ref="B18:AF18"/>
    <mergeCell ref="B19:AF19"/>
    <mergeCell ref="B20:D20"/>
    <mergeCell ref="E20:Q20"/>
    <mergeCell ref="R20:V20"/>
    <mergeCell ref="W20:AA20"/>
    <mergeCell ref="AB20:AF20"/>
    <mergeCell ref="B21:D21"/>
    <mergeCell ref="E21:Q21"/>
    <mergeCell ref="B22:D22"/>
    <mergeCell ref="E22:Q22"/>
    <mergeCell ref="W22:Z22"/>
    <mergeCell ref="B23:D23"/>
    <mergeCell ref="E23:Q23"/>
    <mergeCell ref="W23:Z23"/>
    <mergeCell ref="AB23:AE23"/>
    <mergeCell ref="B25:AF25"/>
    <mergeCell ref="B26:AF26"/>
    <mergeCell ref="B27:D27"/>
    <mergeCell ref="E27:Q27"/>
    <mergeCell ref="R27:V27"/>
    <mergeCell ref="W27:AA27"/>
    <mergeCell ref="AB27:AF27"/>
    <mergeCell ref="B28:D28"/>
    <mergeCell ref="E28:Q28"/>
    <mergeCell ref="R28:V28"/>
    <mergeCell ref="W28:AA28"/>
    <mergeCell ref="AB28:AF28"/>
    <mergeCell ref="B29:D29"/>
    <mergeCell ref="E29:Q29"/>
    <mergeCell ref="B30:D30"/>
    <mergeCell ref="E30:Q30"/>
    <mergeCell ref="R30:U30"/>
    <mergeCell ref="B31:D31"/>
    <mergeCell ref="E31:Q31"/>
    <mergeCell ref="R31:U31"/>
    <mergeCell ref="W31:Z31"/>
    <mergeCell ref="B33:AF33"/>
    <mergeCell ref="B34:S34"/>
    <mergeCell ref="T34:AB34"/>
  </mergeCells>
  <conditionalFormatting sqref="B4:AG35">
    <cfRule type="cellIs" priority="2" operator="equal" aboveAverage="0" equalAverage="0" bottom="0" percent="0" rank="0" text="" dxfId="0">
      <formula>"✓"</formula>
    </cfRule>
    <cfRule type="cellIs" priority="3" operator="equal" aboveAverage="0" equalAverage="0" bottom="0" percent="0" rank="0" text="" dxfId="1">
      <formula>"✗"</formula>
    </cfRule>
  </conditionalFormatting>
  <dataValidations count="1">
    <dataValidation allowBlank="true" errorStyle="stop" operator="between" showDropDown="false" showErrorMessage="false" showInputMessage="false" sqref="T34" type="list">
      <formula1>"Business entity,Duality,Money measurement,Historical cost,Going concern,Realisation,Accruals,Consistency,Prudence,Materiality"</formula1>
      <formula2>0</formula2>
    </dataValidation>
  </dataValidations>
  <printOptions headings="false" gridLines="false" gridLinesSet="true" horizontalCentered="false" verticalCentered="false"/>
  <pageMargins left="0.4" right="0.4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597"/>
    <pageSetUpPr fitToPage="true"/>
  </sheetPr>
  <dimension ref="B1:AF57"/>
  <sheetViews>
    <sheetView showFormulas="false" showGridLines="fals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34" min="2" style="0" width="4.6"/>
  </cols>
  <sheetData>
    <row r="1" customFormat="false" ht="25.5" hidden="false" customHeight="true" outlineLevel="0" collapsed="false">
      <c r="B1" s="1" t="s">
        <v>133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</row>
    <row r="2" customFormat="false" ht="15" hidden="false" customHeight="false" outlineLevel="0" collapsed="false">
      <c r="B2" s="14" t="s">
        <v>100</v>
      </c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</row>
    <row r="3" customFormat="false" ht="15" hidden="false" customHeight="false" outlineLevel="0" collapsed="false">
      <c r="B3" s="24" t="s">
        <v>101</v>
      </c>
      <c r="C3" s="24"/>
      <c r="D3" s="24"/>
      <c r="E3" s="24"/>
      <c r="F3" s="24"/>
      <c r="G3" s="24"/>
      <c r="H3" s="24" t="str">
        <f aca="false">COUNTIF(B4:AG58,"✓")&amp;" correct out of 20 answer cells"</f>
        <v>0 correct out of 20 answer cells</v>
      </c>
      <c r="I3" s="24"/>
      <c r="J3" s="24"/>
      <c r="K3" s="24"/>
      <c r="L3" s="24"/>
      <c r="M3" s="24"/>
      <c r="N3" s="24"/>
      <c r="O3" s="24"/>
      <c r="P3" s="24"/>
      <c r="Q3" s="24"/>
      <c r="R3" s="24"/>
      <c r="S3" s="24"/>
      <c r="T3" s="24"/>
      <c r="U3" s="24"/>
      <c r="V3" s="24"/>
      <c r="W3" s="24"/>
      <c r="X3" s="24"/>
      <c r="Y3" s="24"/>
      <c r="Z3" s="24"/>
      <c r="AA3" s="24"/>
      <c r="AB3" s="24"/>
      <c r="AC3" s="24"/>
      <c r="AD3" s="24"/>
      <c r="AE3" s="24"/>
      <c r="AF3" s="24"/>
    </row>
    <row r="5" customFormat="false" ht="16.5" hidden="false" customHeight="true" outlineLevel="0" collapsed="false">
      <c r="B5" s="4" t="s">
        <v>134</v>
      </c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</row>
    <row r="6" customFormat="false" ht="16.5" hidden="false" customHeight="true" outlineLevel="0" collapsed="false">
      <c r="C6" s="4" t="s">
        <v>135</v>
      </c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</row>
    <row r="7" customFormat="false" ht="16.5" hidden="false" customHeight="true" outlineLevel="0" collapsed="false">
      <c r="C7" s="4" t="s">
        <v>136</v>
      </c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</row>
    <row r="8" customFormat="false" ht="16.5" hidden="false" customHeight="true" outlineLevel="0" collapsed="false">
      <c r="B8" s="4" t="s">
        <v>137</v>
      </c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</row>
    <row r="9" customFormat="false" ht="15" hidden="false" customHeight="false" outlineLevel="0" collapsed="false">
      <c r="B9" s="15" t="s">
        <v>105</v>
      </c>
      <c r="C9" s="15"/>
      <c r="D9" s="15"/>
      <c r="E9" s="15"/>
      <c r="F9" s="15"/>
      <c r="G9" s="15"/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6" t="s">
        <v>39</v>
      </c>
      <c r="Y9" s="16"/>
      <c r="Z9" s="16"/>
      <c r="AA9" s="16"/>
      <c r="AB9" s="16"/>
      <c r="AC9" s="16"/>
    </row>
    <row r="10" customFormat="false" ht="16.5" hidden="false" customHeight="true" outlineLevel="0" collapsed="false">
      <c r="B10" s="12" t="s">
        <v>138</v>
      </c>
      <c r="C10" s="12"/>
      <c r="D10" s="12"/>
      <c r="E10" s="12"/>
      <c r="F10" s="12"/>
      <c r="G10" s="12"/>
      <c r="H10" s="12"/>
      <c r="I10" s="12"/>
      <c r="J10" s="12"/>
      <c r="K10" s="12"/>
      <c r="L10" s="12"/>
      <c r="M10" s="12"/>
      <c r="N10" s="12"/>
      <c r="O10" s="12"/>
      <c r="P10" s="12"/>
      <c r="Q10" s="12"/>
      <c r="R10" s="12"/>
      <c r="S10" s="12"/>
      <c r="T10" s="12"/>
      <c r="U10" s="12"/>
      <c r="V10" s="12"/>
      <c r="W10" s="12"/>
      <c r="X10" s="17" t="n">
        <v>900</v>
      </c>
      <c r="Y10" s="17"/>
      <c r="Z10" s="17"/>
      <c r="AA10" s="17"/>
      <c r="AB10" s="17"/>
      <c r="AC10" s="17"/>
    </row>
    <row r="11" customFormat="false" ht="16.5" hidden="false" customHeight="true" outlineLevel="0" collapsed="false">
      <c r="B11" s="12" t="s">
        <v>139</v>
      </c>
      <c r="C11" s="12"/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12"/>
      <c r="O11" s="12"/>
      <c r="P11" s="12"/>
      <c r="Q11" s="12"/>
      <c r="R11" s="12"/>
      <c r="S11" s="12"/>
      <c r="T11" s="12"/>
      <c r="U11" s="12"/>
      <c r="V11" s="12"/>
      <c r="W11" s="12"/>
      <c r="X11" s="17" t="n">
        <v>400</v>
      </c>
      <c r="Y11" s="17"/>
      <c r="Z11" s="17"/>
      <c r="AA11" s="17"/>
      <c r="AB11" s="17"/>
      <c r="AC11" s="17"/>
    </row>
    <row r="12" customFormat="false" ht="16.5" hidden="false" customHeight="true" outlineLevel="0" collapsed="false">
      <c r="B12" s="12" t="s">
        <v>140</v>
      </c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7" t="n">
        <v>250</v>
      </c>
      <c r="Y12" s="17"/>
      <c r="Z12" s="17"/>
      <c r="AA12" s="17"/>
      <c r="AB12" s="17"/>
      <c r="AC12" s="17"/>
    </row>
    <row r="13" customFormat="false" ht="16.5" hidden="false" customHeight="true" outlineLevel="0" collapsed="false">
      <c r="B13" s="12" t="s">
        <v>141</v>
      </c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7" t="n">
        <v>26000</v>
      </c>
      <c r="Y13" s="17"/>
      <c r="Z13" s="17"/>
      <c r="AA13" s="17"/>
      <c r="AB13" s="17"/>
      <c r="AC13" s="17"/>
    </row>
    <row r="14" customFormat="false" ht="16.5" hidden="false" customHeight="true" outlineLevel="0" collapsed="false">
      <c r="B14" s="12" t="s">
        <v>78</v>
      </c>
      <c r="C14" s="12"/>
      <c r="D14" s="12"/>
      <c r="E14" s="12"/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2"/>
      <c r="R14" s="12"/>
      <c r="S14" s="12"/>
      <c r="T14" s="12"/>
      <c r="U14" s="12"/>
      <c r="V14" s="12"/>
      <c r="W14" s="12"/>
      <c r="X14" s="39" t="n">
        <v>0.04</v>
      </c>
      <c r="Y14" s="39"/>
      <c r="Z14" s="39"/>
      <c r="AA14" s="39"/>
      <c r="AB14" s="39"/>
      <c r="AC14" s="39"/>
    </row>
    <row r="17" customFormat="false" ht="18.75" hidden="false" customHeight="true" outlineLevel="0" collapsed="false">
      <c r="B17" s="3" t="s">
        <v>142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</row>
    <row r="18" customFormat="false" ht="15" hidden="false" customHeight="false" outlineLevel="0" collapsed="false">
      <c r="B18" s="15" t="s">
        <v>43</v>
      </c>
      <c r="C18" s="15"/>
      <c r="D18" s="15"/>
      <c r="E18" s="15" t="s">
        <v>44</v>
      </c>
      <c r="F18" s="15"/>
      <c r="G18" s="15"/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6" t="s">
        <v>45</v>
      </c>
      <c r="V18" s="16"/>
      <c r="W18" s="16"/>
      <c r="X18" s="16"/>
      <c r="Y18" s="16"/>
      <c r="Z18" s="16"/>
      <c r="AA18" s="16" t="s">
        <v>46</v>
      </c>
      <c r="AB18" s="16"/>
      <c r="AC18" s="16"/>
      <c r="AD18" s="16"/>
      <c r="AE18" s="16"/>
      <c r="AF18" s="16"/>
    </row>
    <row r="19" customFormat="false" ht="16.5" hidden="false" customHeight="true" outlineLevel="0" collapsed="false">
      <c r="B19" s="18"/>
      <c r="C19" s="18"/>
      <c r="D19" s="18"/>
      <c r="E19" s="19"/>
      <c r="F19" s="19"/>
      <c r="G19" s="19"/>
      <c r="H19" s="19"/>
      <c r="I19" s="19"/>
      <c r="J19" s="19"/>
      <c r="K19" s="19"/>
      <c r="L19" s="19"/>
      <c r="M19" s="19"/>
      <c r="N19" s="19"/>
      <c r="O19" s="19"/>
      <c r="P19" s="19"/>
      <c r="Q19" s="19"/>
      <c r="R19" s="19"/>
      <c r="S19" s="19"/>
      <c r="T19" s="19"/>
      <c r="U19" s="20" t="s">
        <v>48</v>
      </c>
      <c r="V19" s="20"/>
      <c r="W19" s="20"/>
      <c r="X19" s="20"/>
      <c r="Y19" s="20"/>
      <c r="Z19" s="20"/>
      <c r="AA19" s="20" t="s">
        <v>48</v>
      </c>
      <c r="AB19" s="20"/>
      <c r="AC19" s="20"/>
      <c r="AD19" s="20"/>
      <c r="AE19" s="20"/>
      <c r="AF19" s="20"/>
    </row>
    <row r="20" customFormat="false" ht="16.5" hidden="false" customHeight="true" outlineLevel="0" collapsed="false">
      <c r="B20" s="19"/>
      <c r="C20" s="19"/>
      <c r="D20" s="19"/>
      <c r="E20" s="19" t="s">
        <v>143</v>
      </c>
      <c r="F20" s="19"/>
      <c r="G20" s="19"/>
      <c r="H20" s="19"/>
      <c r="I20" s="19"/>
      <c r="J20" s="19"/>
      <c r="K20" s="19"/>
      <c r="L20" s="19"/>
      <c r="M20" s="19"/>
      <c r="N20" s="19"/>
      <c r="O20" s="19"/>
      <c r="P20" s="19"/>
      <c r="Q20" s="19"/>
      <c r="R20" s="19"/>
      <c r="S20" s="19"/>
      <c r="T20" s="19"/>
      <c r="U20" s="48"/>
      <c r="V20" s="48"/>
      <c r="W20" s="48"/>
      <c r="X20" s="48"/>
      <c r="Y20" s="48"/>
      <c r="Z20" s="20" t="str">
        <f aca="false">IF(U20="","",IFERROR(IF(ABS(ABS(U20)-ABS('Q8.10 Ans'!U20))&lt;0.5,"✓","✗"),"✗"))</f>
        <v/>
      </c>
      <c r="AA20" s="19"/>
      <c r="AB20" s="19"/>
      <c r="AC20" s="19"/>
      <c r="AD20" s="19"/>
      <c r="AE20" s="19"/>
      <c r="AF20" s="19"/>
    </row>
    <row r="21" customFormat="false" ht="16.5" hidden="false" customHeight="true" outlineLevel="0" collapsed="false">
      <c r="B21" s="19"/>
      <c r="C21" s="19"/>
      <c r="D21" s="19"/>
      <c r="E21" s="22" t="s">
        <v>67</v>
      </c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19"/>
      <c r="V21" s="19"/>
      <c r="W21" s="19"/>
      <c r="X21" s="19"/>
      <c r="Y21" s="19"/>
      <c r="Z21" s="19"/>
      <c r="AA21" s="48"/>
      <c r="AB21" s="48"/>
      <c r="AC21" s="48"/>
      <c r="AD21" s="48"/>
      <c r="AE21" s="48"/>
      <c r="AF21" s="20" t="str">
        <f aca="false">IF(AA21="","",IFERROR(IF(ABS(ABS(AA21)-ABS('Q8.10 Ans'!AA21))&lt;0.5,"✓","✗"),"✗"))</f>
        <v/>
      </c>
    </row>
    <row r="22" customFormat="false" ht="17.25" hidden="false" customHeight="true" outlineLevel="0" collapsed="false">
      <c r="B22" s="19"/>
      <c r="C22" s="19"/>
      <c r="D22" s="19"/>
      <c r="E22" s="23" t="s">
        <v>144</v>
      </c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19"/>
      <c r="V22" s="19"/>
      <c r="W22" s="19"/>
      <c r="X22" s="19"/>
      <c r="Y22" s="19"/>
      <c r="Z22" s="19"/>
      <c r="AA22" s="19"/>
      <c r="AB22" s="19"/>
      <c r="AC22" s="19"/>
      <c r="AD22" s="19"/>
      <c r="AE22" s="19"/>
      <c r="AF22" s="19"/>
    </row>
    <row r="23" customFormat="false" ht="16.5" hidden="false" customHeight="true" outlineLevel="0" collapsed="false">
      <c r="B23" s="19"/>
      <c r="C23" s="19"/>
      <c r="D23" s="19"/>
      <c r="E23" s="19" t="s">
        <v>69</v>
      </c>
      <c r="F23" s="19"/>
      <c r="G23" s="19"/>
      <c r="H23" s="19"/>
      <c r="I23" s="19"/>
      <c r="J23" s="19"/>
      <c r="K23" s="19"/>
      <c r="L23" s="19"/>
      <c r="M23" s="19"/>
      <c r="N23" s="19"/>
      <c r="O23" s="19"/>
      <c r="P23" s="19"/>
      <c r="Q23" s="19"/>
      <c r="R23" s="19"/>
      <c r="S23" s="19"/>
      <c r="T23" s="19"/>
      <c r="U23" s="48"/>
      <c r="V23" s="48"/>
      <c r="W23" s="48"/>
      <c r="X23" s="48"/>
      <c r="Y23" s="48"/>
      <c r="Z23" s="20" t="str">
        <f aca="false">IF(U23="","",IFERROR(IF(ABS(ABS(U23)-ABS('Q8.10 Ans'!U23))&lt;0.5,"✓","✗"),"✗"))</f>
        <v/>
      </c>
      <c r="AA23" s="19"/>
      <c r="AB23" s="19"/>
      <c r="AC23" s="19"/>
      <c r="AD23" s="19"/>
      <c r="AE23" s="19"/>
      <c r="AF23" s="19"/>
    </row>
    <row r="24" customFormat="false" ht="16.5" hidden="false" customHeight="true" outlineLevel="0" collapsed="false">
      <c r="B24" s="19"/>
      <c r="C24" s="19"/>
      <c r="D24" s="19"/>
      <c r="E24" s="22" t="s">
        <v>143</v>
      </c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19"/>
      <c r="V24" s="19"/>
      <c r="W24" s="19"/>
      <c r="X24" s="19"/>
      <c r="Y24" s="19"/>
      <c r="Z24" s="19"/>
      <c r="AA24" s="48"/>
      <c r="AB24" s="48"/>
      <c r="AC24" s="48"/>
      <c r="AD24" s="48"/>
      <c r="AE24" s="48"/>
      <c r="AF24" s="20" t="str">
        <f aca="false">IF(AA24="","",IFERROR(IF(ABS(ABS(AA24)-ABS('Q8.10 Ans'!AA24))&lt;0.5,"✓","✗"),"✗"))</f>
        <v/>
      </c>
    </row>
    <row r="25" customFormat="false" ht="17.25" hidden="false" customHeight="true" outlineLevel="0" collapsed="false">
      <c r="B25" s="19"/>
      <c r="C25" s="19"/>
      <c r="D25" s="19"/>
      <c r="E25" s="23" t="s">
        <v>145</v>
      </c>
      <c r="F25" s="23"/>
      <c r="G25" s="23"/>
      <c r="H25" s="23"/>
      <c r="I25" s="23"/>
      <c r="J25" s="23"/>
      <c r="K25" s="23"/>
      <c r="L25" s="23"/>
      <c r="M25" s="23"/>
      <c r="N25" s="23"/>
      <c r="O25" s="23"/>
      <c r="P25" s="23"/>
      <c r="Q25" s="23"/>
      <c r="R25" s="23"/>
      <c r="S25" s="23"/>
      <c r="T25" s="23"/>
      <c r="U25" s="19"/>
      <c r="V25" s="19"/>
      <c r="W25" s="19"/>
      <c r="X25" s="19"/>
      <c r="Y25" s="19"/>
      <c r="Z25" s="19"/>
      <c r="AA25" s="19"/>
      <c r="AB25" s="19"/>
      <c r="AC25" s="19"/>
      <c r="AD25" s="19"/>
      <c r="AE25" s="19"/>
      <c r="AF25" s="19"/>
    </row>
    <row r="27" customFormat="false" ht="18.75" hidden="false" customHeight="true" outlineLevel="0" collapsed="false">
      <c r="B27" s="3" t="s">
        <v>146</v>
      </c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</row>
    <row r="28" customFormat="false" ht="17.25" hidden="false" customHeight="true" outlineLevel="0" collapsed="false">
      <c r="B28" s="51" t="s">
        <v>147</v>
      </c>
      <c r="C28" s="51"/>
      <c r="D28" s="51"/>
      <c r="E28" s="51"/>
      <c r="F28" s="51"/>
      <c r="G28" s="51"/>
      <c r="H28" s="51"/>
      <c r="I28" s="51"/>
      <c r="J28" s="51"/>
      <c r="K28" s="51"/>
      <c r="L28" s="51"/>
      <c r="M28" s="51"/>
      <c r="N28" s="51"/>
      <c r="O28" s="51"/>
      <c r="P28" s="51"/>
      <c r="Q28" s="51"/>
      <c r="R28" s="51"/>
      <c r="S28" s="51"/>
      <c r="T28" s="51"/>
      <c r="U28" s="51"/>
      <c r="V28" s="51"/>
      <c r="W28" s="51"/>
      <c r="X28" s="48"/>
      <c r="Y28" s="48"/>
      <c r="Z28" s="48"/>
      <c r="AA28" s="48"/>
      <c r="AB28" s="48"/>
      <c r="AC28" s="49" t="str">
        <f aca="false">IF(X28="","",IFERROR(IF(ABS(ABS(X28)-ABS('Q8.10 Ans'!X28))&lt;0.5,"✓","✗"),"✗"))</f>
        <v/>
      </c>
    </row>
    <row r="29" customFormat="false" ht="17.25" hidden="false" customHeight="true" outlineLevel="0" collapsed="false">
      <c r="B29" s="51" t="s">
        <v>148</v>
      </c>
      <c r="C29" s="51"/>
      <c r="D29" s="51"/>
      <c r="E29" s="51"/>
      <c r="F29" s="51"/>
      <c r="G29" s="51"/>
      <c r="H29" s="51"/>
      <c r="I29" s="51"/>
      <c r="J29" s="51"/>
      <c r="K29" s="51"/>
      <c r="L29" s="51"/>
      <c r="M29" s="51"/>
      <c r="N29" s="51"/>
      <c r="O29" s="51"/>
      <c r="P29" s="51"/>
      <c r="Q29" s="51"/>
      <c r="R29" s="51"/>
      <c r="S29" s="51"/>
      <c r="T29" s="51"/>
      <c r="U29" s="51"/>
      <c r="V29" s="51"/>
      <c r="W29" s="51"/>
      <c r="X29" s="48"/>
      <c r="Y29" s="48"/>
      <c r="Z29" s="48"/>
      <c r="AA29" s="48"/>
      <c r="AB29" s="48"/>
      <c r="AC29" s="49" t="str">
        <f aca="false">IF(X29="","",IFERROR(IF(ABS(ABS(X29)-ABS('Q8.10 Ans'!X29))&lt;0.5,"✓","✗"),"✗"))</f>
        <v/>
      </c>
    </row>
    <row r="31" customFormat="false" ht="18.75" hidden="false" customHeight="true" outlineLevel="0" collapsed="false">
      <c r="B31" s="3" t="s">
        <v>149</v>
      </c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</row>
    <row r="32" customFormat="false" ht="15" hidden="false" customHeight="false" outlineLevel="0" collapsed="false">
      <c r="B32" s="24" t="s">
        <v>53</v>
      </c>
      <c r="C32" s="24"/>
      <c r="D32" s="24"/>
      <c r="E32" s="25" t="s">
        <v>84</v>
      </c>
      <c r="F32" s="25"/>
      <c r="G32" s="25"/>
      <c r="H32" s="25"/>
      <c r="I32" s="25"/>
      <c r="J32" s="25"/>
      <c r="K32" s="25"/>
      <c r="L32" s="25"/>
      <c r="M32" s="25"/>
      <c r="N32" s="25"/>
      <c r="O32" s="25"/>
      <c r="P32" s="25"/>
      <c r="Q32" s="25"/>
      <c r="R32" s="25"/>
      <c r="S32" s="25"/>
      <c r="T32" s="25"/>
      <c r="U32" s="25"/>
      <c r="V32" s="25"/>
      <c r="W32" s="25"/>
      <c r="X32" s="25"/>
      <c r="Y32" s="25"/>
      <c r="Z32" s="25"/>
      <c r="AA32" s="25"/>
      <c r="AB32" s="25"/>
      <c r="AC32" s="25"/>
      <c r="AD32" s="26" t="s">
        <v>55</v>
      </c>
      <c r="AE32" s="26"/>
      <c r="AF32" s="26"/>
    </row>
    <row r="33" customFormat="false" ht="15" hidden="false" customHeight="false" outlineLevel="0" collapsed="false">
      <c r="B33" s="27" t="s">
        <v>43</v>
      </c>
      <c r="C33" s="27"/>
      <c r="D33" s="27"/>
      <c r="E33" s="27" t="s">
        <v>44</v>
      </c>
      <c r="F33" s="27"/>
      <c r="G33" s="27"/>
      <c r="H33" s="27"/>
      <c r="I33" s="27"/>
      <c r="J33" s="27"/>
      <c r="K33" s="27"/>
      <c r="L33" s="28" t="s">
        <v>56</v>
      </c>
      <c r="M33" s="29" t="s">
        <v>57</v>
      </c>
      <c r="N33" s="29"/>
      <c r="O33" s="29"/>
      <c r="P33" s="29"/>
      <c r="Q33" s="30"/>
      <c r="R33" s="31" t="s">
        <v>43</v>
      </c>
      <c r="S33" s="31"/>
      <c r="T33" s="31"/>
      <c r="U33" s="27" t="s">
        <v>44</v>
      </c>
      <c r="V33" s="27"/>
      <c r="W33" s="27"/>
      <c r="X33" s="27"/>
      <c r="Y33" s="27"/>
      <c r="Z33" s="27"/>
      <c r="AA33" s="27"/>
      <c r="AB33" s="28" t="s">
        <v>56</v>
      </c>
      <c r="AC33" s="29" t="s">
        <v>57</v>
      </c>
      <c r="AD33" s="29"/>
      <c r="AE33" s="29"/>
      <c r="AF33" s="29"/>
    </row>
    <row r="34" customFormat="false" ht="16.5" hidden="false" customHeight="true" outlineLevel="0" collapsed="false">
      <c r="B34" s="32" t="s">
        <v>89</v>
      </c>
      <c r="C34" s="32"/>
      <c r="D34" s="32"/>
      <c r="M34" s="33" t="s">
        <v>48</v>
      </c>
      <c r="N34" s="33"/>
      <c r="O34" s="33"/>
      <c r="R34" s="34" t="s">
        <v>47</v>
      </c>
      <c r="S34" s="34"/>
      <c r="T34" s="34"/>
      <c r="AC34" s="33" t="s">
        <v>48</v>
      </c>
      <c r="AD34" s="33"/>
      <c r="AE34" s="33"/>
    </row>
    <row r="35" customFormat="false" ht="17.25" hidden="false" customHeight="true" outlineLevel="0" collapsed="false">
      <c r="B35" s="6" t="s">
        <v>49</v>
      </c>
      <c r="C35" s="6"/>
      <c r="D35" s="6"/>
      <c r="E35" s="35" t="s">
        <v>87</v>
      </c>
      <c r="F35" s="35"/>
      <c r="G35" s="35"/>
      <c r="H35" s="35"/>
      <c r="I35" s="35"/>
      <c r="J35" s="35"/>
      <c r="K35" s="35"/>
      <c r="L35" s="36"/>
      <c r="M35" s="48"/>
      <c r="N35" s="48"/>
      <c r="O35" s="48"/>
      <c r="P35" s="49" t="str">
        <f aca="false">IF(M35="","",IFERROR(IF(ABS(ABS(M35)-ABS('Q8.10 Ans'!M35))&lt;0.5,"✓","✗"),"✗"))</f>
        <v/>
      </c>
      <c r="R35" s="37" t="s">
        <v>150</v>
      </c>
      <c r="S35" s="37"/>
      <c r="T35" s="37"/>
      <c r="U35" s="35" t="s">
        <v>59</v>
      </c>
      <c r="V35" s="35"/>
      <c r="W35" s="35"/>
      <c r="X35" s="35"/>
      <c r="Y35" s="35"/>
      <c r="Z35" s="35"/>
      <c r="AA35" s="35"/>
      <c r="AB35" s="36"/>
      <c r="AC35" s="48"/>
      <c r="AD35" s="48"/>
      <c r="AE35" s="48"/>
      <c r="AF35" s="49" t="str">
        <f aca="false">IF(AC35="","",IFERROR(IF(ABS(ABS(AC35)-ABS('Q8.10 Ans'!AC35))&lt;0.5,"✓","✗"),"✗"))</f>
        <v/>
      </c>
    </row>
    <row r="36" customFormat="false" ht="16.5" hidden="false" customHeight="true" outlineLevel="0" collapsed="false">
      <c r="R36" s="34" t="s">
        <v>89</v>
      </c>
      <c r="S36" s="34"/>
      <c r="T36" s="34"/>
    </row>
    <row r="37" customFormat="false" ht="17.25" hidden="false" customHeight="true" outlineLevel="0" collapsed="false">
      <c r="R37" s="37" t="s">
        <v>49</v>
      </c>
      <c r="S37" s="37"/>
      <c r="T37" s="37"/>
      <c r="U37" s="35" t="s">
        <v>63</v>
      </c>
      <c r="V37" s="35"/>
      <c r="W37" s="35"/>
      <c r="X37" s="35"/>
      <c r="Y37" s="35"/>
      <c r="Z37" s="35"/>
      <c r="AA37" s="35"/>
      <c r="AB37" s="36" t="s">
        <v>60</v>
      </c>
      <c r="AC37" s="48"/>
      <c r="AD37" s="48"/>
      <c r="AE37" s="48"/>
      <c r="AF37" s="49" t="str">
        <f aca="false">IF(AC37="","",IFERROR(IF(ABS(ABS(AC37)-ABS('Q8.10 Ans'!AC37))&lt;0.5,"✓","✗"),"✗"))</f>
        <v/>
      </c>
    </row>
    <row r="38" customFormat="false" ht="16.5" hidden="false" customHeight="true" outlineLevel="0" collapsed="false">
      <c r="M38" s="50"/>
      <c r="N38" s="50"/>
      <c r="O38" s="50"/>
      <c r="P38" s="49" t="str">
        <f aca="false">IF(M38="","",IFERROR(IF(ABS(ABS(M38)-ABS('Q8.10 Ans'!M38))&lt;0.5,"✓","✗"),"✗"))</f>
        <v/>
      </c>
      <c r="R38" s="43"/>
      <c r="AC38" s="50"/>
      <c r="AD38" s="50"/>
      <c r="AE38" s="50"/>
      <c r="AF38" s="49" t="str">
        <f aca="false">IF(AC38="","",IFERROR(IF(ABS(ABS(AC38)-ABS('Q8.10 Ans'!AC38))&lt;0.5,"✓","✗"),"✗"))</f>
        <v/>
      </c>
    </row>
    <row r="39" customFormat="false" ht="17.25" hidden="false" customHeight="true" outlineLevel="0" collapsed="false">
      <c r="R39" s="37" t="s">
        <v>150</v>
      </c>
      <c r="S39" s="37"/>
      <c r="T39" s="37"/>
      <c r="U39" s="35" t="s">
        <v>59</v>
      </c>
      <c r="V39" s="35"/>
      <c r="W39" s="35"/>
      <c r="X39" s="35"/>
      <c r="Y39" s="35"/>
      <c r="Z39" s="35"/>
      <c r="AA39" s="35"/>
      <c r="AB39" s="36"/>
      <c r="AC39" s="48"/>
      <c r="AD39" s="48"/>
      <c r="AE39" s="48"/>
      <c r="AF39" s="49" t="str">
        <f aca="false">IF(AC39="","",IFERROR(IF(ABS(ABS(AC39)-ABS('Q8.10 Ans'!AC39))&lt;0.5,"✓","✗"),"✗"))</f>
        <v/>
      </c>
    </row>
    <row r="41" customFormat="false" ht="18.75" hidden="false" customHeight="true" outlineLevel="0" collapsed="false">
      <c r="B41" s="3" t="s">
        <v>151</v>
      </c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</row>
    <row r="42" customFormat="false" ht="15" hidden="false" customHeight="false" outlineLevel="0" collapsed="false">
      <c r="B42" s="25" t="s">
        <v>152</v>
      </c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</row>
    <row r="43" customFormat="false" ht="15" hidden="false" customHeight="false" outlineLevel="0" collapsed="false">
      <c r="B43" s="44"/>
      <c r="C43" s="44"/>
      <c r="D43" s="44"/>
      <c r="E43" s="15" t="s">
        <v>44</v>
      </c>
      <c r="F43" s="15"/>
      <c r="G43" s="15"/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6" t="s">
        <v>48</v>
      </c>
      <c r="S43" s="16"/>
      <c r="T43" s="16"/>
      <c r="U43" s="16"/>
      <c r="V43" s="16"/>
      <c r="W43" s="16" t="s">
        <v>48</v>
      </c>
      <c r="X43" s="16"/>
      <c r="Y43" s="16"/>
      <c r="Z43" s="16"/>
      <c r="AA43" s="16"/>
      <c r="AB43" s="16" t="s">
        <v>48</v>
      </c>
      <c r="AC43" s="16"/>
      <c r="AD43" s="16"/>
      <c r="AE43" s="16"/>
      <c r="AF43" s="16"/>
    </row>
    <row r="44" customFormat="false" ht="17.25" hidden="false" customHeight="true" outlineLevel="0" collapsed="false">
      <c r="B44" s="45" t="s">
        <v>153</v>
      </c>
      <c r="C44" s="45"/>
      <c r="D44" s="45"/>
      <c r="E44" s="46" t="s">
        <v>154</v>
      </c>
      <c r="F44" s="46"/>
      <c r="G44" s="46"/>
      <c r="H44" s="46"/>
      <c r="I44" s="46"/>
      <c r="J44" s="46"/>
      <c r="K44" s="46"/>
      <c r="L44" s="46"/>
      <c r="M44" s="46"/>
      <c r="N44" s="46"/>
      <c r="O44" s="46"/>
      <c r="P44" s="46"/>
      <c r="Q44" s="46"/>
    </row>
    <row r="45" customFormat="false" ht="17.25" hidden="false" customHeight="true" outlineLevel="0" collapsed="false">
      <c r="B45" s="45"/>
      <c r="C45" s="45"/>
      <c r="D45" s="45"/>
      <c r="E45" s="35" t="s">
        <v>67</v>
      </c>
      <c r="F45" s="35"/>
      <c r="G45" s="35"/>
      <c r="H45" s="35"/>
      <c r="I45" s="35"/>
      <c r="J45" s="35"/>
      <c r="K45" s="35"/>
      <c r="L45" s="35"/>
      <c r="M45" s="35"/>
      <c r="N45" s="35"/>
      <c r="O45" s="35"/>
      <c r="P45" s="35"/>
      <c r="Q45" s="35"/>
      <c r="AB45" s="48"/>
      <c r="AC45" s="48"/>
      <c r="AD45" s="48"/>
      <c r="AE45" s="48"/>
      <c r="AF45" s="49" t="str">
        <f aca="false">IF(AB45="","",IFERROR(IF(ABS(ABS(AB45)-ABS('Q8.10 Ans'!AB45))&lt;0.5,"✓","✗"),"✗"))</f>
        <v/>
      </c>
    </row>
    <row r="46" customFormat="false" ht="17.25" hidden="false" customHeight="true" outlineLevel="0" collapsed="false">
      <c r="B46" s="45" t="s">
        <v>97</v>
      </c>
      <c r="C46" s="45"/>
      <c r="D46" s="45"/>
      <c r="E46" s="46" t="s">
        <v>128</v>
      </c>
      <c r="F46" s="46"/>
      <c r="G46" s="46"/>
      <c r="H46" s="46"/>
      <c r="I46" s="46"/>
      <c r="J46" s="46"/>
      <c r="K46" s="46"/>
      <c r="L46" s="46"/>
      <c r="M46" s="46"/>
      <c r="N46" s="46"/>
      <c r="O46" s="46"/>
      <c r="P46" s="46"/>
      <c r="Q46" s="46"/>
    </row>
    <row r="47" customFormat="false" ht="17.25" hidden="false" customHeight="true" outlineLevel="0" collapsed="false">
      <c r="B47" s="45"/>
      <c r="C47" s="45"/>
      <c r="D47" s="45"/>
      <c r="E47" s="35" t="s">
        <v>50</v>
      </c>
      <c r="F47" s="35"/>
      <c r="G47" s="35"/>
      <c r="H47" s="35"/>
      <c r="I47" s="35"/>
      <c r="J47" s="35"/>
      <c r="K47" s="35"/>
      <c r="L47" s="35"/>
      <c r="M47" s="35"/>
      <c r="N47" s="35"/>
      <c r="O47" s="35"/>
      <c r="P47" s="35"/>
      <c r="Q47" s="35"/>
      <c r="W47" s="48"/>
      <c r="X47" s="48"/>
      <c r="Y47" s="48"/>
      <c r="Z47" s="48"/>
      <c r="AA47" s="49" t="str">
        <f aca="false">IF(W47="","",IFERROR(IF(ABS(ABS(W47)-ABS('Q8.10 Ans'!W47))&lt;0.5,"✓","✗"),"✗"))</f>
        <v/>
      </c>
    </row>
    <row r="48" customFormat="false" ht="17.25" hidden="false" customHeight="true" outlineLevel="0" collapsed="false">
      <c r="B48" s="45"/>
      <c r="C48" s="45"/>
      <c r="D48" s="45"/>
      <c r="E48" s="35" t="s">
        <v>155</v>
      </c>
      <c r="F48" s="35"/>
      <c r="G48" s="35"/>
      <c r="H48" s="35"/>
      <c r="I48" s="35"/>
      <c r="J48" s="35"/>
      <c r="K48" s="35"/>
      <c r="L48" s="35"/>
      <c r="M48" s="35"/>
      <c r="N48" s="35"/>
      <c r="O48" s="35"/>
      <c r="P48" s="35"/>
      <c r="Q48" s="35"/>
      <c r="W48" s="52"/>
      <c r="X48" s="52"/>
      <c r="Y48" s="52"/>
      <c r="Z48" s="52"/>
      <c r="AA48" s="49" t="str">
        <f aca="false">IF(W48="","",IFERROR(IF(ABS(ABS(W48)-ABS('Q8.10 Ans'!W48))&lt;0.5,"✓","✗"),"✗"))</f>
        <v/>
      </c>
      <c r="AB48" s="52"/>
      <c r="AC48" s="52"/>
      <c r="AD48" s="52"/>
      <c r="AE48" s="52"/>
      <c r="AF48" s="49" t="str">
        <f aca="false">IF(AB48="","",IFERROR(IF(ABS(ABS(AB48)-ABS('Q8.10 Ans'!AB48))&lt;0.5,"✓","✗"),"✗"))</f>
        <v/>
      </c>
    </row>
    <row r="49" customFormat="false" ht="17.25" hidden="false" customHeight="true" outlineLevel="0" collapsed="false">
      <c r="B49" s="45"/>
      <c r="C49" s="45"/>
      <c r="D49" s="45"/>
      <c r="E49" s="55" t="s">
        <v>156</v>
      </c>
      <c r="F49" s="55"/>
      <c r="G49" s="55"/>
      <c r="H49" s="55"/>
      <c r="I49" s="55"/>
      <c r="J49" s="55"/>
      <c r="K49" s="55"/>
      <c r="L49" s="55"/>
      <c r="M49" s="55"/>
      <c r="N49" s="55"/>
      <c r="O49" s="55"/>
      <c r="P49" s="55"/>
      <c r="Q49" s="55"/>
      <c r="AB49" s="50"/>
      <c r="AC49" s="50"/>
      <c r="AD49" s="50"/>
      <c r="AE49" s="50"/>
      <c r="AF49" s="49" t="str">
        <f aca="false">IF(AB49="","",IFERROR(IF(ABS(ABS(AB49)-ABS('Q8.10 Ans'!AB49))&lt;0.5,"✓","✗"),"✗"))</f>
        <v/>
      </c>
    </row>
    <row r="51" customFormat="false" ht="18.75" hidden="false" customHeight="true" outlineLevel="0" collapsed="false">
      <c r="B51" s="3" t="s">
        <v>157</v>
      </c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</row>
    <row r="52" customFormat="false" ht="15" hidden="false" customHeight="false" outlineLevel="0" collapsed="false">
      <c r="B52" s="25" t="s">
        <v>158</v>
      </c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  <c r="P52" s="25"/>
      <c r="Q52" s="25"/>
      <c r="R52" s="25"/>
      <c r="S52" s="25"/>
      <c r="T52" s="25"/>
      <c r="U52" s="25"/>
      <c r="V52" s="25"/>
      <c r="W52" s="25"/>
      <c r="X52" s="25"/>
      <c r="Y52" s="25"/>
      <c r="Z52" s="25"/>
      <c r="AA52" s="25"/>
      <c r="AB52" s="25"/>
      <c r="AC52" s="25"/>
      <c r="AD52" s="25"/>
      <c r="AE52" s="25"/>
      <c r="AF52" s="25"/>
    </row>
    <row r="53" customFormat="false" ht="15" hidden="false" customHeight="false" outlineLevel="0" collapsed="false">
      <c r="B53" s="44"/>
      <c r="C53" s="44"/>
      <c r="D53" s="44"/>
      <c r="E53" s="15" t="s">
        <v>44</v>
      </c>
      <c r="F53" s="15"/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6" t="s">
        <v>48</v>
      </c>
      <c r="S53" s="16"/>
      <c r="T53" s="16"/>
      <c r="U53" s="16"/>
      <c r="V53" s="16"/>
      <c r="W53" s="16" t="s">
        <v>48</v>
      </c>
      <c r="X53" s="16"/>
      <c r="Y53" s="16"/>
      <c r="Z53" s="16"/>
      <c r="AA53" s="16"/>
      <c r="AB53" s="16" t="s">
        <v>48</v>
      </c>
      <c r="AC53" s="16"/>
      <c r="AD53" s="16"/>
      <c r="AE53" s="16"/>
      <c r="AF53" s="16"/>
    </row>
    <row r="54" customFormat="false" ht="30" hidden="false" customHeight="true" outlineLevel="0" collapsed="false">
      <c r="B54" s="44"/>
      <c r="C54" s="44"/>
      <c r="D54" s="44"/>
      <c r="E54" s="44"/>
      <c r="F54" s="44"/>
      <c r="G54" s="44"/>
      <c r="H54" s="44"/>
      <c r="I54" s="44"/>
      <c r="J54" s="44"/>
      <c r="K54" s="44"/>
      <c r="L54" s="44"/>
      <c r="M54" s="44"/>
      <c r="N54" s="44"/>
      <c r="O54" s="44"/>
      <c r="P54" s="44"/>
      <c r="Q54" s="44"/>
      <c r="R54" s="11" t="s">
        <v>92</v>
      </c>
      <c r="S54" s="11"/>
      <c r="T54" s="11"/>
      <c r="U54" s="11"/>
      <c r="V54" s="11"/>
      <c r="W54" s="11" t="s">
        <v>93</v>
      </c>
      <c r="X54" s="11"/>
      <c r="Y54" s="11"/>
      <c r="Z54" s="11"/>
      <c r="AA54" s="11"/>
      <c r="AB54" s="11" t="s">
        <v>94</v>
      </c>
      <c r="AC54" s="11"/>
      <c r="AD54" s="11"/>
      <c r="AE54" s="11"/>
      <c r="AF54" s="11"/>
    </row>
    <row r="55" customFormat="false" ht="17.25" hidden="false" customHeight="true" outlineLevel="0" collapsed="false">
      <c r="B55" s="45"/>
      <c r="C55" s="45"/>
      <c r="D55" s="45"/>
      <c r="E55" s="46" t="s">
        <v>95</v>
      </c>
      <c r="F55" s="46"/>
      <c r="G55" s="46"/>
      <c r="H55" s="46"/>
      <c r="I55" s="46"/>
      <c r="J55" s="46"/>
      <c r="K55" s="46"/>
      <c r="L55" s="46"/>
      <c r="M55" s="46"/>
      <c r="N55" s="46"/>
      <c r="O55" s="46"/>
      <c r="P55" s="46"/>
      <c r="Q55" s="46"/>
    </row>
    <row r="56" customFormat="false" ht="17.25" hidden="false" customHeight="true" outlineLevel="0" collapsed="false">
      <c r="B56" s="45"/>
      <c r="C56" s="45"/>
      <c r="D56" s="45"/>
      <c r="E56" s="35" t="s">
        <v>96</v>
      </c>
      <c r="F56" s="35"/>
      <c r="G56" s="35"/>
      <c r="H56" s="35"/>
      <c r="I56" s="35"/>
      <c r="J56" s="35"/>
      <c r="K56" s="35"/>
      <c r="L56" s="35"/>
      <c r="M56" s="35"/>
      <c r="N56" s="35"/>
      <c r="O56" s="35"/>
      <c r="P56" s="35"/>
      <c r="Q56" s="35"/>
      <c r="R56" s="48"/>
      <c r="S56" s="48"/>
      <c r="T56" s="48"/>
      <c r="U56" s="48"/>
      <c r="V56" s="49" t="str">
        <f aca="false">IF(R56="","",IFERROR(IF(ABS(ABS(R56)-ABS('Q8.10 Ans'!R56))&lt;0.5,"✓","✗"),"✗"))</f>
        <v/>
      </c>
    </row>
    <row r="57" customFormat="false" ht="17.25" hidden="false" customHeight="true" outlineLevel="0" collapsed="false">
      <c r="B57" s="45" t="s">
        <v>97</v>
      </c>
      <c r="C57" s="45"/>
      <c r="D57" s="45"/>
      <c r="E57" s="35" t="s">
        <v>98</v>
      </c>
      <c r="F57" s="35"/>
      <c r="G57" s="35"/>
      <c r="H57" s="35"/>
      <c r="I57" s="35"/>
      <c r="J57" s="35"/>
      <c r="K57" s="35"/>
      <c r="L57" s="35"/>
      <c r="M57" s="35"/>
      <c r="N57" s="35"/>
      <c r="O57" s="35"/>
      <c r="P57" s="35"/>
      <c r="Q57" s="35"/>
      <c r="R57" s="52"/>
      <c r="S57" s="52"/>
      <c r="T57" s="52"/>
      <c r="U57" s="52"/>
      <c r="V57" s="49" t="str">
        <f aca="false">IF(R57="","",IFERROR(IF(ABS(ABS(R57)-ABS('Q8.10 Ans'!R57))&lt;0.5,"✓","✗"),"✗"))</f>
        <v/>
      </c>
      <c r="W57" s="48"/>
      <c r="X57" s="48"/>
      <c r="Y57" s="48"/>
      <c r="Z57" s="48"/>
      <c r="AA57" s="49" t="str">
        <f aca="false">IF(W57="","",IFERROR(IF(ABS(ABS(W57)-ABS('Q8.10 Ans'!W57))&lt;0.5,"✓","✗"),"✗"))</f>
        <v/>
      </c>
    </row>
  </sheetData>
  <mergeCells count="132">
    <mergeCell ref="B1:AF1"/>
    <mergeCell ref="B2:AF2"/>
    <mergeCell ref="B3:G3"/>
    <mergeCell ref="H3:AF3"/>
    <mergeCell ref="B5:AF5"/>
    <mergeCell ref="C6:AF6"/>
    <mergeCell ref="C7:AF7"/>
    <mergeCell ref="B8:AF8"/>
    <mergeCell ref="B9:W9"/>
    <mergeCell ref="X9:AC9"/>
    <mergeCell ref="B10:W10"/>
    <mergeCell ref="X10:AC10"/>
    <mergeCell ref="B11:W11"/>
    <mergeCell ref="X11:AC11"/>
    <mergeCell ref="B12:W12"/>
    <mergeCell ref="X12:AC12"/>
    <mergeCell ref="B13:W13"/>
    <mergeCell ref="X13:AC13"/>
    <mergeCell ref="B14:W14"/>
    <mergeCell ref="X14:AC14"/>
    <mergeCell ref="B17:AF17"/>
    <mergeCell ref="B18:D18"/>
    <mergeCell ref="E18:T18"/>
    <mergeCell ref="U18:Z18"/>
    <mergeCell ref="AA18:AF18"/>
    <mergeCell ref="B19:D19"/>
    <mergeCell ref="E19:T19"/>
    <mergeCell ref="U19:Z19"/>
    <mergeCell ref="AA19:AF19"/>
    <mergeCell ref="B20:D20"/>
    <mergeCell ref="E20:T20"/>
    <mergeCell ref="U20:Y20"/>
    <mergeCell ref="AA20:AF20"/>
    <mergeCell ref="B21:D21"/>
    <mergeCell ref="E21:T21"/>
    <mergeCell ref="U21:Z21"/>
    <mergeCell ref="AA21:AE21"/>
    <mergeCell ref="B22:D22"/>
    <mergeCell ref="E22:T22"/>
    <mergeCell ref="U22:Z22"/>
    <mergeCell ref="AA22:AF22"/>
    <mergeCell ref="B23:D23"/>
    <mergeCell ref="E23:T23"/>
    <mergeCell ref="U23:Y23"/>
    <mergeCell ref="AA23:AF23"/>
    <mergeCell ref="B24:D24"/>
    <mergeCell ref="E24:T24"/>
    <mergeCell ref="U24:Z24"/>
    <mergeCell ref="AA24:AE24"/>
    <mergeCell ref="B25:D25"/>
    <mergeCell ref="E25:T25"/>
    <mergeCell ref="U25:Z25"/>
    <mergeCell ref="AA25:AF25"/>
    <mergeCell ref="B27:AF27"/>
    <mergeCell ref="B28:W28"/>
    <mergeCell ref="X28:AB28"/>
    <mergeCell ref="B29:W29"/>
    <mergeCell ref="X29:AB29"/>
    <mergeCell ref="B31:AF31"/>
    <mergeCell ref="B32:D32"/>
    <mergeCell ref="E32:AC32"/>
    <mergeCell ref="AD32:AF32"/>
    <mergeCell ref="B33:D33"/>
    <mergeCell ref="E33:K33"/>
    <mergeCell ref="M33:P33"/>
    <mergeCell ref="R33:T33"/>
    <mergeCell ref="U33:AA33"/>
    <mergeCell ref="AC33:AF33"/>
    <mergeCell ref="B34:D34"/>
    <mergeCell ref="M34:O34"/>
    <mergeCell ref="R34:T34"/>
    <mergeCell ref="AC34:AE34"/>
    <mergeCell ref="B35:D35"/>
    <mergeCell ref="E35:K35"/>
    <mergeCell ref="M35:O35"/>
    <mergeCell ref="R35:T35"/>
    <mergeCell ref="U35:AA35"/>
    <mergeCell ref="AC35:AE35"/>
    <mergeCell ref="R36:T36"/>
    <mergeCell ref="R37:T37"/>
    <mergeCell ref="U37:AA37"/>
    <mergeCell ref="AC37:AE37"/>
    <mergeCell ref="M38:O38"/>
    <mergeCell ref="AC38:AE38"/>
    <mergeCell ref="R39:T39"/>
    <mergeCell ref="U39:AA39"/>
    <mergeCell ref="AC39:AE39"/>
    <mergeCell ref="B41:AF41"/>
    <mergeCell ref="B42:AF42"/>
    <mergeCell ref="B43:D43"/>
    <mergeCell ref="E43:Q43"/>
    <mergeCell ref="R43:V43"/>
    <mergeCell ref="W43:AA43"/>
    <mergeCell ref="AB43:AF43"/>
    <mergeCell ref="B44:D44"/>
    <mergeCell ref="E44:Q44"/>
    <mergeCell ref="B45:D45"/>
    <mergeCell ref="E45:Q45"/>
    <mergeCell ref="AB45:AE45"/>
    <mergeCell ref="B46:D46"/>
    <mergeCell ref="E46:Q46"/>
    <mergeCell ref="B47:D47"/>
    <mergeCell ref="E47:Q47"/>
    <mergeCell ref="W47:Z47"/>
    <mergeCell ref="B48:D48"/>
    <mergeCell ref="E48:Q48"/>
    <mergeCell ref="W48:Z48"/>
    <mergeCell ref="AB48:AE48"/>
    <mergeCell ref="B49:D49"/>
    <mergeCell ref="E49:Q49"/>
    <mergeCell ref="AB49:AE49"/>
    <mergeCell ref="B51:AF51"/>
    <mergeCell ref="B52:AF52"/>
    <mergeCell ref="B53:D53"/>
    <mergeCell ref="E53:Q53"/>
    <mergeCell ref="R53:V53"/>
    <mergeCell ref="W53:AA53"/>
    <mergeCell ref="AB53:AF53"/>
    <mergeCell ref="B54:D54"/>
    <mergeCell ref="E54:Q54"/>
    <mergeCell ref="R54:V54"/>
    <mergeCell ref="W54:AA54"/>
    <mergeCell ref="AB54:AF54"/>
    <mergeCell ref="B55:D55"/>
    <mergeCell ref="E55:Q55"/>
    <mergeCell ref="B56:D56"/>
    <mergeCell ref="E56:Q56"/>
    <mergeCell ref="R56:U56"/>
    <mergeCell ref="B57:D57"/>
    <mergeCell ref="E57:Q57"/>
    <mergeCell ref="R57:U57"/>
    <mergeCell ref="W57:Z57"/>
  </mergeCells>
  <conditionalFormatting sqref="B4:AG58">
    <cfRule type="cellIs" priority="2" operator="equal" aboveAverage="0" equalAverage="0" bottom="0" percent="0" rank="0" text="" dxfId="0">
      <formula>"✓"</formula>
    </cfRule>
    <cfRule type="cellIs" priority="3" operator="equal" aboveAverage="0" equalAverage="0" bottom="0" percent="0" rank="0" text="" dxfId="1">
      <formula>"✗"</formula>
    </cfRule>
  </conditionalFormatting>
  <printOptions headings="false" gridLines="false" gridLinesSet="true" horizontalCentered="false" verticalCentered="false"/>
  <pageMargins left="0.4" right="0.4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597"/>
    <pageSetUpPr fitToPage="true"/>
  </sheetPr>
  <dimension ref="B1:AF56"/>
  <sheetViews>
    <sheetView showFormulas="false" showGridLines="fals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34" min="2" style="0" width="4.6"/>
  </cols>
  <sheetData>
    <row r="1" customFormat="false" ht="25.5" hidden="false" customHeight="true" outlineLevel="0" collapsed="false">
      <c r="B1" s="1" t="s">
        <v>159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</row>
    <row r="2" customFormat="false" ht="15" hidden="false" customHeight="false" outlineLevel="0" collapsed="false">
      <c r="B2" s="14" t="s">
        <v>100</v>
      </c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</row>
    <row r="3" customFormat="false" ht="15" hidden="false" customHeight="false" outlineLevel="0" collapsed="false">
      <c r="B3" s="24" t="s">
        <v>101</v>
      </c>
      <c r="C3" s="24"/>
      <c r="D3" s="24"/>
      <c r="E3" s="24"/>
      <c r="F3" s="24"/>
      <c r="G3" s="24"/>
      <c r="H3" s="24" t="str">
        <f aca="false">COUNTIF(B4:AG57,"✓")&amp;" correct out of 27 answer cells"</f>
        <v>0 correct out of 27 answer cells</v>
      </c>
      <c r="I3" s="24"/>
      <c r="J3" s="24"/>
      <c r="K3" s="24"/>
      <c r="L3" s="24"/>
      <c r="M3" s="24"/>
      <c r="N3" s="24"/>
      <c r="O3" s="24"/>
      <c r="P3" s="24"/>
      <c r="Q3" s="24"/>
      <c r="R3" s="24"/>
      <c r="S3" s="24"/>
      <c r="T3" s="24"/>
      <c r="U3" s="24"/>
      <c r="V3" s="24"/>
      <c r="W3" s="24"/>
      <c r="X3" s="24"/>
      <c r="Y3" s="24"/>
      <c r="Z3" s="24"/>
      <c r="AA3" s="24"/>
      <c r="AB3" s="24"/>
      <c r="AC3" s="24"/>
      <c r="AD3" s="24"/>
      <c r="AE3" s="24"/>
      <c r="AF3" s="24"/>
    </row>
    <row r="5" customFormat="false" ht="16.5" hidden="false" customHeight="true" outlineLevel="0" collapsed="false">
      <c r="B5" s="4" t="s">
        <v>160</v>
      </c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</row>
    <row r="6" customFormat="false" ht="15" hidden="false" customHeight="false" outlineLevel="0" collapsed="false">
      <c r="B6" s="15" t="s">
        <v>105</v>
      </c>
      <c r="C6" s="15"/>
      <c r="D6" s="15"/>
      <c r="E6" s="15"/>
      <c r="F6" s="15"/>
      <c r="G6" s="15"/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6" t="s">
        <v>39</v>
      </c>
      <c r="Y6" s="16"/>
      <c r="Z6" s="16"/>
      <c r="AA6" s="16"/>
      <c r="AB6" s="16"/>
      <c r="AC6" s="16"/>
    </row>
    <row r="7" customFormat="false" ht="15" hidden="false" customHeight="false" outlineLevel="0" collapsed="false">
      <c r="B7" s="56" t="s">
        <v>73</v>
      </c>
      <c r="C7" s="56"/>
      <c r="D7" s="56"/>
      <c r="E7" s="56"/>
      <c r="F7" s="56"/>
      <c r="G7" s="56"/>
      <c r="H7" s="56"/>
      <c r="I7" s="56"/>
      <c r="J7" s="56"/>
      <c r="K7" s="56"/>
      <c r="L7" s="56"/>
      <c r="M7" s="56"/>
      <c r="N7" s="56"/>
      <c r="O7" s="56"/>
      <c r="P7" s="56"/>
      <c r="Q7" s="56"/>
      <c r="R7" s="56"/>
      <c r="S7" s="56"/>
      <c r="T7" s="56"/>
      <c r="U7" s="56"/>
      <c r="V7" s="56"/>
      <c r="W7" s="56"/>
      <c r="X7" s="56"/>
      <c r="Y7" s="56"/>
      <c r="Z7" s="56"/>
      <c r="AA7" s="56"/>
      <c r="AB7" s="56"/>
      <c r="AC7" s="56"/>
    </row>
    <row r="8" customFormat="false" ht="16.5" hidden="false" customHeight="true" outlineLevel="0" collapsed="false">
      <c r="B8" s="12" t="s">
        <v>161</v>
      </c>
      <c r="C8" s="12"/>
      <c r="D8" s="12"/>
      <c r="E8" s="12"/>
      <c r="F8" s="12"/>
      <c r="G8" s="12"/>
      <c r="H8" s="12"/>
      <c r="I8" s="12"/>
      <c r="J8" s="12"/>
      <c r="K8" s="12"/>
      <c r="L8" s="12"/>
      <c r="M8" s="12"/>
      <c r="N8" s="12"/>
      <c r="O8" s="12"/>
      <c r="P8" s="12"/>
      <c r="Q8" s="12"/>
      <c r="R8" s="12"/>
      <c r="S8" s="12"/>
      <c r="T8" s="12"/>
      <c r="U8" s="12"/>
      <c r="V8" s="12"/>
      <c r="W8" s="12"/>
      <c r="X8" s="17" t="n">
        <v>40000</v>
      </c>
      <c r="Y8" s="17"/>
      <c r="Z8" s="17"/>
      <c r="AA8" s="17"/>
      <c r="AB8" s="17"/>
      <c r="AC8" s="17"/>
    </row>
    <row r="9" customFormat="false" ht="16.5" hidden="false" customHeight="true" outlineLevel="0" collapsed="false">
      <c r="B9" s="12" t="s">
        <v>162</v>
      </c>
      <c r="C9" s="12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7" t="n">
        <v>0</v>
      </c>
      <c r="Y9" s="17"/>
      <c r="Z9" s="17"/>
      <c r="AA9" s="17"/>
      <c r="AB9" s="17"/>
      <c r="AC9" s="17"/>
    </row>
    <row r="10" customFormat="false" ht="15" hidden="false" customHeight="false" outlineLevel="0" collapsed="false">
      <c r="B10" s="56" t="s">
        <v>74</v>
      </c>
      <c r="C10" s="56"/>
      <c r="D10" s="56"/>
      <c r="E10" s="56"/>
      <c r="F10" s="56"/>
      <c r="G10" s="56"/>
      <c r="H10" s="56"/>
      <c r="I10" s="56"/>
      <c r="J10" s="56"/>
      <c r="K10" s="56"/>
      <c r="L10" s="56"/>
      <c r="M10" s="56"/>
      <c r="N10" s="56"/>
      <c r="O10" s="56"/>
      <c r="P10" s="56"/>
      <c r="Q10" s="56"/>
      <c r="R10" s="56"/>
      <c r="S10" s="56"/>
      <c r="T10" s="56"/>
      <c r="U10" s="56"/>
      <c r="V10" s="56"/>
      <c r="W10" s="56"/>
      <c r="X10" s="56"/>
      <c r="Y10" s="56"/>
      <c r="Z10" s="56"/>
      <c r="AA10" s="56"/>
      <c r="AB10" s="56"/>
      <c r="AC10" s="56"/>
    </row>
    <row r="11" customFormat="false" ht="16.5" hidden="false" customHeight="true" outlineLevel="0" collapsed="false">
      <c r="B11" s="12" t="s">
        <v>161</v>
      </c>
      <c r="C11" s="12"/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12"/>
      <c r="O11" s="12"/>
      <c r="P11" s="12"/>
      <c r="Q11" s="12"/>
      <c r="R11" s="12"/>
      <c r="S11" s="12"/>
      <c r="T11" s="12"/>
      <c r="U11" s="12"/>
      <c r="V11" s="12"/>
      <c r="W11" s="12"/>
      <c r="X11" s="17" t="n">
        <v>50000</v>
      </c>
      <c r="Y11" s="17"/>
      <c r="Z11" s="17"/>
      <c r="AA11" s="17"/>
      <c r="AB11" s="17"/>
      <c r="AC11" s="17"/>
    </row>
    <row r="12" customFormat="false" ht="16.5" hidden="false" customHeight="true" outlineLevel="0" collapsed="false">
      <c r="B12" s="12" t="s">
        <v>162</v>
      </c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7" t="n">
        <v>0</v>
      </c>
      <c r="Y12" s="17"/>
      <c r="Z12" s="17"/>
      <c r="AA12" s="17"/>
      <c r="AB12" s="17"/>
      <c r="AC12" s="17"/>
    </row>
    <row r="13" customFormat="false" ht="15" hidden="false" customHeight="false" outlineLevel="0" collapsed="false">
      <c r="B13" s="56" t="s">
        <v>47</v>
      </c>
      <c r="C13" s="56"/>
      <c r="D13" s="56"/>
      <c r="E13" s="56"/>
      <c r="F13" s="56"/>
      <c r="G13" s="56"/>
      <c r="H13" s="56"/>
      <c r="I13" s="56"/>
      <c r="J13" s="56"/>
      <c r="K13" s="56"/>
      <c r="L13" s="56"/>
      <c r="M13" s="56"/>
      <c r="N13" s="56"/>
      <c r="O13" s="56"/>
      <c r="P13" s="56"/>
      <c r="Q13" s="56"/>
      <c r="R13" s="56"/>
      <c r="S13" s="56"/>
      <c r="T13" s="56"/>
      <c r="U13" s="56"/>
      <c r="V13" s="56"/>
      <c r="W13" s="56"/>
      <c r="X13" s="56"/>
      <c r="Y13" s="56"/>
      <c r="Z13" s="56"/>
      <c r="AA13" s="56"/>
      <c r="AB13" s="56"/>
      <c r="AC13" s="56"/>
    </row>
    <row r="14" customFormat="false" ht="16.5" hidden="false" customHeight="true" outlineLevel="0" collapsed="false">
      <c r="B14" s="12" t="s">
        <v>161</v>
      </c>
      <c r="C14" s="12"/>
      <c r="D14" s="12"/>
      <c r="E14" s="12"/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2"/>
      <c r="R14" s="12"/>
      <c r="S14" s="12"/>
      <c r="T14" s="12"/>
      <c r="U14" s="12"/>
      <c r="V14" s="12"/>
      <c r="W14" s="12"/>
      <c r="X14" s="17" t="n">
        <v>36000</v>
      </c>
      <c r="Y14" s="17"/>
      <c r="Z14" s="17"/>
      <c r="AA14" s="17"/>
      <c r="AB14" s="17"/>
      <c r="AC14" s="17"/>
    </row>
    <row r="15" customFormat="false" ht="16.5" hidden="false" customHeight="true" outlineLevel="0" collapsed="false">
      <c r="B15" s="12" t="s">
        <v>162</v>
      </c>
      <c r="C15" s="12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7" t="n">
        <v>1000</v>
      </c>
      <c r="Y15" s="17"/>
      <c r="Z15" s="17"/>
      <c r="AA15" s="17"/>
      <c r="AB15" s="17"/>
      <c r="AC15" s="17"/>
    </row>
    <row r="16" customFormat="false" ht="15" hidden="false" customHeight="false" outlineLevel="0" collapsed="false">
      <c r="B16" s="56" t="s">
        <v>163</v>
      </c>
      <c r="C16" s="56"/>
      <c r="D16" s="56"/>
      <c r="E16" s="56"/>
      <c r="F16" s="56"/>
      <c r="G16" s="56"/>
      <c r="H16" s="56"/>
      <c r="I16" s="56"/>
      <c r="J16" s="56"/>
      <c r="K16" s="56"/>
      <c r="L16" s="56"/>
      <c r="M16" s="56"/>
      <c r="N16" s="56"/>
      <c r="O16" s="56"/>
      <c r="P16" s="56"/>
      <c r="Q16" s="56"/>
      <c r="R16" s="56"/>
      <c r="S16" s="56"/>
      <c r="T16" s="56"/>
      <c r="U16" s="56"/>
      <c r="V16" s="56"/>
      <c r="W16" s="56"/>
      <c r="X16" s="56"/>
      <c r="Y16" s="56"/>
      <c r="Z16" s="56"/>
      <c r="AA16" s="56"/>
      <c r="AB16" s="56"/>
      <c r="AC16" s="56"/>
    </row>
    <row r="17" customFormat="false" ht="16.5" hidden="false" customHeight="true" outlineLevel="0" collapsed="false">
      <c r="B17" s="12" t="s">
        <v>78</v>
      </c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12"/>
      <c r="X17" s="39" t="n">
        <v>0.03</v>
      </c>
      <c r="Y17" s="39"/>
      <c r="Z17" s="39"/>
      <c r="AA17" s="39"/>
      <c r="AB17" s="39"/>
      <c r="AC17" s="39"/>
    </row>
    <row r="20" customFormat="false" ht="18.75" hidden="false" customHeight="true" outlineLevel="0" collapsed="false">
      <c r="B20" s="3" t="s">
        <v>164</v>
      </c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</row>
    <row r="21" customFormat="false" ht="17.25" hidden="false" customHeight="true" outlineLevel="0" collapsed="false">
      <c r="B21" s="51" t="s">
        <v>165</v>
      </c>
      <c r="C21" s="51"/>
      <c r="D21" s="51"/>
      <c r="E21" s="51"/>
      <c r="F21" s="51"/>
      <c r="G21" s="51"/>
      <c r="H21" s="51"/>
      <c r="I21" s="51"/>
      <c r="J21" s="51"/>
      <c r="K21" s="51"/>
      <c r="L21" s="51"/>
      <c r="M21" s="51"/>
      <c r="N21" s="51"/>
      <c r="O21" s="51"/>
      <c r="P21" s="51"/>
      <c r="Q21" s="51"/>
      <c r="R21" s="51"/>
      <c r="S21" s="51"/>
      <c r="T21" s="51"/>
      <c r="U21" s="51"/>
      <c r="V21" s="51"/>
      <c r="W21" s="51"/>
      <c r="X21" s="48"/>
      <c r="Y21" s="48"/>
      <c r="Z21" s="48"/>
      <c r="AA21" s="48"/>
      <c r="AB21" s="48"/>
      <c r="AC21" s="49" t="str">
        <f aca="false">IF(X21="","",IFERROR(IF(ABS(ABS(X21)-ABS('Q8.11 Ans'!X21))&lt;0.5,"✓","✗"),"✗"))</f>
        <v/>
      </c>
    </row>
    <row r="22" customFormat="false" ht="17.25" hidden="false" customHeight="true" outlineLevel="0" collapsed="false">
      <c r="B22" s="51" t="s">
        <v>166</v>
      </c>
      <c r="C22" s="51"/>
      <c r="D22" s="51"/>
      <c r="E22" s="51"/>
      <c r="F22" s="51"/>
      <c r="G22" s="51"/>
      <c r="H22" s="51"/>
      <c r="I22" s="51"/>
      <c r="J22" s="51"/>
      <c r="K22" s="51"/>
      <c r="L22" s="51"/>
      <c r="M22" s="51"/>
      <c r="N22" s="51"/>
      <c r="O22" s="51"/>
      <c r="P22" s="51"/>
      <c r="Q22" s="51"/>
      <c r="R22" s="51"/>
      <c r="S22" s="51"/>
      <c r="T22" s="51"/>
      <c r="U22" s="51"/>
      <c r="V22" s="51"/>
      <c r="W22" s="51"/>
      <c r="X22" s="48"/>
      <c r="Y22" s="48"/>
      <c r="Z22" s="48"/>
      <c r="AA22" s="48"/>
      <c r="AB22" s="48"/>
      <c r="AC22" s="49" t="str">
        <f aca="false">IF(X22="","",IFERROR(IF(ABS(ABS(X22)-ABS('Q8.11 Ans'!X22))&lt;0.5,"✓","✗"),"✗"))</f>
        <v/>
      </c>
    </row>
    <row r="23" customFormat="false" ht="17.25" hidden="false" customHeight="true" outlineLevel="0" collapsed="false">
      <c r="B23" s="51" t="s">
        <v>167</v>
      </c>
      <c r="C23" s="51"/>
      <c r="D23" s="51"/>
      <c r="E23" s="51"/>
      <c r="F23" s="51"/>
      <c r="G23" s="51"/>
      <c r="H23" s="51"/>
      <c r="I23" s="51"/>
      <c r="J23" s="51"/>
      <c r="K23" s="51"/>
      <c r="L23" s="51"/>
      <c r="M23" s="51"/>
      <c r="N23" s="51"/>
      <c r="O23" s="51"/>
      <c r="P23" s="51"/>
      <c r="Q23" s="51"/>
      <c r="R23" s="51"/>
      <c r="S23" s="51"/>
      <c r="T23" s="51"/>
      <c r="U23" s="51"/>
      <c r="V23" s="51"/>
      <c r="W23" s="51"/>
      <c r="X23" s="48"/>
      <c r="Y23" s="48"/>
      <c r="Z23" s="48"/>
      <c r="AA23" s="48"/>
      <c r="AB23" s="48"/>
      <c r="AC23" s="49" t="str">
        <f aca="false">IF(X23="","",IFERROR(IF(ABS(ABS(X23)-ABS('Q8.11 Ans'!X23))&lt;0.5,"✓","✗"),"✗"))</f>
        <v/>
      </c>
    </row>
    <row r="25" customFormat="false" ht="18.75" hidden="false" customHeight="true" outlineLevel="0" collapsed="false">
      <c r="B25" s="3" t="s">
        <v>168</v>
      </c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</row>
    <row r="26" customFormat="false" ht="17.25" hidden="false" customHeight="true" outlineLevel="0" collapsed="false">
      <c r="B26" s="51" t="s">
        <v>169</v>
      </c>
      <c r="C26" s="51"/>
      <c r="D26" s="51"/>
      <c r="E26" s="51"/>
      <c r="F26" s="51"/>
      <c r="G26" s="51"/>
      <c r="H26" s="51"/>
      <c r="I26" s="51"/>
      <c r="J26" s="51"/>
      <c r="K26" s="51"/>
      <c r="L26" s="51"/>
      <c r="M26" s="51"/>
      <c r="N26" s="51"/>
      <c r="O26" s="51"/>
      <c r="P26" s="51"/>
      <c r="Q26" s="51"/>
      <c r="R26" s="51"/>
      <c r="S26" s="51"/>
      <c r="T26" s="51"/>
      <c r="U26" s="51"/>
      <c r="V26" s="51"/>
      <c r="W26" s="51"/>
      <c r="X26" s="48"/>
      <c r="Y26" s="48"/>
      <c r="Z26" s="48"/>
      <c r="AA26" s="48"/>
      <c r="AB26" s="48"/>
      <c r="AC26" s="49" t="str">
        <f aca="false">IF(X26="","",IFERROR(IF(ABS(ABS(X26)-ABS('Q8.11 Ans'!X26))&lt;0.5,"✓","✗"),"✗"))</f>
        <v/>
      </c>
    </row>
    <row r="27" customFormat="false" ht="17.25" hidden="false" customHeight="true" outlineLevel="0" collapsed="false">
      <c r="B27" s="51" t="s">
        <v>170</v>
      </c>
      <c r="C27" s="51"/>
      <c r="D27" s="51"/>
      <c r="E27" s="51"/>
      <c r="F27" s="51"/>
      <c r="G27" s="51"/>
      <c r="H27" s="51"/>
      <c r="I27" s="51"/>
      <c r="J27" s="51"/>
      <c r="K27" s="51"/>
      <c r="L27" s="51"/>
      <c r="M27" s="51"/>
      <c r="N27" s="51"/>
      <c r="O27" s="51"/>
      <c r="P27" s="51"/>
      <c r="Q27" s="51"/>
      <c r="R27" s="51"/>
      <c r="S27" s="51"/>
      <c r="T27" s="51"/>
      <c r="U27" s="51"/>
      <c r="V27" s="51"/>
      <c r="W27" s="51"/>
      <c r="X27" s="48"/>
      <c r="Y27" s="48"/>
      <c r="Z27" s="48"/>
      <c r="AA27" s="48"/>
      <c r="AB27" s="48"/>
      <c r="AC27" s="49" t="str">
        <f aca="false">IF(X27="","",IFERROR(IF(ABS(ABS(X27)-ABS('Q8.11 Ans'!X27))&lt;0.5,"✓","✗"),"✗"))</f>
        <v/>
      </c>
    </row>
    <row r="28" customFormat="false" ht="17.25" hidden="false" customHeight="true" outlineLevel="0" collapsed="false">
      <c r="B28" s="51" t="s">
        <v>171</v>
      </c>
      <c r="C28" s="51"/>
      <c r="D28" s="51"/>
      <c r="E28" s="51"/>
      <c r="F28" s="51"/>
      <c r="G28" s="51"/>
      <c r="H28" s="51"/>
      <c r="I28" s="51"/>
      <c r="J28" s="51"/>
      <c r="K28" s="51"/>
      <c r="L28" s="51"/>
      <c r="M28" s="51"/>
      <c r="N28" s="51"/>
      <c r="O28" s="51"/>
      <c r="P28" s="51"/>
      <c r="Q28" s="51"/>
      <c r="R28" s="51"/>
      <c r="S28" s="51"/>
      <c r="T28" s="51"/>
      <c r="U28" s="51"/>
      <c r="V28" s="51"/>
      <c r="W28" s="51"/>
      <c r="X28" s="48"/>
      <c r="Y28" s="48"/>
      <c r="Z28" s="48"/>
      <c r="AA28" s="48"/>
      <c r="AB28" s="48"/>
      <c r="AC28" s="49" t="str">
        <f aca="false">IF(X28="","",IFERROR(IF(ABS(ABS(X28)-ABS('Q8.11 Ans'!X28))&lt;0.5,"✓","✗"),"✗"))</f>
        <v/>
      </c>
    </row>
    <row r="29" customFormat="false" ht="17.25" hidden="false" customHeight="true" outlineLevel="0" collapsed="false">
      <c r="B29" s="51" t="s">
        <v>172</v>
      </c>
      <c r="C29" s="51"/>
      <c r="D29" s="51"/>
      <c r="E29" s="51"/>
      <c r="F29" s="51"/>
      <c r="G29" s="51"/>
      <c r="H29" s="51"/>
      <c r="I29" s="51"/>
      <c r="J29" s="51"/>
      <c r="K29" s="51"/>
      <c r="L29" s="51"/>
      <c r="M29" s="51"/>
      <c r="N29" s="51"/>
      <c r="O29" s="51"/>
      <c r="P29" s="51"/>
      <c r="Q29" s="51"/>
      <c r="R29" s="51"/>
      <c r="S29" s="51"/>
      <c r="T29" s="53"/>
      <c r="U29" s="53"/>
      <c r="V29" s="53"/>
      <c r="W29" s="53"/>
      <c r="X29" s="53"/>
      <c r="Y29" s="53"/>
      <c r="Z29" s="53"/>
      <c r="AA29" s="53"/>
      <c r="AB29" s="53"/>
      <c r="AC29" s="54" t="str">
        <f aca="false">IF(T29="","",IF(LOWER(TRIM(T29))=LOWER('Q8.11 Ans'!T29),"✓","✗"))</f>
        <v/>
      </c>
    </row>
    <row r="30" customFormat="false" ht="17.25" hidden="false" customHeight="true" outlineLevel="0" collapsed="false">
      <c r="B30" s="51" t="s">
        <v>173</v>
      </c>
      <c r="C30" s="51"/>
      <c r="D30" s="51"/>
      <c r="E30" s="51"/>
      <c r="F30" s="51"/>
      <c r="G30" s="51"/>
      <c r="H30" s="51"/>
      <c r="I30" s="51"/>
      <c r="J30" s="51"/>
      <c r="K30" s="51"/>
      <c r="L30" s="51"/>
      <c r="M30" s="51"/>
      <c r="N30" s="51"/>
      <c r="O30" s="51"/>
      <c r="P30" s="51"/>
      <c r="Q30" s="51"/>
      <c r="R30" s="51"/>
      <c r="S30" s="51"/>
      <c r="T30" s="53"/>
      <c r="U30" s="53"/>
      <c r="V30" s="53"/>
      <c r="W30" s="53"/>
      <c r="X30" s="53"/>
      <c r="Y30" s="53"/>
      <c r="Z30" s="53"/>
      <c r="AA30" s="53"/>
      <c r="AB30" s="53"/>
      <c r="AC30" s="54" t="str">
        <f aca="false">IF(T30="","",IF(LOWER(TRIM(T30))=LOWER('Q8.11 Ans'!T30),"✓","✗"))</f>
        <v/>
      </c>
    </row>
    <row r="31" customFormat="false" ht="17.25" hidden="false" customHeight="true" outlineLevel="0" collapsed="false">
      <c r="B31" s="51" t="s">
        <v>174</v>
      </c>
      <c r="C31" s="51"/>
      <c r="D31" s="51"/>
      <c r="E31" s="51"/>
      <c r="F31" s="51"/>
      <c r="G31" s="51"/>
      <c r="H31" s="51"/>
      <c r="I31" s="51"/>
      <c r="J31" s="51"/>
      <c r="K31" s="51"/>
      <c r="L31" s="51"/>
      <c r="M31" s="51"/>
      <c r="N31" s="51"/>
      <c r="O31" s="51"/>
      <c r="P31" s="51"/>
      <c r="Q31" s="51"/>
      <c r="R31" s="51"/>
      <c r="S31" s="51"/>
      <c r="T31" s="53"/>
      <c r="U31" s="53"/>
      <c r="V31" s="53"/>
      <c r="W31" s="53"/>
      <c r="X31" s="53"/>
      <c r="Y31" s="53"/>
      <c r="Z31" s="53"/>
      <c r="AA31" s="53"/>
      <c r="AB31" s="53"/>
      <c r="AC31" s="54" t="str">
        <f aca="false">IF(T31="","",IF(LOWER(TRIM(T31))=LOWER('Q8.11 Ans'!T31),"✓","✗"))</f>
        <v/>
      </c>
    </row>
    <row r="33" customFormat="false" ht="18.75" hidden="false" customHeight="true" outlineLevel="0" collapsed="false">
      <c r="B33" s="3" t="s">
        <v>175</v>
      </c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</row>
    <row r="34" customFormat="false" ht="15" hidden="false" customHeight="false" outlineLevel="0" collapsed="false">
      <c r="B34" s="24" t="s">
        <v>53</v>
      </c>
      <c r="C34" s="24"/>
      <c r="D34" s="24"/>
      <c r="E34" s="25" t="s">
        <v>84</v>
      </c>
      <c r="F34" s="25"/>
      <c r="G34" s="25"/>
      <c r="H34" s="25"/>
      <c r="I34" s="25"/>
      <c r="J34" s="25"/>
      <c r="K34" s="25"/>
      <c r="L34" s="25"/>
      <c r="M34" s="25"/>
      <c r="N34" s="25"/>
      <c r="O34" s="25"/>
      <c r="P34" s="25"/>
      <c r="Q34" s="25"/>
      <c r="R34" s="25"/>
      <c r="S34" s="25"/>
      <c r="T34" s="25"/>
      <c r="U34" s="25"/>
      <c r="V34" s="25"/>
      <c r="W34" s="25"/>
      <c r="X34" s="25"/>
      <c r="Y34" s="25"/>
      <c r="Z34" s="25"/>
      <c r="AA34" s="25"/>
      <c r="AB34" s="25"/>
      <c r="AC34" s="25"/>
      <c r="AD34" s="26" t="s">
        <v>55</v>
      </c>
      <c r="AE34" s="26"/>
      <c r="AF34" s="26"/>
    </row>
    <row r="35" customFormat="false" ht="15" hidden="false" customHeight="false" outlineLevel="0" collapsed="false">
      <c r="B35" s="27" t="s">
        <v>43</v>
      </c>
      <c r="C35" s="27"/>
      <c r="D35" s="27"/>
      <c r="E35" s="27" t="s">
        <v>44</v>
      </c>
      <c r="F35" s="27"/>
      <c r="G35" s="27"/>
      <c r="H35" s="27"/>
      <c r="I35" s="27"/>
      <c r="J35" s="27"/>
      <c r="K35" s="27"/>
      <c r="L35" s="28" t="s">
        <v>56</v>
      </c>
      <c r="M35" s="29" t="s">
        <v>57</v>
      </c>
      <c r="N35" s="29"/>
      <c r="O35" s="29"/>
      <c r="P35" s="29"/>
      <c r="Q35" s="30"/>
      <c r="R35" s="31" t="s">
        <v>43</v>
      </c>
      <c r="S35" s="31"/>
      <c r="T35" s="31"/>
      <c r="U35" s="27" t="s">
        <v>44</v>
      </c>
      <c r="V35" s="27"/>
      <c r="W35" s="27"/>
      <c r="X35" s="27"/>
      <c r="Y35" s="27"/>
      <c r="Z35" s="27"/>
      <c r="AA35" s="27"/>
      <c r="AB35" s="28" t="s">
        <v>56</v>
      </c>
      <c r="AC35" s="29" t="s">
        <v>57</v>
      </c>
      <c r="AD35" s="29"/>
      <c r="AE35" s="29"/>
      <c r="AF35" s="29"/>
    </row>
    <row r="36" customFormat="false" ht="16.5" hidden="false" customHeight="true" outlineLevel="0" collapsed="false">
      <c r="B36" s="32" t="s">
        <v>73</v>
      </c>
      <c r="C36" s="32"/>
      <c r="D36" s="32"/>
      <c r="M36" s="33" t="s">
        <v>48</v>
      </c>
      <c r="N36" s="33"/>
      <c r="O36" s="33"/>
      <c r="R36" s="34" t="s">
        <v>73</v>
      </c>
      <c r="S36" s="34"/>
      <c r="T36" s="34"/>
      <c r="AC36" s="33" t="s">
        <v>48</v>
      </c>
      <c r="AD36" s="33"/>
      <c r="AE36" s="33"/>
    </row>
    <row r="37" customFormat="false" ht="17.25" hidden="false" customHeight="true" outlineLevel="0" collapsed="false">
      <c r="B37" s="6" t="s">
        <v>62</v>
      </c>
      <c r="C37" s="6"/>
      <c r="D37" s="6"/>
      <c r="E37" s="35" t="s">
        <v>87</v>
      </c>
      <c r="F37" s="35"/>
      <c r="G37" s="35"/>
      <c r="H37" s="35"/>
      <c r="I37" s="35"/>
      <c r="J37" s="35"/>
      <c r="K37" s="35"/>
      <c r="L37" s="36"/>
      <c r="M37" s="48"/>
      <c r="N37" s="48"/>
      <c r="O37" s="48"/>
      <c r="P37" s="49" t="str">
        <f aca="false">IF(M37="","",IFERROR(IF(ABS(ABS(M37)-ABS('Q8.11 Ans'!M37))&lt;0.5,"✓","✗"),"✗"))</f>
        <v/>
      </c>
      <c r="R37" s="37" t="s">
        <v>62</v>
      </c>
      <c r="S37" s="37"/>
      <c r="T37" s="37"/>
      <c r="U37" s="35" t="s">
        <v>63</v>
      </c>
      <c r="V37" s="35"/>
      <c r="W37" s="35"/>
      <c r="X37" s="35"/>
      <c r="Y37" s="35"/>
      <c r="Z37" s="35"/>
      <c r="AA37" s="35"/>
      <c r="AB37" s="36" t="s">
        <v>60</v>
      </c>
      <c r="AC37" s="48"/>
      <c r="AD37" s="48"/>
      <c r="AE37" s="48"/>
      <c r="AF37" s="49" t="str">
        <f aca="false">IF(AC37="","",IFERROR(IF(ABS(ABS(AC37)-ABS('Q8.11 Ans'!AC37))&lt;0.5,"✓","✗"),"✗"))</f>
        <v/>
      </c>
    </row>
    <row r="38" customFormat="false" ht="16.5" hidden="false" customHeight="true" outlineLevel="0" collapsed="false">
      <c r="M38" s="50"/>
      <c r="N38" s="50"/>
      <c r="O38" s="50"/>
      <c r="P38" s="49" t="str">
        <f aca="false">IF(M38="","",IFERROR(IF(ABS(ABS(M38)-ABS('Q8.11 Ans'!M38))&lt;0.5,"✓","✗"),"✗"))</f>
        <v/>
      </c>
      <c r="R38" s="43"/>
      <c r="AC38" s="50"/>
      <c r="AD38" s="50"/>
      <c r="AE38" s="50"/>
      <c r="AF38" s="49" t="str">
        <f aca="false">IF(AC38="","",IFERROR(IF(ABS(ABS(AC38)-ABS('Q8.11 Ans'!AC38))&lt;0.5,"✓","✗"),"✗"))</f>
        <v/>
      </c>
    </row>
    <row r="39" customFormat="false" ht="16.5" hidden="false" customHeight="true" outlineLevel="0" collapsed="false">
      <c r="B39" s="32" t="s">
        <v>74</v>
      </c>
      <c r="C39" s="32"/>
      <c r="D39" s="32"/>
      <c r="R39" s="34" t="s">
        <v>74</v>
      </c>
      <c r="S39" s="34"/>
      <c r="T39" s="34"/>
    </row>
    <row r="40" customFormat="false" ht="17.25" hidden="false" customHeight="true" outlineLevel="0" collapsed="false">
      <c r="B40" s="6" t="s">
        <v>62</v>
      </c>
      <c r="C40" s="6"/>
      <c r="D40" s="6"/>
      <c r="E40" s="35" t="s">
        <v>87</v>
      </c>
      <c r="F40" s="35"/>
      <c r="G40" s="35"/>
      <c r="H40" s="35"/>
      <c r="I40" s="35"/>
      <c r="J40" s="35"/>
      <c r="K40" s="35"/>
      <c r="L40" s="36"/>
      <c r="M40" s="48"/>
      <c r="N40" s="48"/>
      <c r="O40" s="48"/>
      <c r="P40" s="49" t="str">
        <f aca="false">IF(M40="","",IFERROR(IF(ABS(ABS(M40)-ABS('Q8.11 Ans'!M40))&lt;0.5,"✓","✗"),"✗"))</f>
        <v/>
      </c>
      <c r="R40" s="37" t="s">
        <v>86</v>
      </c>
      <c r="S40" s="37"/>
      <c r="T40" s="37"/>
      <c r="U40" s="35" t="s">
        <v>59</v>
      </c>
      <c r="V40" s="35"/>
      <c r="W40" s="35"/>
      <c r="X40" s="35"/>
      <c r="Y40" s="35"/>
      <c r="Z40" s="35"/>
      <c r="AA40" s="35"/>
      <c r="AB40" s="36"/>
      <c r="AC40" s="48"/>
      <c r="AD40" s="48"/>
      <c r="AE40" s="48"/>
      <c r="AF40" s="49" t="str">
        <f aca="false">IF(AC40="","",IFERROR(IF(ABS(ABS(AC40)-ABS('Q8.11 Ans'!AC40))&lt;0.5,"✓","✗"),"✗"))</f>
        <v/>
      </c>
    </row>
    <row r="41" customFormat="false" ht="17.25" hidden="false" customHeight="true" outlineLevel="0" collapsed="false">
      <c r="R41" s="37" t="s">
        <v>62</v>
      </c>
      <c r="S41" s="37"/>
      <c r="T41" s="37"/>
      <c r="U41" s="35" t="s">
        <v>63</v>
      </c>
      <c r="V41" s="35"/>
      <c r="W41" s="35"/>
      <c r="X41" s="35"/>
      <c r="Y41" s="35"/>
      <c r="Z41" s="35"/>
      <c r="AA41" s="35"/>
      <c r="AB41" s="36" t="s">
        <v>64</v>
      </c>
      <c r="AC41" s="48"/>
      <c r="AD41" s="48"/>
      <c r="AE41" s="48"/>
      <c r="AF41" s="49" t="str">
        <f aca="false">IF(AC41="","",IFERROR(IF(ABS(ABS(AC41)-ABS('Q8.11 Ans'!AC41))&lt;0.5,"✓","✗"),"✗"))</f>
        <v/>
      </c>
    </row>
    <row r="42" customFormat="false" ht="16.5" hidden="false" customHeight="true" outlineLevel="0" collapsed="false">
      <c r="M42" s="50"/>
      <c r="N42" s="50"/>
      <c r="O42" s="50"/>
      <c r="P42" s="49" t="str">
        <f aca="false">IF(M42="","",IFERROR(IF(ABS(ABS(M42)-ABS('Q8.11 Ans'!M42))&lt;0.5,"✓","✗"),"✗"))</f>
        <v/>
      </c>
      <c r="R42" s="43"/>
      <c r="AC42" s="50"/>
      <c r="AD42" s="50"/>
      <c r="AE42" s="50"/>
      <c r="AF42" s="49" t="str">
        <f aca="false">IF(AC42="","",IFERROR(IF(ABS(ABS(AC42)-ABS('Q8.11 Ans'!AC42))&lt;0.5,"✓","✗"),"✗"))</f>
        <v/>
      </c>
    </row>
    <row r="43" customFormat="false" ht="16.5" hidden="false" customHeight="true" outlineLevel="0" collapsed="false">
      <c r="B43" s="32" t="s">
        <v>47</v>
      </c>
      <c r="C43" s="32"/>
      <c r="D43" s="32"/>
      <c r="R43" s="34" t="s">
        <v>47</v>
      </c>
      <c r="S43" s="34"/>
      <c r="T43" s="34"/>
    </row>
    <row r="44" customFormat="false" ht="17.25" hidden="false" customHeight="true" outlineLevel="0" collapsed="false">
      <c r="B44" s="6" t="s">
        <v>62</v>
      </c>
      <c r="C44" s="6"/>
      <c r="D44" s="6"/>
      <c r="E44" s="35" t="s">
        <v>63</v>
      </c>
      <c r="F44" s="35"/>
      <c r="G44" s="35"/>
      <c r="H44" s="35"/>
      <c r="I44" s="35"/>
      <c r="J44" s="35"/>
      <c r="K44" s="35"/>
      <c r="L44" s="36" t="s">
        <v>176</v>
      </c>
      <c r="M44" s="48"/>
      <c r="N44" s="48"/>
      <c r="O44" s="48"/>
      <c r="P44" s="49" t="str">
        <f aca="false">IF(M44="","",IFERROR(IF(ABS(ABS(M44)-ABS('Q8.11 Ans'!M44))&lt;0.5,"✓","✗"),"✗"))</f>
        <v/>
      </c>
      <c r="R44" s="37" t="s">
        <v>86</v>
      </c>
      <c r="S44" s="37"/>
      <c r="T44" s="37"/>
      <c r="U44" s="35" t="s">
        <v>59</v>
      </c>
      <c r="V44" s="35"/>
      <c r="W44" s="35"/>
      <c r="X44" s="35"/>
      <c r="Y44" s="35"/>
      <c r="Z44" s="35"/>
      <c r="AA44" s="35"/>
      <c r="AB44" s="36"/>
      <c r="AC44" s="48"/>
      <c r="AD44" s="48"/>
      <c r="AE44" s="48"/>
      <c r="AF44" s="49" t="str">
        <f aca="false">IF(AC44="","",IFERROR(IF(ABS(ABS(AC44)-ABS('Q8.11 Ans'!AC44))&lt;0.5,"✓","✗"),"✗"))</f>
        <v/>
      </c>
    </row>
    <row r="45" customFormat="false" ht="17.25" hidden="false" customHeight="true" outlineLevel="0" collapsed="false">
      <c r="B45" s="6" t="s">
        <v>62</v>
      </c>
      <c r="C45" s="6"/>
      <c r="D45" s="6"/>
      <c r="E45" s="35" t="s">
        <v>87</v>
      </c>
      <c r="F45" s="35"/>
      <c r="G45" s="35"/>
      <c r="H45" s="35"/>
      <c r="I45" s="35"/>
      <c r="J45" s="35"/>
      <c r="K45" s="35"/>
      <c r="L45" s="36"/>
      <c r="M45" s="48"/>
      <c r="N45" s="48"/>
      <c r="O45" s="48"/>
      <c r="P45" s="49" t="str">
        <f aca="false">IF(M45="","",IFERROR(IF(ABS(ABS(M45)-ABS('Q8.11 Ans'!M45))&lt;0.5,"✓","✗"),"✗"))</f>
        <v/>
      </c>
      <c r="R45" s="43"/>
    </row>
    <row r="46" customFormat="false" ht="16.5" hidden="false" customHeight="true" outlineLevel="0" collapsed="false">
      <c r="M46" s="50"/>
      <c r="N46" s="50"/>
      <c r="O46" s="50"/>
      <c r="P46" s="49" t="str">
        <f aca="false">IF(M46="","",IFERROR(IF(ABS(ABS(M46)-ABS('Q8.11 Ans'!M46))&lt;0.5,"✓","✗"),"✗"))</f>
        <v/>
      </c>
      <c r="R46" s="43"/>
      <c r="AC46" s="50"/>
      <c r="AD46" s="50"/>
      <c r="AE46" s="50"/>
      <c r="AF46" s="49" t="str">
        <f aca="false">IF(AC46="","",IFERROR(IF(ABS(ABS(AC46)-ABS('Q8.11 Ans'!AC46))&lt;0.5,"✓","✗"),"✗"))</f>
        <v/>
      </c>
    </row>
    <row r="47" customFormat="false" ht="16.5" hidden="false" customHeight="true" outlineLevel="0" collapsed="false">
      <c r="R47" s="34" t="s">
        <v>89</v>
      </c>
      <c r="S47" s="34"/>
      <c r="T47" s="34"/>
    </row>
    <row r="48" customFormat="false" ht="17.25" hidden="false" customHeight="true" outlineLevel="0" collapsed="false">
      <c r="R48" s="37" t="s">
        <v>86</v>
      </c>
      <c r="S48" s="37"/>
      <c r="T48" s="37"/>
      <c r="U48" s="35" t="s">
        <v>59</v>
      </c>
      <c r="V48" s="35"/>
      <c r="W48" s="35"/>
      <c r="X48" s="35"/>
      <c r="Y48" s="35"/>
      <c r="Z48" s="35"/>
      <c r="AA48" s="35"/>
      <c r="AB48" s="36"/>
      <c r="AC48" s="48"/>
      <c r="AD48" s="48"/>
      <c r="AE48" s="48"/>
      <c r="AF48" s="49" t="str">
        <f aca="false">IF(AC48="","",IFERROR(IF(ABS(ABS(AC48)-ABS('Q8.11 Ans'!AC48))&lt;0.5,"✓","✗"),"✗"))</f>
        <v/>
      </c>
    </row>
    <row r="50" customFormat="false" ht="18.75" hidden="false" customHeight="true" outlineLevel="0" collapsed="false">
      <c r="B50" s="3" t="s">
        <v>177</v>
      </c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1" customFormat="false" ht="15" hidden="false" customHeight="false" outlineLevel="0" collapsed="false">
      <c r="B51" s="25" t="s">
        <v>91</v>
      </c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  <c r="AB51" s="25"/>
      <c r="AC51" s="25"/>
      <c r="AD51" s="25"/>
      <c r="AE51" s="25"/>
      <c r="AF51" s="25"/>
    </row>
    <row r="52" customFormat="false" ht="15" hidden="false" customHeight="false" outlineLevel="0" collapsed="false">
      <c r="B52" s="44"/>
      <c r="C52" s="44"/>
      <c r="D52" s="44"/>
      <c r="E52" s="15" t="s">
        <v>44</v>
      </c>
      <c r="F52" s="15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6" t="s">
        <v>48</v>
      </c>
      <c r="S52" s="16"/>
      <c r="T52" s="16"/>
      <c r="U52" s="16"/>
      <c r="V52" s="16"/>
      <c r="W52" s="16" t="s">
        <v>48</v>
      </c>
      <c r="X52" s="16"/>
      <c r="Y52" s="16"/>
      <c r="Z52" s="16"/>
      <c r="AA52" s="16"/>
      <c r="AB52" s="16" t="s">
        <v>48</v>
      </c>
      <c r="AC52" s="16"/>
      <c r="AD52" s="16"/>
      <c r="AE52" s="16"/>
      <c r="AF52" s="16"/>
    </row>
    <row r="53" customFormat="false" ht="30" hidden="false" customHeight="true" outlineLevel="0" collapsed="false">
      <c r="B53" s="44"/>
      <c r="C53" s="44"/>
      <c r="D53" s="44"/>
      <c r="E53" s="44"/>
      <c r="F53" s="44"/>
      <c r="G53" s="44"/>
      <c r="H53" s="44"/>
      <c r="I53" s="44"/>
      <c r="J53" s="44"/>
      <c r="K53" s="44"/>
      <c r="L53" s="44"/>
      <c r="M53" s="44"/>
      <c r="N53" s="44"/>
      <c r="O53" s="44"/>
      <c r="P53" s="44"/>
      <c r="Q53" s="44"/>
      <c r="R53" s="11" t="s">
        <v>92</v>
      </c>
      <c r="S53" s="11"/>
      <c r="T53" s="11"/>
      <c r="U53" s="11"/>
      <c r="V53" s="11"/>
      <c r="W53" s="11" t="s">
        <v>93</v>
      </c>
      <c r="X53" s="11"/>
      <c r="Y53" s="11"/>
      <c r="Z53" s="11"/>
      <c r="AA53" s="11"/>
      <c r="AB53" s="11" t="s">
        <v>94</v>
      </c>
      <c r="AC53" s="11"/>
      <c r="AD53" s="11"/>
      <c r="AE53" s="11"/>
      <c r="AF53" s="11"/>
    </row>
    <row r="54" customFormat="false" ht="17.25" hidden="false" customHeight="true" outlineLevel="0" collapsed="false">
      <c r="B54" s="45"/>
      <c r="C54" s="45"/>
      <c r="D54" s="45"/>
      <c r="E54" s="46" t="s">
        <v>95</v>
      </c>
      <c r="F54" s="46"/>
      <c r="G54" s="46"/>
      <c r="H54" s="46"/>
      <c r="I54" s="46"/>
      <c r="J54" s="46"/>
      <c r="K54" s="46"/>
      <c r="L54" s="46"/>
      <c r="M54" s="46"/>
      <c r="N54" s="46"/>
      <c r="O54" s="46"/>
      <c r="P54" s="46"/>
      <c r="Q54" s="46"/>
    </row>
    <row r="55" customFormat="false" ht="17.25" hidden="false" customHeight="true" outlineLevel="0" collapsed="false">
      <c r="B55" s="45"/>
      <c r="C55" s="45"/>
      <c r="D55" s="45"/>
      <c r="E55" s="35" t="s">
        <v>96</v>
      </c>
      <c r="F55" s="35"/>
      <c r="G55" s="35"/>
      <c r="H55" s="35"/>
      <c r="I55" s="35"/>
      <c r="J55" s="35"/>
      <c r="K55" s="35"/>
      <c r="L55" s="35"/>
      <c r="M55" s="35"/>
      <c r="N55" s="35"/>
      <c r="O55" s="35"/>
      <c r="P55" s="35"/>
      <c r="Q55" s="35"/>
      <c r="R55" s="48"/>
      <c r="S55" s="48"/>
      <c r="T55" s="48"/>
      <c r="U55" s="48"/>
      <c r="V55" s="49" t="str">
        <f aca="false">IF(R55="","",IFERROR(IF(ABS(ABS(R55)-ABS('Q8.11 Ans'!R55))&lt;0.5,"✓","✗"),"✗"))</f>
        <v/>
      </c>
    </row>
    <row r="56" customFormat="false" ht="17.25" hidden="false" customHeight="true" outlineLevel="0" collapsed="false">
      <c r="B56" s="45" t="s">
        <v>97</v>
      </c>
      <c r="C56" s="45"/>
      <c r="D56" s="45"/>
      <c r="E56" s="35" t="s">
        <v>98</v>
      </c>
      <c r="F56" s="35"/>
      <c r="G56" s="35"/>
      <c r="H56" s="35"/>
      <c r="I56" s="35"/>
      <c r="J56" s="35"/>
      <c r="K56" s="35"/>
      <c r="L56" s="35"/>
      <c r="M56" s="35"/>
      <c r="N56" s="35"/>
      <c r="O56" s="35"/>
      <c r="P56" s="35"/>
      <c r="Q56" s="35"/>
      <c r="R56" s="52"/>
      <c r="S56" s="52"/>
      <c r="T56" s="52"/>
      <c r="U56" s="52"/>
      <c r="V56" s="49" t="str">
        <f aca="false">IF(R56="","",IFERROR(IF(ABS(ABS(R56)-ABS('Q8.11 Ans'!R56))&lt;0.5,"✓","✗"),"✗"))</f>
        <v/>
      </c>
      <c r="W56" s="48"/>
      <c r="X56" s="48"/>
      <c r="Y56" s="48"/>
      <c r="Z56" s="48"/>
      <c r="AA56" s="49" t="str">
        <f aca="false">IF(W56="","",IFERROR(IF(ABS(ABS(W56)-ABS('Q8.11 Ans'!W56))&lt;0.5,"✓","✗"),"✗"))</f>
        <v/>
      </c>
    </row>
  </sheetData>
  <mergeCells count="118">
    <mergeCell ref="B1:AF1"/>
    <mergeCell ref="B2:AF2"/>
    <mergeCell ref="B3:G3"/>
    <mergeCell ref="H3:AF3"/>
    <mergeCell ref="B5:AF5"/>
    <mergeCell ref="B6:W6"/>
    <mergeCell ref="X6:AC6"/>
    <mergeCell ref="B7:AC7"/>
    <mergeCell ref="B8:W8"/>
    <mergeCell ref="X8:AC8"/>
    <mergeCell ref="B9:W9"/>
    <mergeCell ref="X9:AC9"/>
    <mergeCell ref="B10:AC10"/>
    <mergeCell ref="B11:W11"/>
    <mergeCell ref="X11:AC11"/>
    <mergeCell ref="B12:W12"/>
    <mergeCell ref="X12:AC12"/>
    <mergeCell ref="B13:AC13"/>
    <mergeCell ref="B14:W14"/>
    <mergeCell ref="X14:AC14"/>
    <mergeCell ref="B15:W15"/>
    <mergeCell ref="X15:AC15"/>
    <mergeCell ref="B16:AC16"/>
    <mergeCell ref="B17:W17"/>
    <mergeCell ref="X17:AC17"/>
    <mergeCell ref="B20:AF20"/>
    <mergeCell ref="B21:W21"/>
    <mergeCell ref="X21:AB21"/>
    <mergeCell ref="B22:W22"/>
    <mergeCell ref="X22:AB22"/>
    <mergeCell ref="B23:W23"/>
    <mergeCell ref="X23:AB23"/>
    <mergeCell ref="B25:AF25"/>
    <mergeCell ref="B26:W26"/>
    <mergeCell ref="X26:AB26"/>
    <mergeCell ref="B27:W27"/>
    <mergeCell ref="X27:AB27"/>
    <mergeCell ref="B28:W28"/>
    <mergeCell ref="X28:AB28"/>
    <mergeCell ref="B29:S29"/>
    <mergeCell ref="T29:AB29"/>
    <mergeCell ref="B30:S30"/>
    <mergeCell ref="T30:AB30"/>
    <mergeCell ref="B31:S31"/>
    <mergeCell ref="T31:AB31"/>
    <mergeCell ref="B33:AF33"/>
    <mergeCell ref="B34:D34"/>
    <mergeCell ref="E34:AC34"/>
    <mergeCell ref="AD34:AF34"/>
    <mergeCell ref="B35:D35"/>
    <mergeCell ref="E35:K35"/>
    <mergeCell ref="M35:P35"/>
    <mergeCell ref="R35:T35"/>
    <mergeCell ref="U35:AA35"/>
    <mergeCell ref="AC35:AF35"/>
    <mergeCell ref="B36:D36"/>
    <mergeCell ref="M36:O36"/>
    <mergeCell ref="R36:T36"/>
    <mergeCell ref="AC36:AE36"/>
    <mergeCell ref="B37:D37"/>
    <mergeCell ref="E37:K37"/>
    <mergeCell ref="M37:O37"/>
    <mergeCell ref="R37:T37"/>
    <mergeCell ref="U37:AA37"/>
    <mergeCell ref="AC37:AE37"/>
    <mergeCell ref="M38:O38"/>
    <mergeCell ref="AC38:AE38"/>
    <mergeCell ref="B39:D39"/>
    <mergeCell ref="R39:T39"/>
    <mergeCell ref="B40:D40"/>
    <mergeCell ref="E40:K40"/>
    <mergeCell ref="M40:O40"/>
    <mergeCell ref="R40:T40"/>
    <mergeCell ref="U40:AA40"/>
    <mergeCell ref="AC40:AE40"/>
    <mergeCell ref="R41:T41"/>
    <mergeCell ref="U41:AA41"/>
    <mergeCell ref="AC41:AE41"/>
    <mergeCell ref="M42:O42"/>
    <mergeCell ref="AC42:AE42"/>
    <mergeCell ref="B43:D43"/>
    <mergeCell ref="R43:T43"/>
    <mergeCell ref="B44:D44"/>
    <mergeCell ref="E44:K44"/>
    <mergeCell ref="M44:O44"/>
    <mergeCell ref="R44:T44"/>
    <mergeCell ref="U44:AA44"/>
    <mergeCell ref="AC44:AE44"/>
    <mergeCell ref="B45:D45"/>
    <mergeCell ref="E45:K45"/>
    <mergeCell ref="M45:O45"/>
    <mergeCell ref="M46:O46"/>
    <mergeCell ref="AC46:AE46"/>
    <mergeCell ref="R47:T47"/>
    <mergeCell ref="R48:T48"/>
    <mergeCell ref="U48:AA48"/>
    <mergeCell ref="AC48:AE48"/>
    <mergeCell ref="B50:AF50"/>
    <mergeCell ref="B51:AF51"/>
    <mergeCell ref="B52:D52"/>
    <mergeCell ref="E52:Q52"/>
    <mergeCell ref="R52:V52"/>
    <mergeCell ref="W52:AA52"/>
    <mergeCell ref="AB52:AF52"/>
    <mergeCell ref="B53:D53"/>
    <mergeCell ref="E53:Q53"/>
    <mergeCell ref="R53:V53"/>
    <mergeCell ref="W53:AA53"/>
    <mergeCell ref="AB53:AF53"/>
    <mergeCell ref="B54:D54"/>
    <mergeCell ref="E54:Q54"/>
    <mergeCell ref="B55:D55"/>
    <mergeCell ref="E55:Q55"/>
    <mergeCell ref="R55:U55"/>
    <mergeCell ref="B56:D56"/>
    <mergeCell ref="E56:Q56"/>
    <mergeCell ref="R56:U56"/>
    <mergeCell ref="W56:Z56"/>
  </mergeCells>
  <conditionalFormatting sqref="B4:AG57">
    <cfRule type="cellIs" priority="2" operator="equal" aboveAverage="0" equalAverage="0" bottom="0" percent="0" rank="0" text="" dxfId="0">
      <formula>"✓"</formula>
    </cfRule>
    <cfRule type="cellIs" priority="3" operator="equal" aboveAverage="0" equalAverage="0" bottom="0" percent="0" rank="0" text="" dxfId="1">
      <formula>"✗"</formula>
    </cfRule>
  </conditionalFormatting>
  <dataValidations count="3">
    <dataValidation allowBlank="true" errorStyle="stop" operator="between" showDropDown="false" showErrorMessage="false" showInputMessage="false" sqref="T29" type="list">
      <formula1>"Expense,Income"</formula1>
      <formula2>0</formula2>
    </dataValidation>
    <dataValidation allowBlank="true" errorStyle="stop" operator="between" showDropDown="false" showErrorMessage="false" showInputMessage="false" sqref="T30" type="list">
      <formula1>"Expense,Income"</formula1>
      <formula2>0</formula2>
    </dataValidation>
    <dataValidation allowBlank="true" errorStyle="stop" operator="between" showDropDown="false" showErrorMessage="false" showInputMessage="false" sqref="T31" type="list">
      <formula1>"Expense,Income"</formula1>
      <formula2>0</formula2>
    </dataValidation>
  </dataValidations>
  <printOptions headings="false" gridLines="false" gridLinesSet="true" horizontalCentered="false" verticalCentered="false"/>
  <pageMargins left="0.4" right="0.4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597"/>
    <pageSetUpPr fitToPage="true"/>
  </sheetPr>
  <dimension ref="B1:AF59"/>
  <sheetViews>
    <sheetView showFormulas="false" showGridLines="fals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34" min="2" style="0" width="4.6"/>
  </cols>
  <sheetData>
    <row r="1" customFormat="false" ht="25.5" hidden="false" customHeight="true" outlineLevel="0" collapsed="false">
      <c r="B1" s="1" t="s">
        <v>178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</row>
    <row r="2" customFormat="false" ht="15" hidden="false" customHeight="false" outlineLevel="0" collapsed="false">
      <c r="B2" s="14" t="s">
        <v>100</v>
      </c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</row>
    <row r="3" customFormat="false" ht="15" hidden="false" customHeight="false" outlineLevel="0" collapsed="false">
      <c r="B3" s="24" t="s">
        <v>101</v>
      </c>
      <c r="C3" s="24"/>
      <c r="D3" s="24"/>
      <c r="E3" s="24"/>
      <c r="F3" s="24"/>
      <c r="G3" s="24"/>
      <c r="H3" s="24" t="str">
        <f aca="false">COUNTIF(B4:AG60,"✓")&amp;" correct out of 18 answer cells"</f>
        <v>0 correct out of 18 answer cells</v>
      </c>
      <c r="I3" s="24"/>
      <c r="J3" s="24"/>
      <c r="K3" s="24"/>
      <c r="L3" s="24"/>
      <c r="M3" s="24"/>
      <c r="N3" s="24"/>
      <c r="O3" s="24"/>
      <c r="P3" s="24"/>
      <c r="Q3" s="24"/>
      <c r="R3" s="24"/>
      <c r="S3" s="24"/>
      <c r="T3" s="24"/>
      <c r="U3" s="24"/>
      <c r="V3" s="24"/>
      <c r="W3" s="24"/>
      <c r="X3" s="24"/>
      <c r="Y3" s="24"/>
      <c r="Z3" s="24"/>
      <c r="AA3" s="24"/>
      <c r="AB3" s="24"/>
      <c r="AC3" s="24"/>
      <c r="AD3" s="24"/>
      <c r="AE3" s="24"/>
      <c r="AF3" s="24"/>
    </row>
    <row r="5" customFormat="false" ht="16.5" hidden="false" customHeight="true" outlineLevel="0" collapsed="false">
      <c r="B5" s="4" t="s">
        <v>179</v>
      </c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</row>
    <row r="6" customFormat="false" ht="16.5" hidden="false" customHeight="true" outlineLevel="0" collapsed="false">
      <c r="C6" s="4" t="s">
        <v>180</v>
      </c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</row>
    <row r="7" customFormat="false" ht="16.5" hidden="false" customHeight="true" outlineLevel="0" collapsed="false">
      <c r="C7" s="4" t="s">
        <v>181</v>
      </c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</row>
    <row r="8" customFormat="false" ht="16.5" hidden="false" customHeight="true" outlineLevel="0" collapsed="false">
      <c r="C8" s="4" t="s">
        <v>182</v>
      </c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</row>
    <row r="9" customFormat="false" ht="16.5" hidden="false" customHeight="true" outlineLevel="0" collapsed="false">
      <c r="C9" s="4" t="s">
        <v>183</v>
      </c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</row>
    <row r="10" customFormat="false" ht="15" hidden="false" customHeight="false" outlineLevel="0" collapsed="false">
      <c r="B10" s="15" t="s">
        <v>105</v>
      </c>
      <c r="C10" s="15"/>
      <c r="D10" s="15"/>
      <c r="E10" s="15"/>
      <c r="F10" s="15"/>
      <c r="G10" s="15"/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6" t="s">
        <v>39</v>
      </c>
      <c r="Y10" s="16"/>
      <c r="Z10" s="16"/>
      <c r="AA10" s="16"/>
      <c r="AB10" s="16"/>
      <c r="AC10" s="16"/>
    </row>
    <row r="11" customFormat="false" ht="16.5" hidden="false" customHeight="true" outlineLevel="0" collapsed="false">
      <c r="B11" s="12" t="s">
        <v>184</v>
      </c>
      <c r="C11" s="12"/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12"/>
      <c r="O11" s="12"/>
      <c r="P11" s="12"/>
      <c r="Q11" s="12"/>
      <c r="R11" s="12"/>
      <c r="S11" s="12"/>
      <c r="T11" s="12"/>
      <c r="U11" s="12"/>
      <c r="V11" s="12"/>
      <c r="W11" s="12"/>
      <c r="X11" s="17" t="n">
        <v>18000</v>
      </c>
      <c r="Y11" s="17"/>
      <c r="Z11" s="17"/>
      <c r="AA11" s="17"/>
      <c r="AB11" s="17"/>
      <c r="AC11" s="17"/>
    </row>
    <row r="12" customFormat="false" ht="16.5" hidden="false" customHeight="true" outlineLevel="0" collapsed="false">
      <c r="B12" s="12" t="s">
        <v>185</v>
      </c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7" t="n">
        <v>41500</v>
      </c>
      <c r="Y12" s="17"/>
      <c r="Z12" s="17"/>
      <c r="AA12" s="17"/>
      <c r="AB12" s="17"/>
      <c r="AC12" s="17"/>
    </row>
    <row r="13" customFormat="false" ht="16.5" hidden="false" customHeight="true" outlineLevel="0" collapsed="false">
      <c r="B13" s="12" t="s">
        <v>186</v>
      </c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7" t="n">
        <v>1500</v>
      </c>
      <c r="Y13" s="17"/>
      <c r="Z13" s="17"/>
      <c r="AA13" s="17"/>
      <c r="AB13" s="17"/>
      <c r="AC13" s="17"/>
    </row>
    <row r="14" customFormat="false" ht="16.5" hidden="false" customHeight="true" outlineLevel="0" collapsed="false">
      <c r="B14" s="12" t="s">
        <v>187</v>
      </c>
      <c r="C14" s="12"/>
      <c r="D14" s="12"/>
      <c r="E14" s="12"/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2"/>
      <c r="R14" s="12"/>
      <c r="S14" s="12"/>
      <c r="T14" s="12"/>
      <c r="U14" s="12"/>
      <c r="V14" s="12"/>
      <c r="W14" s="12"/>
      <c r="X14" s="17" t="n">
        <v>300</v>
      </c>
      <c r="Y14" s="17"/>
      <c r="Z14" s="17"/>
      <c r="AA14" s="17"/>
      <c r="AB14" s="17"/>
      <c r="AC14" s="17"/>
    </row>
    <row r="15" customFormat="false" ht="16.5" hidden="false" customHeight="true" outlineLevel="0" collapsed="false">
      <c r="B15" s="12" t="s">
        <v>188</v>
      </c>
      <c r="C15" s="12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7" t="n">
        <v>2500</v>
      </c>
      <c r="Y15" s="17"/>
      <c r="Z15" s="17"/>
      <c r="AA15" s="17"/>
      <c r="AB15" s="17"/>
      <c r="AC15" s="17"/>
    </row>
    <row r="16" customFormat="false" ht="16.5" hidden="false" customHeight="true" outlineLevel="0" collapsed="false">
      <c r="B16" s="12" t="s">
        <v>78</v>
      </c>
      <c r="C16" s="12"/>
      <c r="D16" s="12"/>
      <c r="E16" s="12"/>
      <c r="F16" s="12"/>
      <c r="G16" s="12"/>
      <c r="H16" s="12"/>
      <c r="I16" s="12"/>
      <c r="J16" s="12"/>
      <c r="K16" s="12"/>
      <c r="L16" s="12"/>
      <c r="M16" s="12"/>
      <c r="N16" s="12"/>
      <c r="O16" s="12"/>
      <c r="P16" s="12"/>
      <c r="Q16" s="12"/>
      <c r="R16" s="12"/>
      <c r="S16" s="12"/>
      <c r="T16" s="12"/>
      <c r="U16" s="12"/>
      <c r="V16" s="12"/>
      <c r="W16" s="12"/>
      <c r="X16" s="39" t="n">
        <v>0.05</v>
      </c>
      <c r="Y16" s="39"/>
      <c r="Z16" s="39"/>
      <c r="AA16" s="39"/>
      <c r="AB16" s="39"/>
      <c r="AC16" s="39"/>
    </row>
    <row r="19" customFormat="false" ht="18.75" hidden="false" customHeight="true" outlineLevel="0" collapsed="false">
      <c r="B19" s="3" t="s">
        <v>189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</row>
    <row r="20" customFormat="false" ht="17.25" hidden="false" customHeight="true" outlineLevel="0" collapsed="false">
      <c r="B20" s="51" t="s">
        <v>190</v>
      </c>
      <c r="C20" s="51"/>
      <c r="D20" s="51"/>
      <c r="E20" s="51"/>
      <c r="F20" s="51"/>
      <c r="G20" s="51"/>
      <c r="H20" s="51"/>
      <c r="I20" s="51"/>
      <c r="J20" s="51"/>
      <c r="K20" s="51"/>
      <c r="L20" s="51"/>
      <c r="M20" s="51"/>
      <c r="N20" s="51"/>
      <c r="O20" s="51"/>
      <c r="P20" s="51"/>
      <c r="Q20" s="51"/>
      <c r="R20" s="51"/>
      <c r="S20" s="51"/>
      <c r="T20" s="51"/>
      <c r="U20" s="51"/>
      <c r="V20" s="51"/>
      <c r="W20" s="51"/>
      <c r="X20" s="48"/>
      <c r="Y20" s="48"/>
      <c r="Z20" s="48"/>
      <c r="AA20" s="48"/>
      <c r="AB20" s="48"/>
      <c r="AC20" s="49" t="str">
        <f aca="false">IF(X20="","",IFERROR(IF(ABS(ABS(X20)-ABS('Q8.12 Ans'!X20))&lt;0.5,"✓","✗"),"✗"))</f>
        <v/>
      </c>
    </row>
    <row r="22" customFormat="false" ht="18.75" hidden="false" customHeight="true" outlineLevel="0" collapsed="false">
      <c r="B22" s="3" t="s">
        <v>191</v>
      </c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</row>
    <row r="23" customFormat="false" ht="17.25" hidden="false" customHeight="true" outlineLevel="0" collapsed="false">
      <c r="B23" s="51" t="s">
        <v>192</v>
      </c>
      <c r="C23" s="51"/>
      <c r="D23" s="51"/>
      <c r="E23" s="51"/>
      <c r="F23" s="51"/>
      <c r="G23" s="51"/>
      <c r="H23" s="51"/>
      <c r="I23" s="51"/>
      <c r="J23" s="51"/>
      <c r="K23" s="51"/>
      <c r="L23" s="51"/>
      <c r="M23" s="51"/>
      <c r="N23" s="51"/>
      <c r="O23" s="51"/>
      <c r="P23" s="51"/>
      <c r="Q23" s="51"/>
      <c r="R23" s="51"/>
      <c r="S23" s="51"/>
      <c r="T23" s="51"/>
      <c r="U23" s="51"/>
      <c r="V23" s="51"/>
      <c r="W23" s="51"/>
      <c r="X23" s="48"/>
      <c r="Y23" s="48"/>
      <c r="Z23" s="48"/>
      <c r="AA23" s="48"/>
      <c r="AB23" s="48"/>
      <c r="AC23" s="49" t="str">
        <f aca="false">IF(X23="","",IFERROR(IF(ABS(ABS(X23)-ABS('Q8.12 Ans'!X23))&lt;0.5,"✓","✗"),"✗"))</f>
        <v/>
      </c>
    </row>
    <row r="24" customFormat="false" ht="17.25" hidden="false" customHeight="true" outlineLevel="0" collapsed="false">
      <c r="B24" s="51" t="s">
        <v>193</v>
      </c>
      <c r="C24" s="51"/>
      <c r="D24" s="51"/>
      <c r="E24" s="51"/>
      <c r="F24" s="51"/>
      <c r="G24" s="51"/>
      <c r="H24" s="51"/>
      <c r="I24" s="51"/>
      <c r="J24" s="51"/>
      <c r="K24" s="51"/>
      <c r="L24" s="51"/>
      <c r="M24" s="51"/>
      <c r="N24" s="51"/>
      <c r="O24" s="51"/>
      <c r="P24" s="51"/>
      <c r="Q24" s="51"/>
      <c r="R24" s="51"/>
      <c r="S24" s="51"/>
      <c r="T24" s="51"/>
      <c r="U24" s="51"/>
      <c r="V24" s="51"/>
      <c r="W24" s="51"/>
      <c r="X24" s="48"/>
      <c r="Y24" s="48"/>
      <c r="Z24" s="48"/>
      <c r="AA24" s="48"/>
      <c r="AB24" s="48"/>
      <c r="AC24" s="49" t="str">
        <f aca="false">IF(X24="","",IFERROR(IF(ABS(ABS(X24)-ABS('Q8.12 Ans'!X24))&lt;0.5,"✓","✗"),"✗"))</f>
        <v/>
      </c>
    </row>
    <row r="25" customFormat="false" ht="17.25" hidden="false" customHeight="true" outlineLevel="0" collapsed="false">
      <c r="B25" s="51" t="s">
        <v>194</v>
      </c>
      <c r="C25" s="51"/>
      <c r="D25" s="51"/>
      <c r="E25" s="51"/>
      <c r="F25" s="51"/>
      <c r="G25" s="51"/>
      <c r="H25" s="51"/>
      <c r="I25" s="51"/>
      <c r="J25" s="51"/>
      <c r="K25" s="51"/>
      <c r="L25" s="51"/>
      <c r="M25" s="51"/>
      <c r="N25" s="51"/>
      <c r="O25" s="51"/>
      <c r="P25" s="51"/>
      <c r="Q25" s="51"/>
      <c r="R25" s="51"/>
      <c r="S25" s="51"/>
      <c r="T25" s="53"/>
      <c r="U25" s="53"/>
      <c r="V25" s="53"/>
      <c r="W25" s="53"/>
      <c r="X25" s="53"/>
      <c r="Y25" s="53"/>
      <c r="Z25" s="53"/>
      <c r="AA25" s="53"/>
      <c r="AB25" s="53"/>
      <c r="AC25" s="54" t="str">
        <f aca="false">IF(T25="","",IF(LOWER(TRIM(T25))=LOWER('Q8.12 Ans'!T25),"✓","✗"))</f>
        <v/>
      </c>
    </row>
    <row r="27" customFormat="false" ht="18.75" hidden="false" customHeight="true" outlineLevel="0" collapsed="false">
      <c r="B27" s="3" t="s">
        <v>195</v>
      </c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</row>
    <row r="28" customFormat="false" ht="15" hidden="false" customHeight="false" outlineLevel="0" collapsed="false">
      <c r="B28" s="25" t="s">
        <v>196</v>
      </c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  <c r="P28" s="25"/>
      <c r="Q28" s="25"/>
      <c r="R28" s="25"/>
      <c r="S28" s="25"/>
      <c r="T28" s="25"/>
      <c r="U28" s="25"/>
      <c r="V28" s="25"/>
      <c r="W28" s="25"/>
      <c r="X28" s="25"/>
      <c r="Y28" s="25"/>
      <c r="Z28" s="25"/>
      <c r="AA28" s="25"/>
      <c r="AB28" s="25"/>
      <c r="AC28" s="25"/>
      <c r="AD28" s="25"/>
      <c r="AE28" s="25"/>
      <c r="AF28" s="25"/>
    </row>
    <row r="29" customFormat="false" ht="15" hidden="false" customHeight="false" outlineLevel="0" collapsed="false">
      <c r="B29" s="44"/>
      <c r="C29" s="44"/>
      <c r="D29" s="44"/>
      <c r="E29" s="15" t="s">
        <v>44</v>
      </c>
      <c r="F29" s="15"/>
      <c r="G29" s="15"/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6" t="s">
        <v>48</v>
      </c>
      <c r="S29" s="16"/>
      <c r="T29" s="16"/>
      <c r="U29" s="16"/>
      <c r="V29" s="16"/>
      <c r="W29" s="16" t="s">
        <v>48</v>
      </c>
      <c r="X29" s="16"/>
      <c r="Y29" s="16"/>
      <c r="Z29" s="16"/>
      <c r="AA29" s="16"/>
      <c r="AB29" s="16" t="s">
        <v>48</v>
      </c>
      <c r="AC29" s="16"/>
      <c r="AD29" s="16"/>
      <c r="AE29" s="16"/>
      <c r="AF29" s="16"/>
    </row>
    <row r="30" customFormat="false" ht="17.25" hidden="false" customHeight="true" outlineLevel="0" collapsed="false">
      <c r="B30" s="45"/>
      <c r="C30" s="45"/>
      <c r="D30" s="45"/>
      <c r="E30" s="35" t="s">
        <v>197</v>
      </c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AB30" s="48"/>
      <c r="AC30" s="48"/>
      <c r="AD30" s="48"/>
      <c r="AE30" s="48"/>
      <c r="AF30" s="49" t="str">
        <f aca="false">IF(AB30="","",IFERROR(IF(ABS(ABS(AB30)-ABS('Q8.12 Ans'!AB30))&lt;0.5,"✓","✗"),"✗"))</f>
        <v/>
      </c>
    </row>
    <row r="31" customFormat="false" ht="17.25" hidden="false" customHeight="true" outlineLevel="0" collapsed="false">
      <c r="B31" s="45" t="s">
        <v>97</v>
      </c>
      <c r="C31" s="45"/>
      <c r="D31" s="45"/>
      <c r="E31" s="35" t="s">
        <v>198</v>
      </c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AB31" s="48"/>
      <c r="AC31" s="48"/>
      <c r="AD31" s="48"/>
      <c r="AE31" s="48"/>
      <c r="AF31" s="49" t="str">
        <f aca="false">IF(AB31="","",IFERROR(IF(ABS(ABS(AB31)-ABS('Q8.12 Ans'!AB31))&lt;0.5,"✓","✗"),"✗"))</f>
        <v/>
      </c>
    </row>
    <row r="32" customFormat="false" ht="17.25" hidden="false" customHeight="true" outlineLevel="0" collapsed="false">
      <c r="B32" s="45" t="s">
        <v>153</v>
      </c>
      <c r="C32" s="45"/>
      <c r="D32" s="45"/>
      <c r="E32" s="35" t="s">
        <v>67</v>
      </c>
      <c r="F32" s="35"/>
      <c r="G32" s="35"/>
      <c r="H32" s="35"/>
      <c r="I32" s="35"/>
      <c r="J32" s="35"/>
      <c r="K32" s="35"/>
      <c r="L32" s="35"/>
      <c r="M32" s="35"/>
      <c r="N32" s="35"/>
      <c r="O32" s="35"/>
      <c r="P32" s="35"/>
      <c r="Q32" s="35"/>
      <c r="AB32" s="48"/>
      <c r="AC32" s="48"/>
      <c r="AD32" s="48"/>
      <c r="AE32" s="48"/>
      <c r="AF32" s="49" t="str">
        <f aca="false">IF(AB32="","",IFERROR(IF(ABS(ABS(AB32)-ABS('Q8.12 Ans'!AB32))&lt;0.5,"✓","✗"),"✗"))</f>
        <v/>
      </c>
    </row>
    <row r="33" customFormat="false" ht="17.25" hidden="false" customHeight="true" outlineLevel="0" collapsed="false">
      <c r="B33" s="45" t="s">
        <v>153</v>
      </c>
      <c r="C33" s="45"/>
      <c r="D33" s="45"/>
      <c r="E33" s="35" t="s">
        <v>199</v>
      </c>
      <c r="F33" s="35"/>
      <c r="G33" s="35"/>
      <c r="H33" s="35"/>
      <c r="I33" s="35"/>
      <c r="J33" s="35"/>
      <c r="K33" s="35"/>
      <c r="L33" s="35"/>
      <c r="M33" s="35"/>
      <c r="N33" s="35"/>
      <c r="O33" s="35"/>
      <c r="P33" s="35"/>
      <c r="Q33" s="35"/>
      <c r="AB33" s="52"/>
      <c r="AC33" s="52"/>
      <c r="AD33" s="52"/>
      <c r="AE33" s="52"/>
      <c r="AF33" s="49" t="str">
        <f aca="false">IF(AB33="","",IFERROR(IF(ABS(ABS(AB33)-ABS('Q8.12 Ans'!AB33))&lt;0.5,"✓","✗"),"✗"))</f>
        <v/>
      </c>
    </row>
    <row r="34" customFormat="false" ht="17.25" hidden="false" customHeight="true" outlineLevel="0" collapsed="false">
      <c r="B34" s="45"/>
      <c r="C34" s="45"/>
      <c r="D34" s="45"/>
      <c r="E34" s="55" t="s">
        <v>200</v>
      </c>
      <c r="F34" s="55"/>
      <c r="G34" s="55"/>
      <c r="H34" s="55"/>
      <c r="I34" s="55"/>
      <c r="J34" s="55"/>
      <c r="K34" s="55"/>
      <c r="L34" s="55"/>
      <c r="M34" s="55"/>
      <c r="N34" s="55"/>
      <c r="O34" s="55"/>
      <c r="P34" s="55"/>
      <c r="Q34" s="55"/>
      <c r="AB34" s="50"/>
      <c r="AC34" s="50"/>
      <c r="AD34" s="50"/>
      <c r="AE34" s="50"/>
      <c r="AF34" s="49" t="str">
        <f aca="false">IF(AB34="","",IFERROR(IF(ABS(ABS(AB34)-ABS('Q8.12 Ans'!AB34))&lt;0.5,"✓","✗"),"✗"))</f>
        <v/>
      </c>
    </row>
    <row r="36" customFormat="false" ht="18.75" hidden="false" customHeight="true" outlineLevel="0" collapsed="false">
      <c r="B36" s="3" t="s">
        <v>201</v>
      </c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</row>
    <row r="37" customFormat="false" ht="15" hidden="false" customHeight="false" outlineLevel="0" collapsed="false">
      <c r="B37" s="24" t="s">
        <v>53</v>
      </c>
      <c r="C37" s="24"/>
      <c r="D37" s="24"/>
      <c r="E37" s="25" t="s">
        <v>84</v>
      </c>
      <c r="F37" s="25"/>
      <c r="G37" s="25"/>
      <c r="H37" s="25"/>
      <c r="I37" s="25"/>
      <c r="J37" s="25"/>
      <c r="K37" s="25"/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  <c r="AB37" s="25"/>
      <c r="AC37" s="25"/>
      <c r="AD37" s="26" t="s">
        <v>55</v>
      </c>
      <c r="AE37" s="26"/>
      <c r="AF37" s="26"/>
    </row>
    <row r="38" customFormat="false" ht="15" hidden="false" customHeight="false" outlineLevel="0" collapsed="false">
      <c r="B38" s="27" t="s">
        <v>43</v>
      </c>
      <c r="C38" s="27"/>
      <c r="D38" s="27"/>
      <c r="E38" s="27" t="s">
        <v>44</v>
      </c>
      <c r="F38" s="27"/>
      <c r="G38" s="27"/>
      <c r="H38" s="27"/>
      <c r="I38" s="27"/>
      <c r="J38" s="27"/>
      <c r="K38" s="27"/>
      <c r="L38" s="28" t="s">
        <v>56</v>
      </c>
      <c r="M38" s="29" t="s">
        <v>57</v>
      </c>
      <c r="N38" s="29"/>
      <c r="O38" s="29"/>
      <c r="P38" s="29"/>
      <c r="Q38" s="30"/>
      <c r="R38" s="31" t="s">
        <v>43</v>
      </c>
      <c r="S38" s="31"/>
      <c r="T38" s="31"/>
      <c r="U38" s="27" t="s">
        <v>44</v>
      </c>
      <c r="V38" s="27"/>
      <c r="W38" s="27"/>
      <c r="X38" s="27"/>
      <c r="Y38" s="27"/>
      <c r="Z38" s="27"/>
      <c r="AA38" s="27"/>
      <c r="AB38" s="28" t="s">
        <v>56</v>
      </c>
      <c r="AC38" s="29" t="s">
        <v>57</v>
      </c>
      <c r="AD38" s="29"/>
      <c r="AE38" s="29"/>
      <c r="AF38" s="29"/>
    </row>
    <row r="39" customFormat="false" ht="16.5" hidden="false" customHeight="true" outlineLevel="0" collapsed="false">
      <c r="B39" s="32" t="s">
        <v>47</v>
      </c>
      <c r="C39" s="32"/>
      <c r="D39" s="32"/>
      <c r="M39" s="33" t="s">
        <v>48</v>
      </c>
      <c r="N39" s="33"/>
      <c r="O39" s="33"/>
      <c r="R39" s="34" t="s">
        <v>47</v>
      </c>
      <c r="S39" s="34"/>
      <c r="T39" s="34"/>
      <c r="AC39" s="33" t="s">
        <v>48</v>
      </c>
      <c r="AD39" s="33"/>
      <c r="AE39" s="33"/>
    </row>
    <row r="40" customFormat="false" ht="17.25" hidden="false" customHeight="true" outlineLevel="0" collapsed="false">
      <c r="B40" s="6" t="s">
        <v>62</v>
      </c>
      <c r="C40" s="6"/>
      <c r="D40" s="6"/>
      <c r="E40" s="35" t="s">
        <v>63</v>
      </c>
      <c r="F40" s="35"/>
      <c r="G40" s="35"/>
      <c r="H40" s="35"/>
      <c r="I40" s="35"/>
      <c r="J40" s="35"/>
      <c r="K40" s="35"/>
      <c r="L40" s="36" t="s">
        <v>60</v>
      </c>
      <c r="M40" s="48"/>
      <c r="N40" s="48"/>
      <c r="O40" s="48"/>
      <c r="P40" s="49" t="str">
        <f aca="false">IF(M40="","",IFERROR(IF(ABS(ABS(M40)-ABS('Q8.12 Ans'!M40))&lt;0.5,"✓","✗"),"✗"))</f>
        <v/>
      </c>
      <c r="R40" s="37" t="s">
        <v>86</v>
      </c>
      <c r="S40" s="37"/>
      <c r="T40" s="37"/>
      <c r="U40" s="35" t="s">
        <v>59</v>
      </c>
      <c r="V40" s="35"/>
      <c r="W40" s="35"/>
      <c r="X40" s="35"/>
      <c r="Y40" s="35"/>
      <c r="Z40" s="35"/>
      <c r="AA40" s="35"/>
      <c r="AB40" s="36"/>
      <c r="AC40" s="48"/>
      <c r="AD40" s="48"/>
      <c r="AE40" s="48"/>
      <c r="AF40" s="49" t="str">
        <f aca="false">IF(AC40="","",IFERROR(IF(ABS(ABS(AC40)-ABS('Q8.12 Ans'!AC40))&lt;0.5,"✓","✗"),"✗"))</f>
        <v/>
      </c>
    </row>
    <row r="41" customFormat="false" ht="17.25" hidden="false" customHeight="true" outlineLevel="0" collapsed="false">
      <c r="B41" s="6" t="s">
        <v>62</v>
      </c>
      <c r="C41" s="6"/>
      <c r="D41" s="6"/>
      <c r="E41" s="35" t="s">
        <v>87</v>
      </c>
      <c r="F41" s="35"/>
      <c r="G41" s="35"/>
      <c r="H41" s="35"/>
      <c r="I41" s="35"/>
      <c r="J41" s="35"/>
      <c r="K41" s="35"/>
      <c r="L41" s="36"/>
      <c r="M41" s="48"/>
      <c r="N41" s="48"/>
      <c r="O41" s="48"/>
      <c r="P41" s="49" t="str">
        <f aca="false">IF(M41="","",IFERROR(IF(ABS(ABS(M41)-ABS('Q8.12 Ans'!M41))&lt;0.5,"✓","✗"),"✗"))</f>
        <v/>
      </c>
      <c r="R41" s="43"/>
    </row>
    <row r="42" customFormat="false" ht="16.5" hidden="false" customHeight="true" outlineLevel="0" collapsed="false">
      <c r="M42" s="50"/>
      <c r="N42" s="50"/>
      <c r="O42" s="50"/>
      <c r="P42" s="49" t="str">
        <f aca="false">IF(M42="","",IFERROR(IF(ABS(ABS(M42)-ABS('Q8.12 Ans'!M42))&lt;0.5,"✓","✗"),"✗"))</f>
        <v/>
      </c>
      <c r="R42" s="43"/>
      <c r="AC42" s="50"/>
      <c r="AD42" s="50"/>
      <c r="AE42" s="50"/>
      <c r="AF42" s="49" t="str">
        <f aca="false">IF(AC42="","",IFERROR(IF(ABS(ABS(AC42)-ABS('Q8.12 Ans'!AC42))&lt;0.5,"✓","✗"),"✗"))</f>
        <v/>
      </c>
    </row>
    <row r="43" customFormat="false" ht="16.5" hidden="false" customHeight="true" outlineLevel="0" collapsed="false">
      <c r="R43" s="34" t="s">
        <v>89</v>
      </c>
      <c r="S43" s="34"/>
      <c r="T43" s="34"/>
    </row>
    <row r="44" customFormat="false" ht="17.25" hidden="false" customHeight="true" outlineLevel="0" collapsed="false">
      <c r="R44" s="37" t="s">
        <v>86</v>
      </c>
      <c r="S44" s="37"/>
      <c r="T44" s="37"/>
      <c r="U44" s="35" t="s">
        <v>59</v>
      </c>
      <c r="V44" s="35"/>
      <c r="W44" s="35"/>
      <c r="X44" s="35"/>
      <c r="Y44" s="35"/>
      <c r="Z44" s="35"/>
      <c r="AA44" s="35"/>
      <c r="AB44" s="36"/>
      <c r="AC44" s="48"/>
      <c r="AD44" s="48"/>
      <c r="AE44" s="48"/>
      <c r="AF44" s="49" t="str">
        <f aca="false">IF(AC44="","",IFERROR(IF(ABS(ABS(AC44)-ABS('Q8.12 Ans'!AC44))&lt;0.5,"✓","✗"),"✗"))</f>
        <v/>
      </c>
    </row>
    <row r="46" customFormat="false" ht="18.75" hidden="false" customHeight="true" outlineLevel="0" collapsed="false">
      <c r="B46" s="3" t="s">
        <v>202</v>
      </c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</row>
    <row r="47" customFormat="false" ht="15" hidden="false" customHeight="false" outlineLevel="0" collapsed="false">
      <c r="B47" s="25" t="s">
        <v>91</v>
      </c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  <c r="AB47" s="25"/>
      <c r="AC47" s="25"/>
      <c r="AD47" s="25"/>
      <c r="AE47" s="25"/>
      <c r="AF47" s="25"/>
    </row>
    <row r="48" customFormat="false" ht="15" hidden="false" customHeight="false" outlineLevel="0" collapsed="false">
      <c r="B48" s="44"/>
      <c r="C48" s="44"/>
      <c r="D48" s="44"/>
      <c r="E48" s="15" t="s">
        <v>44</v>
      </c>
      <c r="F48" s="15"/>
      <c r="G48" s="15"/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6" t="s">
        <v>48</v>
      </c>
      <c r="S48" s="16"/>
      <c r="T48" s="16"/>
      <c r="U48" s="16"/>
      <c r="V48" s="16"/>
      <c r="W48" s="16" t="s">
        <v>48</v>
      </c>
      <c r="X48" s="16"/>
      <c r="Y48" s="16"/>
      <c r="Z48" s="16"/>
      <c r="AA48" s="16"/>
      <c r="AB48" s="16" t="s">
        <v>48</v>
      </c>
      <c r="AC48" s="16"/>
      <c r="AD48" s="16"/>
      <c r="AE48" s="16"/>
      <c r="AF48" s="16"/>
    </row>
    <row r="49" customFormat="false" ht="30" hidden="false" customHeight="true" outlineLevel="0" collapsed="false">
      <c r="B49" s="44"/>
      <c r="C49" s="44"/>
      <c r="D49" s="44"/>
      <c r="E49" s="44"/>
      <c r="F49" s="44"/>
      <c r="G49" s="44"/>
      <c r="H49" s="44"/>
      <c r="I49" s="44"/>
      <c r="J49" s="44"/>
      <c r="K49" s="44"/>
      <c r="L49" s="44"/>
      <c r="M49" s="44"/>
      <c r="N49" s="44"/>
      <c r="O49" s="44"/>
      <c r="P49" s="44"/>
      <c r="Q49" s="44"/>
      <c r="R49" s="11" t="s">
        <v>92</v>
      </c>
      <c r="S49" s="11"/>
      <c r="T49" s="11"/>
      <c r="U49" s="11"/>
      <c r="V49" s="11"/>
      <c r="W49" s="11" t="s">
        <v>93</v>
      </c>
      <c r="X49" s="11"/>
      <c r="Y49" s="11"/>
      <c r="Z49" s="11"/>
      <c r="AA49" s="11"/>
      <c r="AB49" s="11" t="s">
        <v>94</v>
      </c>
      <c r="AC49" s="11"/>
      <c r="AD49" s="11"/>
      <c r="AE49" s="11"/>
      <c r="AF49" s="11"/>
    </row>
    <row r="50" customFormat="false" ht="17.25" hidden="false" customHeight="true" outlineLevel="0" collapsed="false">
      <c r="B50" s="45"/>
      <c r="C50" s="45"/>
      <c r="D50" s="45"/>
      <c r="E50" s="46" t="s">
        <v>95</v>
      </c>
      <c r="F50" s="46"/>
      <c r="G50" s="46"/>
      <c r="H50" s="46"/>
      <c r="I50" s="46"/>
      <c r="J50" s="46"/>
      <c r="K50" s="46"/>
      <c r="L50" s="46"/>
      <c r="M50" s="46"/>
      <c r="N50" s="46"/>
      <c r="O50" s="46"/>
      <c r="P50" s="46"/>
      <c r="Q50" s="46"/>
    </row>
    <row r="51" customFormat="false" ht="17.25" hidden="false" customHeight="true" outlineLevel="0" collapsed="false">
      <c r="B51" s="45"/>
      <c r="C51" s="45"/>
      <c r="D51" s="45"/>
      <c r="E51" s="35" t="s">
        <v>96</v>
      </c>
      <c r="F51" s="35"/>
      <c r="G51" s="35"/>
      <c r="H51" s="35"/>
      <c r="I51" s="35"/>
      <c r="J51" s="35"/>
      <c r="K51" s="35"/>
      <c r="L51" s="35"/>
      <c r="M51" s="35"/>
      <c r="N51" s="35"/>
      <c r="O51" s="35"/>
      <c r="P51" s="35"/>
      <c r="Q51" s="35"/>
      <c r="R51" s="48"/>
      <c r="S51" s="48"/>
      <c r="T51" s="48"/>
      <c r="U51" s="48"/>
      <c r="V51" s="49" t="str">
        <f aca="false">IF(R51="","",IFERROR(IF(ABS(ABS(R51)-ABS('Q8.12 Ans'!R51))&lt;0.5,"✓","✗"),"✗"))</f>
        <v/>
      </c>
    </row>
    <row r="52" customFormat="false" ht="17.25" hidden="false" customHeight="true" outlineLevel="0" collapsed="false">
      <c r="B52" s="45" t="s">
        <v>97</v>
      </c>
      <c r="C52" s="45"/>
      <c r="D52" s="45"/>
      <c r="E52" s="35" t="s">
        <v>98</v>
      </c>
      <c r="F52" s="35"/>
      <c r="G52" s="35"/>
      <c r="H52" s="35"/>
      <c r="I52" s="35"/>
      <c r="J52" s="35"/>
      <c r="K52" s="35"/>
      <c r="L52" s="35"/>
      <c r="M52" s="35"/>
      <c r="N52" s="35"/>
      <c r="O52" s="35"/>
      <c r="P52" s="35"/>
      <c r="Q52" s="35"/>
      <c r="R52" s="52"/>
      <c r="S52" s="52"/>
      <c r="T52" s="52"/>
      <c r="U52" s="52"/>
      <c r="V52" s="49" t="str">
        <f aca="false">IF(R52="","",IFERROR(IF(ABS(ABS(R52)-ABS('Q8.12 Ans'!R52))&lt;0.5,"✓","✗"),"✗"))</f>
        <v/>
      </c>
      <c r="W52" s="48"/>
      <c r="X52" s="48"/>
      <c r="Y52" s="48"/>
      <c r="Z52" s="48"/>
      <c r="AA52" s="49" t="str">
        <f aca="false">IF(W52="","",IFERROR(IF(ABS(ABS(W52)-ABS('Q8.12 Ans'!W52))&lt;0.5,"✓","✗"),"✗"))</f>
        <v/>
      </c>
    </row>
    <row r="54" customFormat="false" ht="18.75" hidden="false" customHeight="true" outlineLevel="0" collapsed="false">
      <c r="B54" s="3" t="s">
        <v>203</v>
      </c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</row>
    <row r="55" customFormat="false" ht="16.5" hidden="false" customHeight="true" outlineLevel="0" collapsed="false">
      <c r="B55" s="57"/>
      <c r="C55" s="57"/>
      <c r="D55" s="57"/>
      <c r="E55" s="57"/>
      <c r="F55" s="57"/>
      <c r="G55" s="57"/>
      <c r="H55" s="57"/>
      <c r="I55" s="57"/>
      <c r="J55" s="57"/>
      <c r="K55" s="57"/>
      <c r="L55" s="57"/>
      <c r="M55" s="57"/>
      <c r="N55" s="57"/>
      <c r="O55" s="57"/>
      <c r="P55" s="57"/>
      <c r="Q55" s="57"/>
      <c r="R55" s="57"/>
      <c r="S55" s="57"/>
      <c r="T55" s="57"/>
      <c r="U55" s="57"/>
      <c r="V55" s="57"/>
      <c r="W55" s="57"/>
      <c r="X55" s="57"/>
      <c r="Y55" s="57"/>
      <c r="Z55" s="57"/>
      <c r="AA55" s="57"/>
      <c r="AB55" s="57"/>
      <c r="AC55" s="57"/>
      <c r="AD55" s="57"/>
      <c r="AE55" s="57"/>
      <c r="AF55" s="57"/>
    </row>
    <row r="56" customFormat="false" ht="16.5" hidden="false" customHeight="true" outlineLevel="0" collapsed="false">
      <c r="B56" s="57"/>
      <c r="C56" s="57"/>
      <c r="D56" s="57"/>
      <c r="E56" s="57"/>
      <c r="F56" s="57"/>
      <c r="G56" s="57"/>
      <c r="H56" s="57"/>
      <c r="I56" s="57"/>
      <c r="J56" s="57"/>
      <c r="K56" s="57"/>
      <c r="L56" s="57"/>
      <c r="M56" s="57"/>
      <c r="N56" s="57"/>
      <c r="O56" s="57"/>
      <c r="P56" s="57"/>
      <c r="Q56" s="57"/>
      <c r="R56" s="57"/>
      <c r="S56" s="57"/>
      <c r="T56" s="57"/>
      <c r="U56" s="57"/>
      <c r="V56" s="57"/>
      <c r="W56" s="57"/>
      <c r="X56" s="57"/>
      <c r="Y56" s="57"/>
      <c r="Z56" s="57"/>
      <c r="AA56" s="57"/>
      <c r="AB56" s="57"/>
      <c r="AC56" s="57"/>
      <c r="AD56" s="57"/>
      <c r="AE56" s="57"/>
      <c r="AF56" s="57"/>
    </row>
    <row r="57" customFormat="false" ht="16.5" hidden="false" customHeight="true" outlineLevel="0" collapsed="false">
      <c r="B57" s="57"/>
      <c r="C57" s="57"/>
      <c r="D57" s="57"/>
      <c r="E57" s="57"/>
      <c r="F57" s="57"/>
      <c r="G57" s="57"/>
      <c r="H57" s="57"/>
      <c r="I57" s="57"/>
      <c r="J57" s="57"/>
      <c r="K57" s="57"/>
      <c r="L57" s="57"/>
      <c r="M57" s="57"/>
      <c r="N57" s="57"/>
      <c r="O57" s="57"/>
      <c r="P57" s="57"/>
      <c r="Q57" s="57"/>
      <c r="R57" s="57"/>
      <c r="S57" s="57"/>
      <c r="T57" s="57"/>
      <c r="U57" s="57"/>
      <c r="V57" s="57"/>
      <c r="W57" s="57"/>
      <c r="X57" s="57"/>
      <c r="Y57" s="57"/>
      <c r="Z57" s="57"/>
      <c r="AA57" s="57"/>
      <c r="AB57" s="57"/>
      <c r="AC57" s="57"/>
      <c r="AD57" s="57"/>
      <c r="AE57" s="57"/>
      <c r="AF57" s="57"/>
    </row>
    <row r="58" customFormat="false" ht="16.5" hidden="false" customHeight="true" outlineLevel="0" collapsed="false">
      <c r="B58" s="57"/>
      <c r="C58" s="57"/>
      <c r="D58" s="57"/>
      <c r="E58" s="57"/>
      <c r="F58" s="57"/>
      <c r="G58" s="57"/>
      <c r="H58" s="57"/>
      <c r="I58" s="57"/>
      <c r="J58" s="57"/>
      <c r="K58" s="57"/>
      <c r="L58" s="57"/>
      <c r="M58" s="57"/>
      <c r="N58" s="57"/>
      <c r="O58" s="57"/>
      <c r="P58" s="57"/>
      <c r="Q58" s="57"/>
      <c r="R58" s="57"/>
      <c r="S58" s="57"/>
      <c r="T58" s="57"/>
      <c r="U58" s="57"/>
      <c r="V58" s="57"/>
      <c r="W58" s="57"/>
      <c r="X58" s="57"/>
      <c r="Y58" s="57"/>
      <c r="Z58" s="57"/>
      <c r="AA58" s="57"/>
      <c r="AB58" s="57"/>
      <c r="AC58" s="57"/>
      <c r="AD58" s="57"/>
      <c r="AE58" s="57"/>
      <c r="AF58" s="57"/>
    </row>
    <row r="59" customFormat="false" ht="16.5" hidden="false" customHeight="true" outlineLevel="0" collapsed="false">
      <c r="B59" s="57"/>
      <c r="C59" s="57"/>
      <c r="D59" s="57"/>
      <c r="E59" s="57"/>
      <c r="F59" s="57"/>
      <c r="G59" s="57"/>
      <c r="H59" s="57"/>
      <c r="I59" s="57"/>
      <c r="J59" s="57"/>
      <c r="K59" s="57"/>
      <c r="L59" s="57"/>
      <c r="M59" s="57"/>
      <c r="N59" s="57"/>
      <c r="O59" s="57"/>
      <c r="P59" s="57"/>
      <c r="Q59" s="57"/>
      <c r="R59" s="57"/>
      <c r="S59" s="57"/>
      <c r="T59" s="57"/>
      <c r="U59" s="57"/>
      <c r="V59" s="57"/>
      <c r="W59" s="57"/>
      <c r="X59" s="57"/>
      <c r="Y59" s="57"/>
      <c r="Z59" s="57"/>
      <c r="AA59" s="57"/>
      <c r="AB59" s="57"/>
      <c r="AC59" s="57"/>
      <c r="AD59" s="57"/>
      <c r="AE59" s="57"/>
      <c r="AF59" s="57"/>
    </row>
  </sheetData>
  <mergeCells count="107">
    <mergeCell ref="B1:AF1"/>
    <mergeCell ref="B2:AF2"/>
    <mergeCell ref="B3:G3"/>
    <mergeCell ref="H3:AF3"/>
    <mergeCell ref="B5:AF5"/>
    <mergeCell ref="C6:AF6"/>
    <mergeCell ref="C7:AF7"/>
    <mergeCell ref="C8:AF8"/>
    <mergeCell ref="C9:AF9"/>
    <mergeCell ref="B10:W10"/>
    <mergeCell ref="X10:AC10"/>
    <mergeCell ref="B11:W11"/>
    <mergeCell ref="X11:AC11"/>
    <mergeCell ref="B12:W12"/>
    <mergeCell ref="X12:AC12"/>
    <mergeCell ref="B13:W13"/>
    <mergeCell ref="X13:AC13"/>
    <mergeCell ref="B14:W14"/>
    <mergeCell ref="X14:AC14"/>
    <mergeCell ref="B15:W15"/>
    <mergeCell ref="X15:AC15"/>
    <mergeCell ref="B16:W16"/>
    <mergeCell ref="X16:AC16"/>
    <mergeCell ref="B19:AF19"/>
    <mergeCell ref="B20:W20"/>
    <mergeCell ref="X20:AB20"/>
    <mergeCell ref="B22:AF22"/>
    <mergeCell ref="B23:W23"/>
    <mergeCell ref="X23:AB23"/>
    <mergeCell ref="B24:W24"/>
    <mergeCell ref="X24:AB24"/>
    <mergeCell ref="B25:S25"/>
    <mergeCell ref="T25:AB25"/>
    <mergeCell ref="B27:AF27"/>
    <mergeCell ref="B28:AF28"/>
    <mergeCell ref="B29:D29"/>
    <mergeCell ref="E29:Q29"/>
    <mergeCell ref="R29:V29"/>
    <mergeCell ref="W29:AA29"/>
    <mergeCell ref="AB29:AF29"/>
    <mergeCell ref="B30:D30"/>
    <mergeCell ref="E30:Q30"/>
    <mergeCell ref="AB30:AE30"/>
    <mergeCell ref="B31:D31"/>
    <mergeCell ref="E31:Q31"/>
    <mergeCell ref="AB31:AE31"/>
    <mergeCell ref="B32:D32"/>
    <mergeCell ref="E32:Q32"/>
    <mergeCell ref="AB32:AE32"/>
    <mergeCell ref="B33:D33"/>
    <mergeCell ref="E33:Q33"/>
    <mergeCell ref="AB33:AE33"/>
    <mergeCell ref="B34:D34"/>
    <mergeCell ref="E34:Q34"/>
    <mergeCell ref="AB34:AE34"/>
    <mergeCell ref="B36:AF36"/>
    <mergeCell ref="B37:D37"/>
    <mergeCell ref="E37:AC37"/>
    <mergeCell ref="AD37:AF37"/>
    <mergeCell ref="B38:D38"/>
    <mergeCell ref="E38:K38"/>
    <mergeCell ref="M38:P38"/>
    <mergeCell ref="R38:T38"/>
    <mergeCell ref="U38:AA38"/>
    <mergeCell ref="AC38:AF38"/>
    <mergeCell ref="B39:D39"/>
    <mergeCell ref="M39:O39"/>
    <mergeCell ref="R39:T39"/>
    <mergeCell ref="AC39:AE39"/>
    <mergeCell ref="B40:D40"/>
    <mergeCell ref="E40:K40"/>
    <mergeCell ref="M40:O40"/>
    <mergeCell ref="R40:T40"/>
    <mergeCell ref="U40:AA40"/>
    <mergeCell ref="AC40:AE40"/>
    <mergeCell ref="B41:D41"/>
    <mergeCell ref="E41:K41"/>
    <mergeCell ref="M41:O41"/>
    <mergeCell ref="M42:O42"/>
    <mergeCell ref="AC42:AE42"/>
    <mergeCell ref="R43:T43"/>
    <mergeCell ref="R44:T44"/>
    <mergeCell ref="U44:AA44"/>
    <mergeCell ref="AC44:AE44"/>
    <mergeCell ref="B46:AF46"/>
    <mergeCell ref="B47:AF47"/>
    <mergeCell ref="B48:D48"/>
    <mergeCell ref="E48:Q48"/>
    <mergeCell ref="R48:V48"/>
    <mergeCell ref="W48:AA48"/>
    <mergeCell ref="AB48:AF48"/>
    <mergeCell ref="B49:D49"/>
    <mergeCell ref="E49:Q49"/>
    <mergeCell ref="R49:V49"/>
    <mergeCell ref="W49:AA49"/>
    <mergeCell ref="AB49:AF49"/>
    <mergeCell ref="B50:D50"/>
    <mergeCell ref="E50:Q50"/>
    <mergeCell ref="B51:D51"/>
    <mergeCell ref="E51:Q51"/>
    <mergeCell ref="R51:U51"/>
    <mergeCell ref="B52:D52"/>
    <mergeCell ref="E52:Q52"/>
    <mergeCell ref="R52:U52"/>
    <mergeCell ref="W52:Z52"/>
    <mergeCell ref="B54:AF54"/>
    <mergeCell ref="B55:AF59"/>
  </mergeCells>
  <conditionalFormatting sqref="B4:AG60">
    <cfRule type="cellIs" priority="2" operator="equal" aboveAverage="0" equalAverage="0" bottom="0" percent="0" rank="0" text="" dxfId="0">
      <formula>"✓"</formula>
    </cfRule>
    <cfRule type="cellIs" priority="3" operator="equal" aboveAverage="0" equalAverage="0" bottom="0" percent="0" rank="0" text="" dxfId="1">
      <formula>"✗"</formula>
    </cfRule>
  </conditionalFormatting>
  <dataValidations count="1">
    <dataValidation allowBlank="true" errorStyle="stop" operator="between" showDropDown="false" showErrorMessage="false" showInputMessage="false" sqref="T25" type="list">
      <formula1>"Expense,Income"</formula1>
      <formula2>0</formula2>
    </dataValidation>
  </dataValidations>
  <printOptions headings="false" gridLines="false" gridLinesSet="true" horizontalCentered="false" verticalCentered="false"/>
  <pageMargins left="0.4" right="0.4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AD47"/>
    <pageSetUpPr fitToPage="true"/>
  </sheetPr>
  <dimension ref="B1:AF33"/>
  <sheetViews>
    <sheetView showFormulas="false" showGridLines="fals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34" min="2" style="0" width="4.6"/>
  </cols>
  <sheetData>
    <row r="1" customFormat="false" ht="25.5" hidden="false" customHeight="true" outlineLevel="0" collapsed="false">
      <c r="B1" s="1" t="s">
        <v>204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</row>
    <row r="2" customFormat="false" ht="15" hidden="false" customHeight="false" outlineLevel="0" collapsed="false">
      <c r="B2" s="14" t="s">
        <v>205</v>
      </c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</row>
    <row r="3" customFormat="false" ht="15" hidden="false" customHeight="false" outlineLevel="0" collapsed="false">
      <c r="B3" s="14" t="s">
        <v>206</v>
      </c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</row>
    <row r="5" customFormat="false" ht="16.5" hidden="false" customHeight="true" outlineLevel="0" collapsed="false">
      <c r="B5" s="4" t="s">
        <v>102</v>
      </c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</row>
    <row r="6" customFormat="false" ht="16.5" hidden="false" customHeight="true" outlineLevel="0" collapsed="false">
      <c r="C6" s="4" t="s">
        <v>103</v>
      </c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</row>
    <row r="7" customFormat="false" ht="16.5" hidden="false" customHeight="true" outlineLevel="0" collapsed="false">
      <c r="C7" s="4" t="s">
        <v>104</v>
      </c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</row>
    <row r="8" customFormat="false" ht="15" hidden="false" customHeight="false" outlineLevel="0" collapsed="false">
      <c r="B8" s="15" t="s">
        <v>105</v>
      </c>
      <c r="C8" s="15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6" t="s">
        <v>39</v>
      </c>
      <c r="Y8" s="16"/>
      <c r="Z8" s="16"/>
      <c r="AA8" s="16"/>
      <c r="AB8" s="16"/>
      <c r="AC8" s="16"/>
    </row>
    <row r="9" customFormat="false" ht="16.5" hidden="false" customHeight="true" outlineLevel="0" collapsed="false">
      <c r="B9" s="12" t="s">
        <v>106</v>
      </c>
      <c r="C9" s="12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58" t="n">
        <f aca="false">'Q8.8'!X9</f>
        <v>350</v>
      </c>
      <c r="Y9" s="58"/>
      <c r="Z9" s="58"/>
      <c r="AA9" s="58"/>
      <c r="AB9" s="58"/>
      <c r="AC9" s="58"/>
    </row>
    <row r="10" customFormat="false" ht="16.5" hidden="false" customHeight="true" outlineLevel="0" collapsed="false">
      <c r="B10" s="12" t="s">
        <v>107</v>
      </c>
      <c r="C10" s="12"/>
      <c r="D10" s="12"/>
      <c r="E10" s="12"/>
      <c r="F10" s="12"/>
      <c r="G10" s="12"/>
      <c r="H10" s="12"/>
      <c r="I10" s="12"/>
      <c r="J10" s="12"/>
      <c r="K10" s="12"/>
      <c r="L10" s="12"/>
      <c r="M10" s="12"/>
      <c r="N10" s="12"/>
      <c r="O10" s="12"/>
      <c r="P10" s="12"/>
      <c r="Q10" s="12"/>
      <c r="R10" s="12"/>
      <c r="S10" s="12"/>
      <c r="T10" s="12"/>
      <c r="U10" s="12"/>
      <c r="V10" s="12"/>
      <c r="W10" s="12"/>
      <c r="X10" s="58" t="n">
        <f aca="false">'Q8.8'!X10</f>
        <v>200</v>
      </c>
      <c r="Y10" s="58"/>
      <c r="Z10" s="58"/>
      <c r="AA10" s="58"/>
      <c r="AB10" s="58"/>
      <c r="AC10" s="58"/>
    </row>
    <row r="13" customFormat="false" ht="18.75" hidden="false" customHeight="true" outlineLevel="0" collapsed="false">
      <c r="B13" s="3" t="s">
        <v>108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</row>
    <row r="14" customFormat="false" ht="15" hidden="false" customHeight="false" outlineLevel="0" collapsed="false">
      <c r="B14" s="15" t="s">
        <v>43</v>
      </c>
      <c r="C14" s="15"/>
      <c r="D14" s="15"/>
      <c r="E14" s="15" t="s">
        <v>44</v>
      </c>
      <c r="F14" s="15"/>
      <c r="G14" s="15"/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6" t="s">
        <v>45</v>
      </c>
      <c r="V14" s="16"/>
      <c r="W14" s="16"/>
      <c r="X14" s="16"/>
      <c r="Y14" s="16"/>
      <c r="Z14" s="16"/>
      <c r="AA14" s="16" t="s">
        <v>46</v>
      </c>
      <c r="AB14" s="16"/>
      <c r="AC14" s="16"/>
      <c r="AD14" s="16"/>
      <c r="AE14" s="16"/>
      <c r="AF14" s="16"/>
    </row>
    <row r="15" customFormat="false" ht="16.5" hidden="false" customHeight="true" outlineLevel="0" collapsed="false">
      <c r="B15" s="18" t="s">
        <v>47</v>
      </c>
      <c r="C15" s="18"/>
      <c r="D15" s="18"/>
      <c r="E15" s="19"/>
      <c r="F15" s="19"/>
      <c r="G15" s="19"/>
      <c r="H15" s="19"/>
      <c r="I15" s="19"/>
      <c r="J15" s="19"/>
      <c r="K15" s="19"/>
      <c r="L15" s="19"/>
      <c r="M15" s="19"/>
      <c r="N15" s="19"/>
      <c r="O15" s="19"/>
      <c r="P15" s="19"/>
      <c r="Q15" s="19"/>
      <c r="R15" s="19"/>
      <c r="S15" s="19"/>
      <c r="T15" s="19"/>
      <c r="U15" s="20" t="s">
        <v>48</v>
      </c>
      <c r="V15" s="20"/>
      <c r="W15" s="20"/>
      <c r="X15" s="20"/>
      <c r="Y15" s="20"/>
      <c r="Z15" s="20"/>
      <c r="AA15" s="20" t="s">
        <v>48</v>
      </c>
      <c r="AB15" s="20"/>
      <c r="AC15" s="20"/>
      <c r="AD15" s="20"/>
      <c r="AE15" s="20"/>
      <c r="AF15" s="20"/>
    </row>
    <row r="16" customFormat="false" ht="16.5" hidden="false" customHeight="true" outlineLevel="0" collapsed="false">
      <c r="B16" s="19" t="s">
        <v>109</v>
      </c>
      <c r="C16" s="19"/>
      <c r="D16" s="19"/>
      <c r="E16" s="19" t="s">
        <v>50</v>
      </c>
      <c r="F16" s="19"/>
      <c r="G16" s="19"/>
      <c r="H16" s="19"/>
      <c r="I16" s="19"/>
      <c r="J16" s="19"/>
      <c r="K16" s="19"/>
      <c r="L16" s="19"/>
      <c r="M16" s="19"/>
      <c r="N16" s="19"/>
      <c r="O16" s="19"/>
      <c r="P16" s="19"/>
      <c r="Q16" s="19"/>
      <c r="R16" s="19"/>
      <c r="S16" s="19"/>
      <c r="T16" s="19"/>
      <c r="U16" s="59" t="n">
        <f aca="false">$X$9</f>
        <v>350</v>
      </c>
      <c r="V16" s="59"/>
      <c r="W16" s="59"/>
      <c r="X16" s="59"/>
      <c r="Y16" s="59"/>
      <c r="Z16" s="19"/>
      <c r="AA16" s="19"/>
      <c r="AB16" s="19"/>
      <c r="AC16" s="19"/>
      <c r="AD16" s="19"/>
      <c r="AE16" s="19"/>
      <c r="AF16" s="19"/>
    </row>
    <row r="17" customFormat="false" ht="16.5" hidden="false" customHeight="true" outlineLevel="0" collapsed="false">
      <c r="B17" s="19"/>
      <c r="C17" s="19"/>
      <c r="D17" s="19"/>
      <c r="E17" s="22" t="s">
        <v>110</v>
      </c>
      <c r="F17" s="22"/>
      <c r="G17" s="22"/>
      <c r="H17" s="22"/>
      <c r="I17" s="22"/>
      <c r="J17" s="22"/>
      <c r="K17" s="22"/>
      <c r="L17" s="22"/>
      <c r="M17" s="22"/>
      <c r="N17" s="22"/>
      <c r="O17" s="22"/>
      <c r="P17" s="22"/>
      <c r="Q17" s="22"/>
      <c r="R17" s="22"/>
      <c r="S17" s="22"/>
      <c r="T17" s="22"/>
      <c r="U17" s="19"/>
      <c r="V17" s="19"/>
      <c r="W17" s="19"/>
      <c r="X17" s="19"/>
      <c r="Y17" s="19"/>
      <c r="Z17" s="19"/>
      <c r="AA17" s="59" t="n">
        <f aca="false">$X$9</f>
        <v>350</v>
      </c>
      <c r="AB17" s="59"/>
      <c r="AC17" s="59"/>
      <c r="AD17" s="59"/>
      <c r="AE17" s="59"/>
      <c r="AF17" s="19"/>
    </row>
    <row r="18" customFormat="false" ht="17.25" hidden="false" customHeight="true" outlineLevel="0" collapsed="false">
      <c r="B18" s="19"/>
      <c r="C18" s="19"/>
      <c r="D18" s="19"/>
      <c r="E18" s="23" t="s">
        <v>52</v>
      </c>
      <c r="F18" s="23"/>
      <c r="G18" s="23"/>
      <c r="H18" s="23"/>
      <c r="I18" s="23"/>
      <c r="J18" s="23"/>
      <c r="K18" s="23"/>
      <c r="L18" s="23"/>
      <c r="M18" s="23"/>
      <c r="N18" s="23"/>
      <c r="O18" s="23"/>
      <c r="P18" s="23"/>
      <c r="Q18" s="23"/>
      <c r="R18" s="23"/>
      <c r="S18" s="23"/>
      <c r="T18" s="23"/>
      <c r="U18" s="19"/>
      <c r="V18" s="19"/>
      <c r="W18" s="19"/>
      <c r="X18" s="19"/>
      <c r="Y18" s="19"/>
      <c r="Z18" s="19"/>
      <c r="AA18" s="19"/>
      <c r="AB18" s="19"/>
      <c r="AC18" s="19"/>
      <c r="AD18" s="19"/>
      <c r="AE18" s="19"/>
      <c r="AF18" s="19"/>
    </row>
    <row r="19" customFormat="false" ht="16.5" hidden="false" customHeight="true" outlineLevel="0" collapsed="false">
      <c r="B19" s="19" t="s">
        <v>111</v>
      </c>
      <c r="C19" s="19"/>
      <c r="D19" s="19"/>
      <c r="E19" s="19" t="s">
        <v>50</v>
      </c>
      <c r="F19" s="19"/>
      <c r="G19" s="19"/>
      <c r="H19" s="19"/>
      <c r="I19" s="19"/>
      <c r="J19" s="19"/>
      <c r="K19" s="19"/>
      <c r="L19" s="19"/>
      <c r="M19" s="19"/>
      <c r="N19" s="19"/>
      <c r="O19" s="19"/>
      <c r="P19" s="19"/>
      <c r="Q19" s="19"/>
      <c r="R19" s="19"/>
      <c r="S19" s="19"/>
      <c r="T19" s="19"/>
      <c r="U19" s="59" t="n">
        <f aca="false">$X$10</f>
        <v>200</v>
      </c>
      <c r="V19" s="59"/>
      <c r="W19" s="59"/>
      <c r="X19" s="59"/>
      <c r="Y19" s="59"/>
      <c r="Z19" s="19"/>
      <c r="AA19" s="19"/>
      <c r="AB19" s="19"/>
      <c r="AC19" s="19"/>
      <c r="AD19" s="19"/>
      <c r="AE19" s="19"/>
      <c r="AF19" s="19"/>
    </row>
    <row r="20" customFormat="false" ht="16.5" hidden="false" customHeight="true" outlineLevel="0" collapsed="false">
      <c r="B20" s="19"/>
      <c r="C20" s="19"/>
      <c r="D20" s="19"/>
      <c r="E20" s="22" t="s">
        <v>112</v>
      </c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19"/>
      <c r="V20" s="19"/>
      <c r="W20" s="19"/>
      <c r="X20" s="19"/>
      <c r="Y20" s="19"/>
      <c r="Z20" s="19"/>
      <c r="AA20" s="59" t="n">
        <f aca="false">$X$10</f>
        <v>200</v>
      </c>
      <c r="AB20" s="59"/>
      <c r="AC20" s="59"/>
      <c r="AD20" s="59"/>
      <c r="AE20" s="59"/>
      <c r="AF20" s="19"/>
    </row>
    <row r="21" customFormat="false" ht="17.25" hidden="false" customHeight="true" outlineLevel="0" collapsed="false">
      <c r="B21" s="19"/>
      <c r="C21" s="19"/>
      <c r="D21" s="19"/>
      <c r="E21" s="23" t="s">
        <v>113</v>
      </c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23"/>
      <c r="S21" s="23"/>
      <c r="T21" s="23"/>
      <c r="U21" s="19"/>
      <c r="V21" s="19"/>
      <c r="W21" s="19"/>
      <c r="X21" s="19"/>
      <c r="Y21" s="19"/>
      <c r="Z21" s="19"/>
      <c r="AA21" s="19"/>
      <c r="AB21" s="19"/>
      <c r="AC21" s="19"/>
      <c r="AD21" s="19"/>
      <c r="AE21" s="19"/>
      <c r="AF21" s="19"/>
    </row>
    <row r="23" customFormat="false" ht="18.75" hidden="false" customHeight="true" outlineLevel="0" collapsed="false">
      <c r="B23" s="3" t="s">
        <v>114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</row>
    <row r="24" customFormat="false" ht="15" hidden="false" customHeight="false" outlineLevel="0" collapsed="false">
      <c r="B24" s="24" t="s">
        <v>53</v>
      </c>
      <c r="C24" s="24"/>
      <c r="D24" s="24"/>
      <c r="E24" s="25" t="s">
        <v>61</v>
      </c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6" t="s">
        <v>55</v>
      </c>
      <c r="AE24" s="26"/>
      <c r="AF24" s="26"/>
    </row>
    <row r="25" customFormat="false" ht="15" hidden="false" customHeight="false" outlineLevel="0" collapsed="false">
      <c r="B25" s="27" t="s">
        <v>43</v>
      </c>
      <c r="C25" s="27"/>
      <c r="D25" s="27"/>
      <c r="E25" s="27" t="s">
        <v>44</v>
      </c>
      <c r="F25" s="27"/>
      <c r="G25" s="27"/>
      <c r="H25" s="27"/>
      <c r="I25" s="27"/>
      <c r="J25" s="27"/>
      <c r="K25" s="27"/>
      <c r="L25" s="28" t="s">
        <v>56</v>
      </c>
      <c r="M25" s="29" t="s">
        <v>57</v>
      </c>
      <c r="N25" s="29"/>
      <c r="O25" s="29"/>
      <c r="P25" s="29"/>
      <c r="Q25" s="30"/>
      <c r="R25" s="31" t="s">
        <v>43</v>
      </c>
      <c r="S25" s="31"/>
      <c r="T25" s="31"/>
      <c r="U25" s="27" t="s">
        <v>44</v>
      </c>
      <c r="V25" s="27"/>
      <c r="W25" s="27"/>
      <c r="X25" s="27"/>
      <c r="Y25" s="27"/>
      <c r="Z25" s="27"/>
      <c r="AA25" s="27"/>
      <c r="AB25" s="28" t="s">
        <v>56</v>
      </c>
      <c r="AC25" s="29" t="s">
        <v>57</v>
      </c>
      <c r="AD25" s="29"/>
      <c r="AE25" s="29"/>
      <c r="AF25" s="29"/>
    </row>
    <row r="26" customFormat="false" ht="16.5" hidden="false" customHeight="true" outlineLevel="0" collapsed="false">
      <c r="B26" s="32" t="s">
        <v>47</v>
      </c>
      <c r="C26" s="32"/>
      <c r="D26" s="32"/>
      <c r="M26" s="33" t="s">
        <v>48</v>
      </c>
      <c r="N26" s="33"/>
      <c r="O26" s="33"/>
      <c r="R26" s="34" t="s">
        <v>47</v>
      </c>
      <c r="S26" s="34"/>
      <c r="T26" s="34"/>
      <c r="AC26" s="33" t="s">
        <v>48</v>
      </c>
      <c r="AD26" s="33"/>
      <c r="AE26" s="33"/>
    </row>
    <row r="27" customFormat="false" ht="17.25" hidden="false" customHeight="true" outlineLevel="0" collapsed="false">
      <c r="B27" s="6" t="s">
        <v>109</v>
      </c>
      <c r="C27" s="6"/>
      <c r="D27" s="6"/>
      <c r="E27" s="35" t="s">
        <v>110</v>
      </c>
      <c r="F27" s="35"/>
      <c r="G27" s="35"/>
      <c r="H27" s="35"/>
      <c r="I27" s="35"/>
      <c r="J27" s="35"/>
      <c r="K27" s="35"/>
      <c r="L27" s="36" t="s">
        <v>60</v>
      </c>
      <c r="M27" s="59" t="n">
        <f aca="false">$X$9</f>
        <v>350</v>
      </c>
      <c r="N27" s="59"/>
      <c r="O27" s="59"/>
      <c r="R27" s="37" t="s">
        <v>62</v>
      </c>
      <c r="S27" s="37"/>
      <c r="T27" s="37"/>
      <c r="U27" s="35" t="s">
        <v>63</v>
      </c>
      <c r="V27" s="35"/>
      <c r="W27" s="35"/>
      <c r="X27" s="35"/>
      <c r="Y27" s="35"/>
      <c r="Z27" s="35"/>
      <c r="AA27" s="35"/>
      <c r="AB27" s="36" t="s">
        <v>64</v>
      </c>
      <c r="AC27" s="59" t="n">
        <f aca="false">$X$9+$X$10</f>
        <v>550</v>
      </c>
      <c r="AD27" s="59"/>
      <c r="AE27" s="59"/>
    </row>
    <row r="28" customFormat="false" ht="17.25" hidden="false" customHeight="true" outlineLevel="0" collapsed="false">
      <c r="B28" s="6" t="s">
        <v>111</v>
      </c>
      <c r="C28" s="6"/>
      <c r="D28" s="6"/>
      <c r="E28" s="35" t="s">
        <v>112</v>
      </c>
      <c r="F28" s="35"/>
      <c r="G28" s="35"/>
      <c r="H28" s="35"/>
      <c r="I28" s="35"/>
      <c r="J28" s="35"/>
      <c r="K28" s="35"/>
      <c r="L28" s="36" t="s">
        <v>60</v>
      </c>
      <c r="M28" s="59" t="n">
        <f aca="false">$X$10</f>
        <v>200</v>
      </c>
      <c r="N28" s="59"/>
      <c r="O28" s="59"/>
      <c r="R28" s="43"/>
    </row>
    <row r="29" customFormat="false" ht="16.5" hidden="false" customHeight="true" outlineLevel="0" collapsed="false">
      <c r="M29" s="60" t="n">
        <f aca="false">SUM(M26:M28)</f>
        <v>550</v>
      </c>
      <c r="N29" s="60"/>
      <c r="O29" s="60"/>
      <c r="R29" s="43"/>
      <c r="AC29" s="60" t="n">
        <f aca="false">SUM(AC26:AC28)</f>
        <v>550</v>
      </c>
      <c r="AD29" s="60"/>
      <c r="AE29" s="60"/>
    </row>
    <row r="31" customFormat="false" ht="18.75" hidden="false" customHeight="true" outlineLevel="0" collapsed="false">
      <c r="B31" s="3" t="s">
        <v>115</v>
      </c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</row>
    <row r="32" customFormat="false" ht="17.25" hidden="false" customHeight="true" outlineLevel="0" collapsed="false">
      <c r="B32" s="51" t="s">
        <v>116</v>
      </c>
      <c r="C32" s="51"/>
      <c r="D32" s="51"/>
      <c r="E32" s="51"/>
      <c r="F32" s="51"/>
      <c r="G32" s="51"/>
      <c r="H32" s="51"/>
      <c r="I32" s="51"/>
      <c r="J32" s="51"/>
      <c r="K32" s="51"/>
      <c r="L32" s="51"/>
      <c r="M32" s="51"/>
      <c r="N32" s="51"/>
      <c r="O32" s="51"/>
      <c r="P32" s="51"/>
      <c r="Q32" s="51"/>
      <c r="R32" s="51"/>
      <c r="S32" s="51"/>
      <c r="T32" s="51"/>
      <c r="U32" s="51"/>
      <c r="V32" s="51"/>
      <c r="W32" s="51"/>
      <c r="X32" s="59" t="n">
        <f aca="false">$X$9+$X$10</f>
        <v>550</v>
      </c>
      <c r="Y32" s="59"/>
      <c r="Z32" s="59"/>
      <c r="AA32" s="59"/>
      <c r="AB32" s="59"/>
    </row>
    <row r="33" customFormat="false" ht="17.25" hidden="false" customHeight="true" outlineLevel="0" collapsed="false">
      <c r="B33" s="51" t="s">
        <v>117</v>
      </c>
      <c r="C33" s="51"/>
      <c r="D33" s="51"/>
      <c r="E33" s="51"/>
      <c r="F33" s="51"/>
      <c r="G33" s="51"/>
      <c r="H33" s="51"/>
      <c r="I33" s="51"/>
      <c r="J33" s="51"/>
      <c r="K33" s="51"/>
      <c r="L33" s="51"/>
      <c r="M33" s="51"/>
      <c r="N33" s="51"/>
      <c r="O33" s="51"/>
      <c r="P33" s="51"/>
      <c r="Q33" s="51"/>
      <c r="R33" s="51"/>
      <c r="S33" s="51"/>
      <c r="T33" s="51"/>
      <c r="U33" s="51"/>
      <c r="V33" s="51"/>
      <c r="W33" s="51"/>
      <c r="X33" s="59" t="n">
        <f aca="false">$X$9+$X$10</f>
        <v>550</v>
      </c>
      <c r="Y33" s="59"/>
      <c r="Z33" s="59"/>
      <c r="AA33" s="59"/>
      <c r="AB33" s="59"/>
    </row>
  </sheetData>
  <mergeCells count="75">
    <mergeCell ref="B1:AF1"/>
    <mergeCell ref="B2:AF2"/>
    <mergeCell ref="B3:AF3"/>
    <mergeCell ref="B5:AF5"/>
    <mergeCell ref="C6:AF6"/>
    <mergeCell ref="C7:AF7"/>
    <mergeCell ref="B8:W8"/>
    <mergeCell ref="X8:AC8"/>
    <mergeCell ref="B9:W9"/>
    <mergeCell ref="X9:AC9"/>
    <mergeCell ref="B10:W10"/>
    <mergeCell ref="X10:AC10"/>
    <mergeCell ref="B13:AF13"/>
    <mergeCell ref="B14:D14"/>
    <mergeCell ref="E14:T14"/>
    <mergeCell ref="U14:Z14"/>
    <mergeCell ref="AA14:AF14"/>
    <mergeCell ref="B15:D15"/>
    <mergeCell ref="E15:T15"/>
    <mergeCell ref="U15:Z15"/>
    <mergeCell ref="AA15:AF15"/>
    <mergeCell ref="B16:D16"/>
    <mergeCell ref="E16:T16"/>
    <mergeCell ref="U16:Y16"/>
    <mergeCell ref="AA16:AF16"/>
    <mergeCell ref="B17:D17"/>
    <mergeCell ref="E17:T17"/>
    <mergeCell ref="U17:Z17"/>
    <mergeCell ref="AA17:AE17"/>
    <mergeCell ref="B18:D18"/>
    <mergeCell ref="E18:T18"/>
    <mergeCell ref="U18:Z18"/>
    <mergeCell ref="AA18:AF18"/>
    <mergeCell ref="B19:D19"/>
    <mergeCell ref="E19:T19"/>
    <mergeCell ref="U19:Y19"/>
    <mergeCell ref="AA19:AF19"/>
    <mergeCell ref="B20:D20"/>
    <mergeCell ref="E20:T20"/>
    <mergeCell ref="U20:Z20"/>
    <mergeCell ref="AA20:AE20"/>
    <mergeCell ref="B21:D21"/>
    <mergeCell ref="E21:T21"/>
    <mergeCell ref="U21:Z21"/>
    <mergeCell ref="AA21:AF21"/>
    <mergeCell ref="B23:AF23"/>
    <mergeCell ref="B24:D24"/>
    <mergeCell ref="E24:AC24"/>
    <mergeCell ref="AD24:AF24"/>
    <mergeCell ref="B25:D25"/>
    <mergeCell ref="E25:K25"/>
    <mergeCell ref="M25:P25"/>
    <mergeCell ref="R25:T25"/>
    <mergeCell ref="U25:AA25"/>
    <mergeCell ref="AC25:AF25"/>
    <mergeCell ref="B26:D26"/>
    <mergeCell ref="M26:O26"/>
    <mergeCell ref="R26:T26"/>
    <mergeCell ref="AC26:AE26"/>
    <mergeCell ref="B27:D27"/>
    <mergeCell ref="E27:K27"/>
    <mergeCell ref="M27:O27"/>
    <mergeCell ref="R27:T27"/>
    <mergeCell ref="U27:AA27"/>
    <mergeCell ref="AC27:AE27"/>
    <mergeCell ref="B28:D28"/>
    <mergeCell ref="E28:K28"/>
    <mergeCell ref="M28:O28"/>
    <mergeCell ref="M29:O29"/>
    <mergeCell ref="AC29:AE29"/>
    <mergeCell ref="B31:AF31"/>
    <mergeCell ref="B32:W32"/>
    <mergeCell ref="X32:AB32"/>
    <mergeCell ref="B33:W33"/>
    <mergeCell ref="X33:AB33"/>
  </mergeCells>
  <conditionalFormatting sqref="B1:AG34">
    <cfRule type="cellIs" priority="2" operator="equal" aboveAverage="0" equalAverage="0" bottom="0" percent="0" rank="0" text="" dxfId="0">
      <formula>"✓"</formula>
    </cfRule>
    <cfRule type="cellIs" priority="3" operator="equal" aboveAverage="0" equalAverage="0" bottom="0" percent="0" rank="0" text="" dxfId="1">
      <formula>"✗"</formula>
    </cfRule>
  </conditionalFormatting>
  <printOptions headings="false" gridLines="false" gridLinesSet="true" horizontalCentered="false" verticalCentered="false"/>
  <pageMargins left="0.4" right="0.4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AD47"/>
    <pageSetUpPr fitToPage="true"/>
  </sheetPr>
  <dimension ref="B1:AF34"/>
  <sheetViews>
    <sheetView showFormulas="false" showGridLines="fals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34" min="2" style="0" width="4.6"/>
  </cols>
  <sheetData>
    <row r="1" customFormat="false" ht="25.5" hidden="false" customHeight="true" outlineLevel="0" collapsed="false">
      <c r="B1" s="1" t="s">
        <v>207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</row>
    <row r="2" customFormat="false" ht="15" hidden="false" customHeight="false" outlineLevel="0" collapsed="false">
      <c r="B2" s="14" t="s">
        <v>205</v>
      </c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</row>
    <row r="3" customFormat="false" ht="15" hidden="false" customHeight="false" outlineLevel="0" collapsed="false">
      <c r="B3" s="14" t="s">
        <v>206</v>
      </c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</row>
    <row r="5" customFormat="false" ht="30" hidden="false" customHeight="true" outlineLevel="0" collapsed="false">
      <c r="B5" s="4" t="s">
        <v>119</v>
      </c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</row>
    <row r="6" customFormat="false" ht="15" hidden="false" customHeight="false" outlineLevel="0" collapsed="false">
      <c r="B6" s="15" t="s">
        <v>105</v>
      </c>
      <c r="C6" s="15"/>
      <c r="D6" s="15"/>
      <c r="E6" s="15"/>
      <c r="F6" s="15"/>
      <c r="G6" s="15"/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6" t="s">
        <v>39</v>
      </c>
      <c r="Y6" s="16"/>
      <c r="Z6" s="16"/>
      <c r="AA6" s="16"/>
      <c r="AB6" s="16"/>
      <c r="AC6" s="16"/>
    </row>
    <row r="7" customFormat="false" ht="16.5" hidden="false" customHeight="true" outlineLevel="0" collapsed="false">
      <c r="B7" s="12" t="s">
        <v>120</v>
      </c>
      <c r="C7" s="12"/>
      <c r="D7" s="12"/>
      <c r="E7" s="12"/>
      <c r="F7" s="12"/>
      <c r="G7" s="12"/>
      <c r="H7" s="12"/>
      <c r="I7" s="12"/>
      <c r="J7" s="12"/>
      <c r="K7" s="12"/>
      <c r="L7" s="12"/>
      <c r="M7" s="12"/>
      <c r="N7" s="12"/>
      <c r="O7" s="12"/>
      <c r="P7" s="12"/>
      <c r="Q7" s="12"/>
      <c r="R7" s="12"/>
      <c r="S7" s="12"/>
      <c r="T7" s="12"/>
      <c r="U7" s="12"/>
      <c r="V7" s="12"/>
      <c r="W7" s="12"/>
      <c r="X7" s="58" t="n">
        <f aca="false">'Q8.9'!X7</f>
        <v>24000</v>
      </c>
      <c r="Y7" s="58"/>
      <c r="Z7" s="58"/>
      <c r="AA7" s="58"/>
      <c r="AB7" s="58"/>
      <c r="AC7" s="58"/>
    </row>
    <row r="8" customFormat="false" ht="16.5" hidden="false" customHeight="true" outlineLevel="0" collapsed="false">
      <c r="B8" s="12" t="s">
        <v>121</v>
      </c>
      <c r="C8" s="12"/>
      <c r="D8" s="12"/>
      <c r="E8" s="12"/>
      <c r="F8" s="12"/>
      <c r="G8" s="12"/>
      <c r="H8" s="12"/>
      <c r="I8" s="12"/>
      <c r="J8" s="12"/>
      <c r="K8" s="12"/>
      <c r="L8" s="12"/>
      <c r="M8" s="12"/>
      <c r="N8" s="12"/>
      <c r="O8" s="12"/>
      <c r="P8" s="12"/>
      <c r="Q8" s="12"/>
      <c r="R8" s="12"/>
      <c r="S8" s="12"/>
      <c r="T8" s="12"/>
      <c r="U8" s="12"/>
      <c r="V8" s="12"/>
      <c r="W8" s="12"/>
      <c r="X8" s="58" t="n">
        <f aca="false">'Q8.9'!X8</f>
        <v>800</v>
      </c>
      <c r="Y8" s="58"/>
      <c r="Z8" s="58"/>
      <c r="AA8" s="58"/>
      <c r="AB8" s="58"/>
      <c r="AC8" s="58"/>
    </row>
    <row r="9" customFormat="false" ht="16.5" hidden="false" customHeight="true" outlineLevel="0" collapsed="false">
      <c r="B9" s="12" t="s">
        <v>78</v>
      </c>
      <c r="C9" s="12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61" t="n">
        <f aca="false">'Q8.9'!X9</f>
        <v>0.05</v>
      </c>
      <c r="Y9" s="61"/>
      <c r="Z9" s="61"/>
      <c r="AA9" s="61"/>
      <c r="AB9" s="61"/>
      <c r="AC9" s="61"/>
    </row>
    <row r="12" customFormat="false" ht="18.75" hidden="false" customHeight="true" outlineLevel="0" collapsed="false">
      <c r="B12" s="3" t="s">
        <v>122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</row>
    <row r="13" customFormat="false" ht="17.25" hidden="false" customHeight="true" outlineLevel="0" collapsed="false">
      <c r="B13" s="51" t="s">
        <v>123</v>
      </c>
      <c r="C13" s="51"/>
      <c r="D13" s="51"/>
      <c r="E13" s="51"/>
      <c r="F13" s="51"/>
      <c r="G13" s="51"/>
      <c r="H13" s="51"/>
      <c r="I13" s="51"/>
      <c r="J13" s="51"/>
      <c r="K13" s="51"/>
      <c r="L13" s="51"/>
      <c r="M13" s="51"/>
      <c r="N13" s="51"/>
      <c r="O13" s="51"/>
      <c r="P13" s="51"/>
      <c r="Q13" s="51"/>
      <c r="R13" s="51"/>
      <c r="S13" s="51"/>
      <c r="T13" s="51"/>
      <c r="U13" s="51"/>
      <c r="V13" s="51"/>
      <c r="W13" s="51"/>
      <c r="X13" s="59" t="n">
        <f aca="false">$X$7-$X$8</f>
        <v>23200</v>
      </c>
      <c r="Y13" s="59"/>
      <c r="Z13" s="59"/>
      <c r="AA13" s="59"/>
      <c r="AB13" s="59"/>
    </row>
    <row r="15" customFormat="false" ht="18.75" hidden="false" customHeight="true" outlineLevel="0" collapsed="false">
      <c r="B15" s="3" t="s">
        <v>124</v>
      </c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</row>
    <row r="16" customFormat="false" ht="17.25" hidden="false" customHeight="true" outlineLevel="0" collapsed="false">
      <c r="B16" s="51" t="s">
        <v>125</v>
      </c>
      <c r="C16" s="51"/>
      <c r="D16" s="51"/>
      <c r="E16" s="51"/>
      <c r="F16" s="51"/>
      <c r="G16" s="51"/>
      <c r="H16" s="51"/>
      <c r="I16" s="51"/>
      <c r="J16" s="51"/>
      <c r="K16" s="51"/>
      <c r="L16" s="51"/>
      <c r="M16" s="51"/>
      <c r="N16" s="51"/>
      <c r="O16" s="51"/>
      <c r="P16" s="51"/>
      <c r="Q16" s="51"/>
      <c r="R16" s="51"/>
      <c r="S16" s="51"/>
      <c r="T16" s="51"/>
      <c r="U16" s="51"/>
      <c r="V16" s="51"/>
      <c r="W16" s="51"/>
      <c r="X16" s="59" t="n">
        <f aca="false">ROUND($X$13*$X$9,2)</f>
        <v>1160</v>
      </c>
      <c r="Y16" s="59"/>
      <c r="Z16" s="59"/>
      <c r="AA16" s="59"/>
      <c r="AB16" s="59"/>
    </row>
    <row r="18" customFormat="false" ht="18.75" hidden="false" customHeight="true" outlineLevel="0" collapsed="false">
      <c r="B18" s="3" t="s">
        <v>126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</row>
    <row r="19" customFormat="false" ht="15" hidden="false" customHeight="false" outlineLevel="0" collapsed="false">
      <c r="B19" s="25" t="s">
        <v>127</v>
      </c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</row>
    <row r="20" customFormat="false" ht="15" hidden="false" customHeight="false" outlineLevel="0" collapsed="false">
      <c r="B20" s="44"/>
      <c r="C20" s="44"/>
      <c r="D20" s="44"/>
      <c r="E20" s="15" t="s">
        <v>44</v>
      </c>
      <c r="F20" s="15"/>
      <c r="G20" s="15"/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6" t="s">
        <v>48</v>
      </c>
      <c r="S20" s="16"/>
      <c r="T20" s="16"/>
      <c r="U20" s="16"/>
      <c r="V20" s="16"/>
      <c r="W20" s="16" t="s">
        <v>48</v>
      </c>
      <c r="X20" s="16"/>
      <c r="Y20" s="16"/>
      <c r="Z20" s="16"/>
      <c r="AA20" s="16"/>
      <c r="AB20" s="16" t="s">
        <v>48</v>
      </c>
      <c r="AC20" s="16"/>
      <c r="AD20" s="16"/>
      <c r="AE20" s="16"/>
      <c r="AF20" s="16"/>
    </row>
    <row r="21" customFormat="false" ht="17.25" hidden="false" customHeight="true" outlineLevel="0" collapsed="false">
      <c r="B21" s="45" t="s">
        <v>97</v>
      </c>
      <c r="C21" s="45"/>
      <c r="D21" s="45"/>
      <c r="E21" s="46" t="s">
        <v>128</v>
      </c>
      <c r="F21" s="46"/>
      <c r="G21" s="46"/>
      <c r="H21" s="46"/>
      <c r="I21" s="46"/>
      <c r="J21" s="46"/>
      <c r="K21" s="46"/>
      <c r="L21" s="46"/>
      <c r="M21" s="46"/>
      <c r="N21" s="46"/>
      <c r="O21" s="46"/>
      <c r="P21" s="46"/>
      <c r="Q21" s="46"/>
    </row>
    <row r="22" customFormat="false" ht="17.25" hidden="false" customHeight="true" outlineLevel="0" collapsed="false">
      <c r="B22" s="45"/>
      <c r="C22" s="45"/>
      <c r="D22" s="45"/>
      <c r="E22" s="35" t="s">
        <v>50</v>
      </c>
      <c r="F22" s="35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W22" s="59" t="n">
        <f aca="false">$X$8</f>
        <v>800</v>
      </c>
      <c r="X22" s="59"/>
      <c r="Y22" s="59"/>
      <c r="Z22" s="59"/>
    </row>
    <row r="23" customFormat="false" ht="17.25" hidden="false" customHeight="true" outlineLevel="0" collapsed="false">
      <c r="B23" s="45"/>
      <c r="C23" s="45"/>
      <c r="D23" s="45"/>
      <c r="E23" s="35" t="s">
        <v>129</v>
      </c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W23" s="62" t="n">
        <f aca="false">$X$16</f>
        <v>1160</v>
      </c>
      <c r="X23" s="62"/>
      <c r="Y23" s="62"/>
      <c r="Z23" s="62"/>
      <c r="AB23" s="59" t="n">
        <f aca="false">$X$8+$X$16</f>
        <v>1960</v>
      </c>
      <c r="AC23" s="59"/>
      <c r="AD23" s="59"/>
      <c r="AE23" s="59"/>
    </row>
    <row r="25" customFormat="false" ht="18.75" hidden="false" customHeight="true" outlineLevel="0" collapsed="false">
      <c r="B25" s="3" t="s">
        <v>130</v>
      </c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</row>
    <row r="26" customFormat="false" ht="15" hidden="false" customHeight="false" outlineLevel="0" collapsed="false">
      <c r="B26" s="25" t="s">
        <v>91</v>
      </c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</row>
    <row r="27" customFormat="false" ht="15" hidden="false" customHeight="false" outlineLevel="0" collapsed="false">
      <c r="B27" s="44"/>
      <c r="C27" s="44"/>
      <c r="D27" s="44"/>
      <c r="E27" s="15" t="s">
        <v>44</v>
      </c>
      <c r="F27" s="15"/>
      <c r="G27" s="15"/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6" t="s">
        <v>48</v>
      </c>
      <c r="S27" s="16"/>
      <c r="T27" s="16"/>
      <c r="U27" s="16"/>
      <c r="V27" s="16"/>
      <c r="W27" s="16" t="s">
        <v>48</v>
      </c>
      <c r="X27" s="16"/>
      <c r="Y27" s="16"/>
      <c r="Z27" s="16"/>
      <c r="AA27" s="16"/>
      <c r="AB27" s="16" t="s">
        <v>48</v>
      </c>
      <c r="AC27" s="16"/>
      <c r="AD27" s="16"/>
      <c r="AE27" s="16"/>
      <c r="AF27" s="16"/>
    </row>
    <row r="28" customFormat="false" ht="30" hidden="false" customHeight="true" outlineLevel="0" collapsed="false"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4"/>
      <c r="P28" s="44"/>
      <c r="Q28" s="44"/>
      <c r="R28" s="11" t="s">
        <v>92</v>
      </c>
      <c r="S28" s="11"/>
      <c r="T28" s="11"/>
      <c r="U28" s="11"/>
      <c r="V28" s="11"/>
      <c r="W28" s="11" t="s">
        <v>93</v>
      </c>
      <c r="X28" s="11"/>
      <c r="Y28" s="11"/>
      <c r="Z28" s="11"/>
      <c r="AA28" s="11"/>
      <c r="AB28" s="11" t="s">
        <v>94</v>
      </c>
      <c r="AC28" s="11"/>
      <c r="AD28" s="11"/>
      <c r="AE28" s="11"/>
      <c r="AF28" s="11"/>
    </row>
    <row r="29" customFormat="false" ht="17.25" hidden="false" customHeight="true" outlineLevel="0" collapsed="false">
      <c r="B29" s="45"/>
      <c r="C29" s="45"/>
      <c r="D29" s="45"/>
      <c r="E29" s="46" t="s">
        <v>95</v>
      </c>
      <c r="F29" s="46"/>
      <c r="G29" s="46"/>
      <c r="H29" s="46"/>
      <c r="I29" s="46"/>
      <c r="J29" s="46"/>
      <c r="K29" s="46"/>
      <c r="L29" s="46"/>
      <c r="M29" s="46"/>
      <c r="N29" s="46"/>
      <c r="O29" s="46"/>
      <c r="P29" s="46"/>
      <c r="Q29" s="46"/>
    </row>
    <row r="30" customFormat="false" ht="17.25" hidden="false" customHeight="true" outlineLevel="0" collapsed="false">
      <c r="B30" s="45"/>
      <c r="C30" s="45"/>
      <c r="D30" s="45"/>
      <c r="E30" s="35" t="s">
        <v>96</v>
      </c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59" t="n">
        <f aca="false">$X$13</f>
        <v>23200</v>
      </c>
      <c r="S30" s="59"/>
      <c r="T30" s="59"/>
      <c r="U30" s="59"/>
    </row>
    <row r="31" customFormat="false" ht="17.25" hidden="false" customHeight="true" outlineLevel="0" collapsed="false">
      <c r="B31" s="45" t="s">
        <v>97</v>
      </c>
      <c r="C31" s="45"/>
      <c r="D31" s="45"/>
      <c r="E31" s="35" t="s">
        <v>98</v>
      </c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62" t="n">
        <f aca="false">-$X$16</f>
        <v>-1160</v>
      </c>
      <c r="S31" s="62"/>
      <c r="T31" s="62"/>
      <c r="U31" s="62"/>
      <c r="W31" s="59" t="n">
        <f aca="false">$X$13-$X$16</f>
        <v>22040</v>
      </c>
      <c r="X31" s="59"/>
      <c r="Y31" s="59"/>
      <c r="Z31" s="59"/>
    </row>
    <row r="33" customFormat="false" ht="18.75" hidden="false" customHeight="true" outlineLevel="0" collapsed="false">
      <c r="B33" s="3" t="s">
        <v>131</v>
      </c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</row>
    <row r="34" customFormat="false" ht="17.25" hidden="false" customHeight="true" outlineLevel="0" collapsed="false">
      <c r="B34" s="51" t="s">
        <v>132</v>
      </c>
      <c r="C34" s="51"/>
      <c r="D34" s="51"/>
      <c r="E34" s="51"/>
      <c r="F34" s="51"/>
      <c r="G34" s="51"/>
      <c r="H34" s="51"/>
      <c r="I34" s="51"/>
      <c r="J34" s="51"/>
      <c r="K34" s="51"/>
      <c r="L34" s="51"/>
      <c r="M34" s="51"/>
      <c r="N34" s="51"/>
      <c r="O34" s="51"/>
      <c r="P34" s="51"/>
      <c r="Q34" s="51"/>
      <c r="R34" s="51"/>
      <c r="S34" s="51"/>
      <c r="T34" s="63" t="str">
        <f aca="false">"Prudence"</f>
        <v>Prudence</v>
      </c>
      <c r="U34" s="63"/>
      <c r="V34" s="63"/>
      <c r="W34" s="63"/>
      <c r="X34" s="63"/>
      <c r="Y34" s="63"/>
      <c r="Z34" s="63"/>
      <c r="AA34" s="63"/>
      <c r="AB34" s="63"/>
    </row>
  </sheetData>
  <mergeCells count="58">
    <mergeCell ref="B1:AF1"/>
    <mergeCell ref="B2:AF2"/>
    <mergeCell ref="B3:AF3"/>
    <mergeCell ref="B5:AF5"/>
    <mergeCell ref="B6:W6"/>
    <mergeCell ref="X6:AC6"/>
    <mergeCell ref="B7:W7"/>
    <mergeCell ref="X7:AC7"/>
    <mergeCell ref="B8:W8"/>
    <mergeCell ref="X8:AC8"/>
    <mergeCell ref="B9:W9"/>
    <mergeCell ref="X9:AC9"/>
    <mergeCell ref="B12:AF12"/>
    <mergeCell ref="B13:W13"/>
    <mergeCell ref="X13:AB13"/>
    <mergeCell ref="B15:AF15"/>
    <mergeCell ref="B16:W16"/>
    <mergeCell ref="X16:AB16"/>
    <mergeCell ref="B18:AF18"/>
    <mergeCell ref="B19:AF19"/>
    <mergeCell ref="B20:D20"/>
    <mergeCell ref="E20:Q20"/>
    <mergeCell ref="R20:V20"/>
    <mergeCell ref="W20:AA20"/>
    <mergeCell ref="AB20:AF20"/>
    <mergeCell ref="B21:D21"/>
    <mergeCell ref="E21:Q21"/>
    <mergeCell ref="B22:D22"/>
    <mergeCell ref="E22:Q22"/>
    <mergeCell ref="W22:Z22"/>
    <mergeCell ref="B23:D23"/>
    <mergeCell ref="E23:Q23"/>
    <mergeCell ref="W23:Z23"/>
    <mergeCell ref="AB23:AE23"/>
    <mergeCell ref="B25:AF25"/>
    <mergeCell ref="B26:AF26"/>
    <mergeCell ref="B27:D27"/>
    <mergeCell ref="E27:Q27"/>
    <mergeCell ref="R27:V27"/>
    <mergeCell ref="W27:AA27"/>
    <mergeCell ref="AB27:AF27"/>
    <mergeCell ref="B28:D28"/>
    <mergeCell ref="E28:Q28"/>
    <mergeCell ref="R28:V28"/>
    <mergeCell ref="W28:AA28"/>
    <mergeCell ref="AB28:AF28"/>
    <mergeCell ref="B29:D29"/>
    <mergeCell ref="E29:Q29"/>
    <mergeCell ref="B30:D30"/>
    <mergeCell ref="E30:Q30"/>
    <mergeCell ref="R30:U30"/>
    <mergeCell ref="B31:D31"/>
    <mergeCell ref="E31:Q31"/>
    <mergeCell ref="R31:U31"/>
    <mergeCell ref="W31:Z31"/>
    <mergeCell ref="B33:AF33"/>
    <mergeCell ref="B34:S34"/>
    <mergeCell ref="T34:AB34"/>
  </mergeCells>
  <conditionalFormatting sqref="B1:AG35">
    <cfRule type="cellIs" priority="2" operator="equal" aboveAverage="0" equalAverage="0" bottom="0" percent="0" rank="0" text="" dxfId="0">
      <formula>"✓"</formula>
    </cfRule>
    <cfRule type="cellIs" priority="3" operator="equal" aboveAverage="0" equalAverage="0" bottom="0" percent="0" rank="0" text="" dxfId="1">
      <formula>"✗"</formula>
    </cfRule>
  </conditionalFormatting>
  <printOptions headings="false" gridLines="false" gridLinesSet="true" horizontalCentered="false" verticalCentered="false"/>
  <pageMargins left="0.4" right="0.4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AD47"/>
    <pageSetUpPr fitToPage="true"/>
  </sheetPr>
  <dimension ref="B1:AF57"/>
  <sheetViews>
    <sheetView showFormulas="false" showGridLines="fals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34" min="2" style="0" width="4.6"/>
  </cols>
  <sheetData>
    <row r="1" customFormat="false" ht="25.5" hidden="false" customHeight="true" outlineLevel="0" collapsed="false">
      <c r="B1" s="1" t="s">
        <v>208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</row>
    <row r="2" customFormat="false" ht="15" hidden="false" customHeight="false" outlineLevel="0" collapsed="false">
      <c r="B2" s="14" t="s">
        <v>205</v>
      </c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</row>
    <row r="3" customFormat="false" ht="15" hidden="false" customHeight="false" outlineLevel="0" collapsed="false">
      <c r="B3" s="14" t="s">
        <v>206</v>
      </c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</row>
    <row r="5" customFormat="false" ht="16.5" hidden="false" customHeight="true" outlineLevel="0" collapsed="false">
      <c r="B5" s="4" t="s">
        <v>134</v>
      </c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</row>
    <row r="6" customFormat="false" ht="16.5" hidden="false" customHeight="true" outlineLevel="0" collapsed="false">
      <c r="C6" s="4" t="s">
        <v>135</v>
      </c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</row>
    <row r="7" customFormat="false" ht="16.5" hidden="false" customHeight="true" outlineLevel="0" collapsed="false">
      <c r="C7" s="4" t="s">
        <v>136</v>
      </c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</row>
    <row r="8" customFormat="false" ht="16.5" hidden="false" customHeight="true" outlineLevel="0" collapsed="false">
      <c r="B8" s="4" t="s">
        <v>137</v>
      </c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</row>
    <row r="9" customFormat="false" ht="15" hidden="false" customHeight="false" outlineLevel="0" collapsed="false">
      <c r="B9" s="15" t="s">
        <v>105</v>
      </c>
      <c r="C9" s="15"/>
      <c r="D9" s="15"/>
      <c r="E9" s="15"/>
      <c r="F9" s="15"/>
      <c r="G9" s="15"/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6" t="s">
        <v>39</v>
      </c>
      <c r="Y9" s="16"/>
      <c r="Z9" s="16"/>
      <c r="AA9" s="16"/>
      <c r="AB9" s="16"/>
      <c r="AC9" s="16"/>
    </row>
    <row r="10" customFormat="false" ht="16.5" hidden="false" customHeight="true" outlineLevel="0" collapsed="false">
      <c r="B10" s="12" t="s">
        <v>138</v>
      </c>
      <c r="C10" s="12"/>
      <c r="D10" s="12"/>
      <c r="E10" s="12"/>
      <c r="F10" s="12"/>
      <c r="G10" s="12"/>
      <c r="H10" s="12"/>
      <c r="I10" s="12"/>
      <c r="J10" s="12"/>
      <c r="K10" s="12"/>
      <c r="L10" s="12"/>
      <c r="M10" s="12"/>
      <c r="N10" s="12"/>
      <c r="O10" s="12"/>
      <c r="P10" s="12"/>
      <c r="Q10" s="12"/>
      <c r="R10" s="12"/>
      <c r="S10" s="12"/>
      <c r="T10" s="12"/>
      <c r="U10" s="12"/>
      <c r="V10" s="12"/>
      <c r="W10" s="12"/>
      <c r="X10" s="58" t="n">
        <f aca="false">'Q8.10'!X10</f>
        <v>900</v>
      </c>
      <c r="Y10" s="58"/>
      <c r="Z10" s="58"/>
      <c r="AA10" s="58"/>
      <c r="AB10" s="58"/>
      <c r="AC10" s="58"/>
    </row>
    <row r="11" customFormat="false" ht="16.5" hidden="false" customHeight="true" outlineLevel="0" collapsed="false">
      <c r="B11" s="12" t="s">
        <v>139</v>
      </c>
      <c r="C11" s="12"/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12"/>
      <c r="O11" s="12"/>
      <c r="P11" s="12"/>
      <c r="Q11" s="12"/>
      <c r="R11" s="12"/>
      <c r="S11" s="12"/>
      <c r="T11" s="12"/>
      <c r="U11" s="12"/>
      <c r="V11" s="12"/>
      <c r="W11" s="12"/>
      <c r="X11" s="58" t="n">
        <f aca="false">'Q8.10'!X11</f>
        <v>400</v>
      </c>
      <c r="Y11" s="58"/>
      <c r="Z11" s="58"/>
      <c r="AA11" s="58"/>
      <c r="AB11" s="58"/>
      <c r="AC11" s="58"/>
    </row>
    <row r="12" customFormat="false" ht="16.5" hidden="false" customHeight="true" outlineLevel="0" collapsed="false">
      <c r="B12" s="12" t="s">
        <v>140</v>
      </c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58" t="n">
        <f aca="false">'Q8.10'!X12</f>
        <v>250</v>
      </c>
      <c r="Y12" s="58"/>
      <c r="Z12" s="58"/>
      <c r="AA12" s="58"/>
      <c r="AB12" s="58"/>
      <c r="AC12" s="58"/>
    </row>
    <row r="13" customFormat="false" ht="16.5" hidden="false" customHeight="true" outlineLevel="0" collapsed="false">
      <c r="B13" s="12" t="s">
        <v>141</v>
      </c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58" t="n">
        <f aca="false">'Q8.10'!X13</f>
        <v>26000</v>
      </c>
      <c r="Y13" s="58"/>
      <c r="Z13" s="58"/>
      <c r="AA13" s="58"/>
      <c r="AB13" s="58"/>
      <c r="AC13" s="58"/>
    </row>
    <row r="14" customFormat="false" ht="16.5" hidden="false" customHeight="true" outlineLevel="0" collapsed="false">
      <c r="B14" s="12" t="s">
        <v>78</v>
      </c>
      <c r="C14" s="12"/>
      <c r="D14" s="12"/>
      <c r="E14" s="12"/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2"/>
      <c r="R14" s="12"/>
      <c r="S14" s="12"/>
      <c r="T14" s="12"/>
      <c r="U14" s="12"/>
      <c r="V14" s="12"/>
      <c r="W14" s="12"/>
      <c r="X14" s="61" t="n">
        <f aca="false">'Q8.10'!X14</f>
        <v>0.04</v>
      </c>
      <c r="Y14" s="61"/>
      <c r="Z14" s="61"/>
      <c r="AA14" s="61"/>
      <c r="AB14" s="61"/>
      <c r="AC14" s="61"/>
    </row>
    <row r="17" customFormat="false" ht="18.75" hidden="false" customHeight="true" outlineLevel="0" collapsed="false">
      <c r="B17" s="3" t="s">
        <v>142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</row>
    <row r="18" customFormat="false" ht="15" hidden="false" customHeight="false" outlineLevel="0" collapsed="false">
      <c r="B18" s="15" t="s">
        <v>43</v>
      </c>
      <c r="C18" s="15"/>
      <c r="D18" s="15"/>
      <c r="E18" s="15" t="s">
        <v>44</v>
      </c>
      <c r="F18" s="15"/>
      <c r="G18" s="15"/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6" t="s">
        <v>45</v>
      </c>
      <c r="V18" s="16"/>
      <c r="W18" s="16"/>
      <c r="X18" s="16"/>
      <c r="Y18" s="16"/>
      <c r="Z18" s="16"/>
      <c r="AA18" s="16" t="s">
        <v>46</v>
      </c>
      <c r="AB18" s="16"/>
      <c r="AC18" s="16"/>
      <c r="AD18" s="16"/>
      <c r="AE18" s="16"/>
      <c r="AF18" s="16"/>
    </row>
    <row r="19" customFormat="false" ht="16.5" hidden="false" customHeight="true" outlineLevel="0" collapsed="false">
      <c r="B19" s="18"/>
      <c r="C19" s="18"/>
      <c r="D19" s="18"/>
      <c r="E19" s="19"/>
      <c r="F19" s="19"/>
      <c r="G19" s="19"/>
      <c r="H19" s="19"/>
      <c r="I19" s="19"/>
      <c r="J19" s="19"/>
      <c r="K19" s="19"/>
      <c r="L19" s="19"/>
      <c r="M19" s="19"/>
      <c r="N19" s="19"/>
      <c r="O19" s="19"/>
      <c r="P19" s="19"/>
      <c r="Q19" s="19"/>
      <c r="R19" s="19"/>
      <c r="S19" s="19"/>
      <c r="T19" s="19"/>
      <c r="U19" s="20" t="s">
        <v>48</v>
      </c>
      <c r="V19" s="20"/>
      <c r="W19" s="20"/>
      <c r="X19" s="20"/>
      <c r="Y19" s="20"/>
      <c r="Z19" s="20"/>
      <c r="AA19" s="20" t="s">
        <v>48</v>
      </c>
      <c r="AB19" s="20"/>
      <c r="AC19" s="20"/>
      <c r="AD19" s="20"/>
      <c r="AE19" s="20"/>
      <c r="AF19" s="20"/>
    </row>
    <row r="20" customFormat="false" ht="16.5" hidden="false" customHeight="true" outlineLevel="0" collapsed="false">
      <c r="B20" s="19"/>
      <c r="C20" s="19"/>
      <c r="D20" s="19"/>
      <c r="E20" s="19" t="s">
        <v>143</v>
      </c>
      <c r="F20" s="19"/>
      <c r="G20" s="19"/>
      <c r="H20" s="19"/>
      <c r="I20" s="19"/>
      <c r="J20" s="19"/>
      <c r="K20" s="19"/>
      <c r="L20" s="19"/>
      <c r="M20" s="19"/>
      <c r="N20" s="19"/>
      <c r="O20" s="19"/>
      <c r="P20" s="19"/>
      <c r="Q20" s="19"/>
      <c r="R20" s="19"/>
      <c r="S20" s="19"/>
      <c r="T20" s="19"/>
      <c r="U20" s="59" t="n">
        <f aca="false">$X$12</f>
        <v>250</v>
      </c>
      <c r="V20" s="59"/>
      <c r="W20" s="59"/>
      <c r="X20" s="59"/>
      <c r="Y20" s="59"/>
      <c r="Z20" s="19"/>
      <c r="AA20" s="19"/>
      <c r="AB20" s="19"/>
      <c r="AC20" s="19"/>
      <c r="AD20" s="19"/>
      <c r="AE20" s="19"/>
      <c r="AF20" s="19"/>
    </row>
    <row r="21" customFormat="false" ht="16.5" hidden="false" customHeight="true" outlineLevel="0" collapsed="false">
      <c r="B21" s="19"/>
      <c r="C21" s="19"/>
      <c r="D21" s="19"/>
      <c r="E21" s="22" t="s">
        <v>67</v>
      </c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19"/>
      <c r="V21" s="19"/>
      <c r="W21" s="19"/>
      <c r="X21" s="19"/>
      <c r="Y21" s="19"/>
      <c r="Z21" s="19"/>
      <c r="AA21" s="59" t="n">
        <f aca="false">$X$12</f>
        <v>250</v>
      </c>
      <c r="AB21" s="59"/>
      <c r="AC21" s="59"/>
      <c r="AD21" s="59"/>
      <c r="AE21" s="59"/>
      <c r="AF21" s="19"/>
    </row>
    <row r="22" customFormat="false" ht="17.25" hidden="false" customHeight="true" outlineLevel="0" collapsed="false">
      <c r="B22" s="19"/>
      <c r="C22" s="19"/>
      <c r="D22" s="19"/>
      <c r="E22" s="23" t="s">
        <v>144</v>
      </c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19"/>
      <c r="V22" s="19"/>
      <c r="W22" s="19"/>
      <c r="X22" s="19"/>
      <c r="Y22" s="19"/>
      <c r="Z22" s="19"/>
      <c r="AA22" s="19"/>
      <c r="AB22" s="19"/>
      <c r="AC22" s="19"/>
      <c r="AD22" s="19"/>
      <c r="AE22" s="19"/>
      <c r="AF22" s="19"/>
    </row>
    <row r="23" customFormat="false" ht="16.5" hidden="false" customHeight="true" outlineLevel="0" collapsed="false">
      <c r="B23" s="19"/>
      <c r="C23" s="19"/>
      <c r="D23" s="19"/>
      <c r="E23" s="19" t="s">
        <v>69</v>
      </c>
      <c r="F23" s="19"/>
      <c r="G23" s="19"/>
      <c r="H23" s="19"/>
      <c r="I23" s="19"/>
      <c r="J23" s="19"/>
      <c r="K23" s="19"/>
      <c r="L23" s="19"/>
      <c r="M23" s="19"/>
      <c r="N23" s="19"/>
      <c r="O23" s="19"/>
      <c r="P23" s="19"/>
      <c r="Q23" s="19"/>
      <c r="R23" s="19"/>
      <c r="S23" s="19"/>
      <c r="T23" s="19"/>
      <c r="U23" s="59" t="n">
        <f aca="false">$X$12</f>
        <v>250</v>
      </c>
      <c r="V23" s="59"/>
      <c r="W23" s="59"/>
      <c r="X23" s="59"/>
      <c r="Y23" s="59"/>
      <c r="Z23" s="19"/>
      <c r="AA23" s="19"/>
      <c r="AB23" s="19"/>
      <c r="AC23" s="19"/>
      <c r="AD23" s="19"/>
      <c r="AE23" s="19"/>
      <c r="AF23" s="19"/>
    </row>
    <row r="24" customFormat="false" ht="16.5" hidden="false" customHeight="true" outlineLevel="0" collapsed="false">
      <c r="B24" s="19"/>
      <c r="C24" s="19"/>
      <c r="D24" s="19"/>
      <c r="E24" s="22" t="s">
        <v>143</v>
      </c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19"/>
      <c r="V24" s="19"/>
      <c r="W24" s="19"/>
      <c r="X24" s="19"/>
      <c r="Y24" s="19"/>
      <c r="Z24" s="19"/>
      <c r="AA24" s="59" t="n">
        <f aca="false">$X$12</f>
        <v>250</v>
      </c>
      <c r="AB24" s="59"/>
      <c r="AC24" s="59"/>
      <c r="AD24" s="59"/>
      <c r="AE24" s="59"/>
      <c r="AF24" s="19"/>
    </row>
    <row r="25" customFormat="false" ht="17.25" hidden="false" customHeight="true" outlineLevel="0" collapsed="false">
      <c r="B25" s="19"/>
      <c r="C25" s="19"/>
      <c r="D25" s="19"/>
      <c r="E25" s="23" t="s">
        <v>145</v>
      </c>
      <c r="F25" s="23"/>
      <c r="G25" s="23"/>
      <c r="H25" s="23"/>
      <c r="I25" s="23"/>
      <c r="J25" s="23"/>
      <c r="K25" s="23"/>
      <c r="L25" s="23"/>
      <c r="M25" s="23"/>
      <c r="N25" s="23"/>
      <c r="O25" s="23"/>
      <c r="P25" s="23"/>
      <c r="Q25" s="23"/>
      <c r="R25" s="23"/>
      <c r="S25" s="23"/>
      <c r="T25" s="23"/>
      <c r="U25" s="19"/>
      <c r="V25" s="19"/>
      <c r="W25" s="19"/>
      <c r="X25" s="19"/>
      <c r="Y25" s="19"/>
      <c r="Z25" s="19"/>
      <c r="AA25" s="19"/>
      <c r="AB25" s="19"/>
      <c r="AC25" s="19"/>
      <c r="AD25" s="19"/>
      <c r="AE25" s="19"/>
      <c r="AF25" s="19"/>
    </row>
    <row r="27" customFormat="false" ht="18.75" hidden="false" customHeight="true" outlineLevel="0" collapsed="false">
      <c r="B27" s="3" t="s">
        <v>146</v>
      </c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</row>
    <row r="28" customFormat="false" ht="17.25" hidden="false" customHeight="true" outlineLevel="0" collapsed="false">
      <c r="B28" s="51" t="s">
        <v>147</v>
      </c>
      <c r="C28" s="51"/>
      <c r="D28" s="51"/>
      <c r="E28" s="51"/>
      <c r="F28" s="51"/>
      <c r="G28" s="51"/>
      <c r="H28" s="51"/>
      <c r="I28" s="51"/>
      <c r="J28" s="51"/>
      <c r="K28" s="51"/>
      <c r="L28" s="51"/>
      <c r="M28" s="51"/>
      <c r="N28" s="51"/>
      <c r="O28" s="51"/>
      <c r="P28" s="51"/>
      <c r="Q28" s="51"/>
      <c r="R28" s="51"/>
      <c r="S28" s="51"/>
      <c r="T28" s="51"/>
      <c r="U28" s="51"/>
      <c r="V28" s="51"/>
      <c r="W28" s="51"/>
      <c r="X28" s="59" t="n">
        <f aca="false">ROUND($X$13*$X$14,2)</f>
        <v>1040</v>
      </c>
      <c r="Y28" s="59"/>
      <c r="Z28" s="59"/>
      <c r="AA28" s="59"/>
      <c r="AB28" s="59"/>
    </row>
    <row r="29" customFormat="false" ht="17.25" hidden="false" customHeight="true" outlineLevel="0" collapsed="false">
      <c r="B29" s="51" t="s">
        <v>148</v>
      </c>
      <c r="C29" s="51"/>
      <c r="D29" s="51"/>
      <c r="E29" s="51"/>
      <c r="F29" s="51"/>
      <c r="G29" s="51"/>
      <c r="H29" s="51"/>
      <c r="I29" s="51"/>
      <c r="J29" s="51"/>
      <c r="K29" s="51"/>
      <c r="L29" s="51"/>
      <c r="M29" s="51"/>
      <c r="N29" s="51"/>
      <c r="O29" s="51"/>
      <c r="P29" s="51"/>
      <c r="Q29" s="51"/>
      <c r="R29" s="51"/>
      <c r="S29" s="51"/>
      <c r="T29" s="51"/>
      <c r="U29" s="51"/>
      <c r="V29" s="51"/>
      <c r="W29" s="51"/>
      <c r="X29" s="59" t="n">
        <f aca="false">$X$28-$X$10</f>
        <v>140</v>
      </c>
      <c r="Y29" s="59"/>
      <c r="Z29" s="59"/>
      <c r="AA29" s="59"/>
      <c r="AB29" s="59"/>
    </row>
    <row r="31" customFormat="false" ht="18.75" hidden="false" customHeight="true" outlineLevel="0" collapsed="false">
      <c r="B31" s="3" t="s">
        <v>149</v>
      </c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</row>
    <row r="32" customFormat="false" ht="15" hidden="false" customHeight="false" outlineLevel="0" collapsed="false">
      <c r="B32" s="24" t="s">
        <v>53</v>
      </c>
      <c r="C32" s="24"/>
      <c r="D32" s="24"/>
      <c r="E32" s="25" t="s">
        <v>84</v>
      </c>
      <c r="F32" s="25"/>
      <c r="G32" s="25"/>
      <c r="H32" s="25"/>
      <c r="I32" s="25"/>
      <c r="J32" s="25"/>
      <c r="K32" s="25"/>
      <c r="L32" s="25"/>
      <c r="M32" s="25"/>
      <c r="N32" s="25"/>
      <c r="O32" s="25"/>
      <c r="P32" s="25"/>
      <c r="Q32" s="25"/>
      <c r="R32" s="25"/>
      <c r="S32" s="25"/>
      <c r="T32" s="25"/>
      <c r="U32" s="25"/>
      <c r="V32" s="25"/>
      <c r="W32" s="25"/>
      <c r="X32" s="25"/>
      <c r="Y32" s="25"/>
      <c r="Z32" s="25"/>
      <c r="AA32" s="25"/>
      <c r="AB32" s="25"/>
      <c r="AC32" s="25"/>
      <c r="AD32" s="26" t="s">
        <v>55</v>
      </c>
      <c r="AE32" s="26"/>
      <c r="AF32" s="26"/>
    </row>
    <row r="33" customFormat="false" ht="15" hidden="false" customHeight="false" outlineLevel="0" collapsed="false">
      <c r="B33" s="27" t="s">
        <v>43</v>
      </c>
      <c r="C33" s="27"/>
      <c r="D33" s="27"/>
      <c r="E33" s="27" t="s">
        <v>44</v>
      </c>
      <c r="F33" s="27"/>
      <c r="G33" s="27"/>
      <c r="H33" s="27"/>
      <c r="I33" s="27"/>
      <c r="J33" s="27"/>
      <c r="K33" s="27"/>
      <c r="L33" s="28" t="s">
        <v>56</v>
      </c>
      <c r="M33" s="29" t="s">
        <v>57</v>
      </c>
      <c r="N33" s="29"/>
      <c r="O33" s="29"/>
      <c r="P33" s="29"/>
      <c r="Q33" s="30"/>
      <c r="R33" s="31" t="s">
        <v>43</v>
      </c>
      <c r="S33" s="31"/>
      <c r="T33" s="31"/>
      <c r="U33" s="27" t="s">
        <v>44</v>
      </c>
      <c r="V33" s="27"/>
      <c r="W33" s="27"/>
      <c r="X33" s="27"/>
      <c r="Y33" s="27"/>
      <c r="Z33" s="27"/>
      <c r="AA33" s="27"/>
      <c r="AB33" s="28" t="s">
        <v>56</v>
      </c>
      <c r="AC33" s="29" t="s">
        <v>57</v>
      </c>
      <c r="AD33" s="29"/>
      <c r="AE33" s="29"/>
      <c r="AF33" s="29"/>
    </row>
    <row r="34" customFormat="false" ht="16.5" hidden="false" customHeight="true" outlineLevel="0" collapsed="false">
      <c r="B34" s="32" t="s">
        <v>89</v>
      </c>
      <c r="C34" s="32"/>
      <c r="D34" s="32"/>
      <c r="M34" s="33" t="s">
        <v>48</v>
      </c>
      <c r="N34" s="33"/>
      <c r="O34" s="33"/>
      <c r="R34" s="34" t="s">
        <v>47</v>
      </c>
      <c r="S34" s="34"/>
      <c r="T34" s="34"/>
      <c r="AC34" s="33" t="s">
        <v>48</v>
      </c>
      <c r="AD34" s="33"/>
      <c r="AE34" s="33"/>
    </row>
    <row r="35" customFormat="false" ht="17.25" hidden="false" customHeight="true" outlineLevel="0" collapsed="false">
      <c r="B35" s="6" t="s">
        <v>49</v>
      </c>
      <c r="C35" s="6"/>
      <c r="D35" s="6"/>
      <c r="E35" s="35" t="s">
        <v>87</v>
      </c>
      <c r="F35" s="35"/>
      <c r="G35" s="35"/>
      <c r="H35" s="35"/>
      <c r="I35" s="35"/>
      <c r="J35" s="35"/>
      <c r="K35" s="35"/>
      <c r="L35" s="36"/>
      <c r="M35" s="59" t="n">
        <f aca="false">$X$28</f>
        <v>1040</v>
      </c>
      <c r="N35" s="59"/>
      <c r="O35" s="59"/>
      <c r="R35" s="37" t="s">
        <v>150</v>
      </c>
      <c r="S35" s="37"/>
      <c r="T35" s="37"/>
      <c r="U35" s="35" t="s">
        <v>59</v>
      </c>
      <c r="V35" s="35"/>
      <c r="W35" s="35"/>
      <c r="X35" s="35"/>
      <c r="Y35" s="35"/>
      <c r="Z35" s="35"/>
      <c r="AA35" s="35"/>
      <c r="AB35" s="36"/>
      <c r="AC35" s="59" t="n">
        <f aca="false">$X$10</f>
        <v>900</v>
      </c>
      <c r="AD35" s="59"/>
      <c r="AE35" s="59"/>
    </row>
    <row r="36" customFormat="false" ht="16.5" hidden="false" customHeight="true" outlineLevel="0" collapsed="false">
      <c r="R36" s="34" t="s">
        <v>89</v>
      </c>
      <c r="S36" s="34"/>
      <c r="T36" s="34"/>
    </row>
    <row r="37" customFormat="false" ht="17.25" hidden="false" customHeight="true" outlineLevel="0" collapsed="false">
      <c r="R37" s="37" t="s">
        <v>49</v>
      </c>
      <c r="S37" s="37"/>
      <c r="T37" s="37"/>
      <c r="U37" s="35" t="s">
        <v>63</v>
      </c>
      <c r="V37" s="35"/>
      <c r="W37" s="35"/>
      <c r="X37" s="35"/>
      <c r="Y37" s="35"/>
      <c r="Z37" s="35"/>
      <c r="AA37" s="35"/>
      <c r="AB37" s="36" t="s">
        <v>60</v>
      </c>
      <c r="AC37" s="59" t="n">
        <f aca="false">$X$29</f>
        <v>140</v>
      </c>
      <c r="AD37" s="59"/>
      <c r="AE37" s="59"/>
    </row>
    <row r="38" customFormat="false" ht="16.5" hidden="false" customHeight="true" outlineLevel="0" collapsed="false">
      <c r="M38" s="60" t="n">
        <f aca="false">SUM(M34:M37)</f>
        <v>1040</v>
      </c>
      <c r="N38" s="60"/>
      <c r="O38" s="60"/>
      <c r="R38" s="43"/>
      <c r="AC38" s="60" t="n">
        <f aca="false">SUM(AC34:AC37)</f>
        <v>1040</v>
      </c>
      <c r="AD38" s="60"/>
      <c r="AE38" s="60"/>
    </row>
    <row r="39" customFormat="false" ht="17.25" hidden="false" customHeight="true" outlineLevel="0" collapsed="false">
      <c r="R39" s="37" t="s">
        <v>150</v>
      </c>
      <c r="S39" s="37"/>
      <c r="T39" s="37"/>
      <c r="U39" s="35" t="s">
        <v>59</v>
      </c>
      <c r="V39" s="35"/>
      <c r="W39" s="35"/>
      <c r="X39" s="35"/>
      <c r="Y39" s="35"/>
      <c r="Z39" s="35"/>
      <c r="AA39" s="35"/>
      <c r="AB39" s="36"/>
      <c r="AC39" s="59" t="n">
        <f aca="false">$X$28</f>
        <v>1040</v>
      </c>
      <c r="AD39" s="59"/>
      <c r="AE39" s="59"/>
    </row>
    <row r="41" customFormat="false" ht="18.75" hidden="false" customHeight="true" outlineLevel="0" collapsed="false">
      <c r="B41" s="3" t="s">
        <v>151</v>
      </c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</row>
    <row r="42" customFormat="false" ht="15" hidden="false" customHeight="false" outlineLevel="0" collapsed="false">
      <c r="B42" s="25" t="s">
        <v>152</v>
      </c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</row>
    <row r="43" customFormat="false" ht="15" hidden="false" customHeight="false" outlineLevel="0" collapsed="false">
      <c r="B43" s="44"/>
      <c r="C43" s="44"/>
      <c r="D43" s="44"/>
      <c r="E43" s="15" t="s">
        <v>44</v>
      </c>
      <c r="F43" s="15"/>
      <c r="G43" s="15"/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6" t="s">
        <v>48</v>
      </c>
      <c r="S43" s="16"/>
      <c r="T43" s="16"/>
      <c r="U43" s="16"/>
      <c r="V43" s="16"/>
      <c r="W43" s="16" t="s">
        <v>48</v>
      </c>
      <c r="X43" s="16"/>
      <c r="Y43" s="16"/>
      <c r="Z43" s="16"/>
      <c r="AA43" s="16"/>
      <c r="AB43" s="16" t="s">
        <v>48</v>
      </c>
      <c r="AC43" s="16"/>
      <c r="AD43" s="16"/>
      <c r="AE43" s="16"/>
      <c r="AF43" s="16"/>
    </row>
    <row r="44" customFormat="false" ht="17.25" hidden="false" customHeight="true" outlineLevel="0" collapsed="false">
      <c r="B44" s="45" t="s">
        <v>153</v>
      </c>
      <c r="C44" s="45"/>
      <c r="D44" s="45"/>
      <c r="E44" s="46" t="s">
        <v>154</v>
      </c>
      <c r="F44" s="46"/>
      <c r="G44" s="46"/>
      <c r="H44" s="46"/>
      <c r="I44" s="46"/>
      <c r="J44" s="46"/>
      <c r="K44" s="46"/>
      <c r="L44" s="46"/>
      <c r="M44" s="46"/>
      <c r="N44" s="46"/>
      <c r="O44" s="46"/>
      <c r="P44" s="46"/>
      <c r="Q44" s="46"/>
    </row>
    <row r="45" customFormat="false" ht="17.25" hidden="false" customHeight="true" outlineLevel="0" collapsed="false">
      <c r="B45" s="45"/>
      <c r="C45" s="45"/>
      <c r="D45" s="45"/>
      <c r="E45" s="35" t="s">
        <v>67</v>
      </c>
      <c r="F45" s="35"/>
      <c r="G45" s="35"/>
      <c r="H45" s="35"/>
      <c r="I45" s="35"/>
      <c r="J45" s="35"/>
      <c r="K45" s="35"/>
      <c r="L45" s="35"/>
      <c r="M45" s="35"/>
      <c r="N45" s="35"/>
      <c r="O45" s="35"/>
      <c r="P45" s="35"/>
      <c r="Q45" s="35"/>
      <c r="AB45" s="59" t="n">
        <f aca="false">$X$12</f>
        <v>250</v>
      </c>
      <c r="AC45" s="59"/>
      <c r="AD45" s="59"/>
      <c r="AE45" s="59"/>
    </row>
    <row r="46" customFormat="false" ht="17.25" hidden="false" customHeight="true" outlineLevel="0" collapsed="false">
      <c r="B46" s="45" t="s">
        <v>97</v>
      </c>
      <c r="C46" s="45"/>
      <c r="D46" s="45"/>
      <c r="E46" s="46" t="s">
        <v>128</v>
      </c>
      <c r="F46" s="46"/>
      <c r="G46" s="46"/>
      <c r="H46" s="46"/>
      <c r="I46" s="46"/>
      <c r="J46" s="46"/>
      <c r="K46" s="46"/>
      <c r="L46" s="46"/>
      <c r="M46" s="46"/>
      <c r="N46" s="46"/>
      <c r="O46" s="46"/>
      <c r="P46" s="46"/>
      <c r="Q46" s="46"/>
    </row>
    <row r="47" customFormat="false" ht="17.25" hidden="false" customHeight="true" outlineLevel="0" collapsed="false">
      <c r="B47" s="45"/>
      <c r="C47" s="45"/>
      <c r="D47" s="45"/>
      <c r="E47" s="35" t="s">
        <v>50</v>
      </c>
      <c r="F47" s="35"/>
      <c r="G47" s="35"/>
      <c r="H47" s="35"/>
      <c r="I47" s="35"/>
      <c r="J47" s="35"/>
      <c r="K47" s="35"/>
      <c r="L47" s="35"/>
      <c r="M47" s="35"/>
      <c r="N47" s="35"/>
      <c r="O47" s="35"/>
      <c r="P47" s="35"/>
      <c r="Q47" s="35"/>
      <c r="W47" s="59" t="n">
        <f aca="false">$X$11</f>
        <v>400</v>
      </c>
      <c r="X47" s="59"/>
      <c r="Y47" s="59"/>
      <c r="Z47" s="59"/>
    </row>
    <row r="48" customFormat="false" ht="17.25" hidden="false" customHeight="true" outlineLevel="0" collapsed="false">
      <c r="B48" s="45"/>
      <c r="C48" s="45"/>
      <c r="D48" s="45"/>
      <c r="E48" s="35" t="s">
        <v>155</v>
      </c>
      <c r="F48" s="35"/>
      <c r="G48" s="35"/>
      <c r="H48" s="35"/>
      <c r="I48" s="35"/>
      <c r="J48" s="35"/>
      <c r="K48" s="35"/>
      <c r="L48" s="35"/>
      <c r="M48" s="35"/>
      <c r="N48" s="35"/>
      <c r="O48" s="35"/>
      <c r="P48" s="35"/>
      <c r="Q48" s="35"/>
      <c r="W48" s="62" t="n">
        <f aca="false">$X$29</f>
        <v>140</v>
      </c>
      <c r="X48" s="62"/>
      <c r="Y48" s="62"/>
      <c r="Z48" s="62"/>
      <c r="AB48" s="62" t="n">
        <f aca="false">-($X$11+$X$29)</f>
        <v>-540</v>
      </c>
      <c r="AC48" s="62"/>
      <c r="AD48" s="62"/>
      <c r="AE48" s="62"/>
    </row>
    <row r="49" customFormat="false" ht="17.25" hidden="false" customHeight="true" outlineLevel="0" collapsed="false">
      <c r="B49" s="45"/>
      <c r="C49" s="45"/>
      <c r="D49" s="45"/>
      <c r="E49" s="55" t="s">
        <v>156</v>
      </c>
      <c r="F49" s="55"/>
      <c r="G49" s="55"/>
      <c r="H49" s="55"/>
      <c r="I49" s="55"/>
      <c r="J49" s="55"/>
      <c r="K49" s="55"/>
      <c r="L49" s="55"/>
      <c r="M49" s="55"/>
      <c r="N49" s="55"/>
      <c r="O49" s="55"/>
      <c r="P49" s="55"/>
      <c r="Q49" s="55"/>
      <c r="AB49" s="60" t="n">
        <f aca="false">$X$12-($X$11+$X$29)</f>
        <v>-290</v>
      </c>
      <c r="AC49" s="60"/>
      <c r="AD49" s="60"/>
      <c r="AE49" s="60"/>
    </row>
    <row r="51" customFormat="false" ht="18.75" hidden="false" customHeight="true" outlineLevel="0" collapsed="false">
      <c r="B51" s="3" t="s">
        <v>157</v>
      </c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</row>
    <row r="52" customFormat="false" ht="15" hidden="false" customHeight="false" outlineLevel="0" collapsed="false">
      <c r="B52" s="25" t="s">
        <v>158</v>
      </c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  <c r="P52" s="25"/>
      <c r="Q52" s="25"/>
      <c r="R52" s="25"/>
      <c r="S52" s="25"/>
      <c r="T52" s="25"/>
      <c r="U52" s="25"/>
      <c r="V52" s="25"/>
      <c r="W52" s="25"/>
      <c r="X52" s="25"/>
      <c r="Y52" s="25"/>
      <c r="Z52" s="25"/>
      <c r="AA52" s="25"/>
      <c r="AB52" s="25"/>
      <c r="AC52" s="25"/>
      <c r="AD52" s="25"/>
      <c r="AE52" s="25"/>
      <c r="AF52" s="25"/>
    </row>
    <row r="53" customFormat="false" ht="15" hidden="false" customHeight="false" outlineLevel="0" collapsed="false">
      <c r="B53" s="44"/>
      <c r="C53" s="44"/>
      <c r="D53" s="44"/>
      <c r="E53" s="15" t="s">
        <v>44</v>
      </c>
      <c r="F53" s="15"/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6" t="s">
        <v>48</v>
      </c>
      <c r="S53" s="16"/>
      <c r="T53" s="16"/>
      <c r="U53" s="16"/>
      <c r="V53" s="16"/>
      <c r="W53" s="16" t="s">
        <v>48</v>
      </c>
      <c r="X53" s="16"/>
      <c r="Y53" s="16"/>
      <c r="Z53" s="16"/>
      <c r="AA53" s="16"/>
      <c r="AB53" s="16" t="s">
        <v>48</v>
      </c>
      <c r="AC53" s="16"/>
      <c r="AD53" s="16"/>
      <c r="AE53" s="16"/>
      <c r="AF53" s="16"/>
    </row>
    <row r="54" customFormat="false" ht="30" hidden="false" customHeight="true" outlineLevel="0" collapsed="false">
      <c r="B54" s="44"/>
      <c r="C54" s="44"/>
      <c r="D54" s="44"/>
      <c r="E54" s="44"/>
      <c r="F54" s="44"/>
      <c r="G54" s="44"/>
      <c r="H54" s="44"/>
      <c r="I54" s="44"/>
      <c r="J54" s="44"/>
      <c r="K54" s="44"/>
      <c r="L54" s="44"/>
      <c r="M54" s="44"/>
      <c r="N54" s="44"/>
      <c r="O54" s="44"/>
      <c r="P54" s="44"/>
      <c r="Q54" s="44"/>
      <c r="R54" s="11" t="s">
        <v>92</v>
      </c>
      <c r="S54" s="11"/>
      <c r="T54" s="11"/>
      <c r="U54" s="11"/>
      <c r="V54" s="11"/>
      <c r="W54" s="11" t="s">
        <v>93</v>
      </c>
      <c r="X54" s="11"/>
      <c r="Y54" s="11"/>
      <c r="Z54" s="11"/>
      <c r="AA54" s="11"/>
      <c r="AB54" s="11" t="s">
        <v>94</v>
      </c>
      <c r="AC54" s="11"/>
      <c r="AD54" s="11"/>
      <c r="AE54" s="11"/>
      <c r="AF54" s="11"/>
    </row>
    <row r="55" customFormat="false" ht="17.25" hidden="false" customHeight="true" outlineLevel="0" collapsed="false">
      <c r="B55" s="45"/>
      <c r="C55" s="45"/>
      <c r="D55" s="45"/>
      <c r="E55" s="46" t="s">
        <v>95</v>
      </c>
      <c r="F55" s="46"/>
      <c r="G55" s="46"/>
      <c r="H55" s="46"/>
      <c r="I55" s="46"/>
      <c r="J55" s="46"/>
      <c r="K55" s="46"/>
      <c r="L55" s="46"/>
      <c r="M55" s="46"/>
      <c r="N55" s="46"/>
      <c r="O55" s="46"/>
      <c r="P55" s="46"/>
      <c r="Q55" s="46"/>
    </row>
    <row r="56" customFormat="false" ht="17.25" hidden="false" customHeight="true" outlineLevel="0" collapsed="false">
      <c r="B56" s="45"/>
      <c r="C56" s="45"/>
      <c r="D56" s="45"/>
      <c r="E56" s="35" t="s">
        <v>96</v>
      </c>
      <c r="F56" s="35"/>
      <c r="G56" s="35"/>
      <c r="H56" s="35"/>
      <c r="I56" s="35"/>
      <c r="J56" s="35"/>
      <c r="K56" s="35"/>
      <c r="L56" s="35"/>
      <c r="M56" s="35"/>
      <c r="N56" s="35"/>
      <c r="O56" s="35"/>
      <c r="P56" s="35"/>
      <c r="Q56" s="35"/>
      <c r="R56" s="59" t="n">
        <f aca="false">$X$13</f>
        <v>26000</v>
      </c>
      <c r="S56" s="59"/>
      <c r="T56" s="59"/>
      <c r="U56" s="59"/>
    </row>
    <row r="57" customFormat="false" ht="17.25" hidden="false" customHeight="true" outlineLevel="0" collapsed="false">
      <c r="B57" s="45" t="s">
        <v>97</v>
      </c>
      <c r="C57" s="45"/>
      <c r="D57" s="45"/>
      <c r="E57" s="35" t="s">
        <v>98</v>
      </c>
      <c r="F57" s="35"/>
      <c r="G57" s="35"/>
      <c r="H57" s="35"/>
      <c r="I57" s="35"/>
      <c r="J57" s="35"/>
      <c r="K57" s="35"/>
      <c r="L57" s="35"/>
      <c r="M57" s="35"/>
      <c r="N57" s="35"/>
      <c r="O57" s="35"/>
      <c r="P57" s="35"/>
      <c r="Q57" s="35"/>
      <c r="R57" s="62" t="n">
        <f aca="false">-$X$28</f>
        <v>-1040</v>
      </c>
      <c r="S57" s="62"/>
      <c r="T57" s="62"/>
      <c r="U57" s="62"/>
      <c r="W57" s="59" t="n">
        <f aca="false">$X$13-$X$28</f>
        <v>24960</v>
      </c>
      <c r="X57" s="59"/>
      <c r="Y57" s="59"/>
      <c r="Z57" s="59"/>
    </row>
  </sheetData>
  <mergeCells count="131">
    <mergeCell ref="B1:AF1"/>
    <mergeCell ref="B2:AF2"/>
    <mergeCell ref="B3:AF3"/>
    <mergeCell ref="B5:AF5"/>
    <mergeCell ref="C6:AF6"/>
    <mergeCell ref="C7:AF7"/>
    <mergeCell ref="B8:AF8"/>
    <mergeCell ref="B9:W9"/>
    <mergeCell ref="X9:AC9"/>
    <mergeCell ref="B10:W10"/>
    <mergeCell ref="X10:AC10"/>
    <mergeCell ref="B11:W11"/>
    <mergeCell ref="X11:AC11"/>
    <mergeCell ref="B12:W12"/>
    <mergeCell ref="X12:AC12"/>
    <mergeCell ref="B13:W13"/>
    <mergeCell ref="X13:AC13"/>
    <mergeCell ref="B14:W14"/>
    <mergeCell ref="X14:AC14"/>
    <mergeCell ref="B17:AF17"/>
    <mergeCell ref="B18:D18"/>
    <mergeCell ref="E18:T18"/>
    <mergeCell ref="U18:Z18"/>
    <mergeCell ref="AA18:AF18"/>
    <mergeCell ref="B19:D19"/>
    <mergeCell ref="E19:T19"/>
    <mergeCell ref="U19:Z19"/>
    <mergeCell ref="AA19:AF19"/>
    <mergeCell ref="B20:D20"/>
    <mergeCell ref="E20:T20"/>
    <mergeCell ref="U20:Y20"/>
    <mergeCell ref="AA20:AF20"/>
    <mergeCell ref="B21:D21"/>
    <mergeCell ref="E21:T21"/>
    <mergeCell ref="U21:Z21"/>
    <mergeCell ref="AA21:AE21"/>
    <mergeCell ref="B22:D22"/>
    <mergeCell ref="E22:T22"/>
    <mergeCell ref="U22:Z22"/>
    <mergeCell ref="AA22:AF22"/>
    <mergeCell ref="B23:D23"/>
    <mergeCell ref="E23:T23"/>
    <mergeCell ref="U23:Y23"/>
    <mergeCell ref="AA23:AF23"/>
    <mergeCell ref="B24:D24"/>
    <mergeCell ref="E24:T24"/>
    <mergeCell ref="U24:Z24"/>
    <mergeCell ref="AA24:AE24"/>
    <mergeCell ref="B25:D25"/>
    <mergeCell ref="E25:T25"/>
    <mergeCell ref="U25:Z25"/>
    <mergeCell ref="AA25:AF25"/>
    <mergeCell ref="B27:AF27"/>
    <mergeCell ref="B28:W28"/>
    <mergeCell ref="X28:AB28"/>
    <mergeCell ref="B29:W29"/>
    <mergeCell ref="X29:AB29"/>
    <mergeCell ref="B31:AF31"/>
    <mergeCell ref="B32:D32"/>
    <mergeCell ref="E32:AC32"/>
    <mergeCell ref="AD32:AF32"/>
    <mergeCell ref="B33:D33"/>
    <mergeCell ref="E33:K33"/>
    <mergeCell ref="M33:P33"/>
    <mergeCell ref="R33:T33"/>
    <mergeCell ref="U33:AA33"/>
    <mergeCell ref="AC33:AF33"/>
    <mergeCell ref="B34:D34"/>
    <mergeCell ref="M34:O34"/>
    <mergeCell ref="R34:T34"/>
    <mergeCell ref="AC34:AE34"/>
    <mergeCell ref="B35:D35"/>
    <mergeCell ref="E35:K35"/>
    <mergeCell ref="M35:O35"/>
    <mergeCell ref="R35:T35"/>
    <mergeCell ref="U35:AA35"/>
    <mergeCell ref="AC35:AE35"/>
    <mergeCell ref="R36:T36"/>
    <mergeCell ref="R37:T37"/>
    <mergeCell ref="U37:AA37"/>
    <mergeCell ref="AC37:AE37"/>
    <mergeCell ref="M38:O38"/>
    <mergeCell ref="AC38:AE38"/>
    <mergeCell ref="R39:T39"/>
    <mergeCell ref="U39:AA39"/>
    <mergeCell ref="AC39:AE39"/>
    <mergeCell ref="B41:AF41"/>
    <mergeCell ref="B42:AF42"/>
    <mergeCell ref="B43:D43"/>
    <mergeCell ref="E43:Q43"/>
    <mergeCell ref="R43:V43"/>
    <mergeCell ref="W43:AA43"/>
    <mergeCell ref="AB43:AF43"/>
    <mergeCell ref="B44:D44"/>
    <mergeCell ref="E44:Q44"/>
    <mergeCell ref="B45:D45"/>
    <mergeCell ref="E45:Q45"/>
    <mergeCell ref="AB45:AE45"/>
    <mergeCell ref="B46:D46"/>
    <mergeCell ref="E46:Q46"/>
    <mergeCell ref="B47:D47"/>
    <mergeCell ref="E47:Q47"/>
    <mergeCell ref="W47:Z47"/>
    <mergeCell ref="B48:D48"/>
    <mergeCell ref="E48:Q48"/>
    <mergeCell ref="W48:Z48"/>
    <mergeCell ref="AB48:AE48"/>
    <mergeCell ref="B49:D49"/>
    <mergeCell ref="E49:Q49"/>
    <mergeCell ref="AB49:AE49"/>
    <mergeCell ref="B51:AF51"/>
    <mergeCell ref="B52:AF52"/>
    <mergeCell ref="B53:D53"/>
    <mergeCell ref="E53:Q53"/>
    <mergeCell ref="R53:V53"/>
    <mergeCell ref="W53:AA53"/>
    <mergeCell ref="AB53:AF53"/>
    <mergeCell ref="B54:D54"/>
    <mergeCell ref="E54:Q54"/>
    <mergeCell ref="R54:V54"/>
    <mergeCell ref="W54:AA54"/>
    <mergeCell ref="AB54:AF54"/>
    <mergeCell ref="B55:D55"/>
    <mergeCell ref="E55:Q55"/>
    <mergeCell ref="B56:D56"/>
    <mergeCell ref="E56:Q56"/>
    <mergeCell ref="R56:U56"/>
    <mergeCell ref="B57:D57"/>
    <mergeCell ref="E57:Q57"/>
    <mergeCell ref="R57:U57"/>
    <mergeCell ref="W57:Z57"/>
  </mergeCells>
  <conditionalFormatting sqref="B1:AG58">
    <cfRule type="cellIs" priority="2" operator="equal" aboveAverage="0" equalAverage="0" bottom="0" percent="0" rank="0" text="" dxfId="0">
      <formula>"✓"</formula>
    </cfRule>
    <cfRule type="cellIs" priority="3" operator="equal" aboveAverage="0" equalAverage="0" bottom="0" percent="0" rank="0" text="" dxfId="1">
      <formula>"✗"</formula>
    </cfRule>
  </conditionalFormatting>
  <printOptions headings="false" gridLines="false" gridLinesSet="true" horizontalCentered="false" verticalCentered="false"/>
  <pageMargins left="0.4" right="0.4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AD47"/>
    <pageSetUpPr fitToPage="true"/>
  </sheetPr>
  <dimension ref="B1:AF56"/>
  <sheetViews>
    <sheetView showFormulas="false" showGridLines="fals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34" min="2" style="0" width="4.6"/>
  </cols>
  <sheetData>
    <row r="1" customFormat="false" ht="25.5" hidden="false" customHeight="true" outlineLevel="0" collapsed="false">
      <c r="B1" s="1" t="s">
        <v>209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</row>
    <row r="2" customFormat="false" ht="15" hidden="false" customHeight="false" outlineLevel="0" collapsed="false">
      <c r="B2" s="14" t="s">
        <v>205</v>
      </c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</row>
    <row r="3" customFormat="false" ht="15" hidden="false" customHeight="false" outlineLevel="0" collapsed="false">
      <c r="B3" s="14" t="s">
        <v>206</v>
      </c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</row>
    <row r="5" customFormat="false" ht="16.5" hidden="false" customHeight="true" outlineLevel="0" collapsed="false">
      <c r="B5" s="4" t="s">
        <v>160</v>
      </c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</row>
    <row r="6" customFormat="false" ht="15" hidden="false" customHeight="false" outlineLevel="0" collapsed="false">
      <c r="B6" s="15" t="s">
        <v>105</v>
      </c>
      <c r="C6" s="15"/>
      <c r="D6" s="15"/>
      <c r="E6" s="15"/>
      <c r="F6" s="15"/>
      <c r="G6" s="15"/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6" t="s">
        <v>39</v>
      </c>
      <c r="Y6" s="16"/>
      <c r="Z6" s="16"/>
      <c r="AA6" s="16"/>
      <c r="AB6" s="16"/>
      <c r="AC6" s="16"/>
    </row>
    <row r="7" customFormat="false" ht="15" hidden="false" customHeight="false" outlineLevel="0" collapsed="false">
      <c r="B7" s="56" t="s">
        <v>73</v>
      </c>
      <c r="C7" s="56"/>
      <c r="D7" s="56"/>
      <c r="E7" s="56"/>
      <c r="F7" s="56"/>
      <c r="G7" s="56"/>
      <c r="H7" s="56"/>
      <c r="I7" s="56"/>
      <c r="J7" s="56"/>
      <c r="K7" s="56"/>
      <c r="L7" s="56"/>
      <c r="M7" s="56"/>
      <c r="N7" s="56"/>
      <c r="O7" s="56"/>
      <c r="P7" s="56"/>
      <c r="Q7" s="56"/>
      <c r="R7" s="56"/>
      <c r="S7" s="56"/>
      <c r="T7" s="56"/>
      <c r="U7" s="56"/>
      <c r="V7" s="56"/>
      <c r="W7" s="56"/>
      <c r="X7" s="56"/>
      <c r="Y7" s="56"/>
      <c r="Z7" s="56"/>
      <c r="AA7" s="56"/>
      <c r="AB7" s="56"/>
      <c r="AC7" s="56"/>
    </row>
    <row r="8" customFormat="false" ht="16.5" hidden="false" customHeight="true" outlineLevel="0" collapsed="false">
      <c r="B8" s="12" t="s">
        <v>161</v>
      </c>
      <c r="C8" s="12"/>
      <c r="D8" s="12"/>
      <c r="E8" s="12"/>
      <c r="F8" s="12"/>
      <c r="G8" s="12"/>
      <c r="H8" s="12"/>
      <c r="I8" s="12"/>
      <c r="J8" s="12"/>
      <c r="K8" s="12"/>
      <c r="L8" s="12"/>
      <c r="M8" s="12"/>
      <c r="N8" s="12"/>
      <c r="O8" s="12"/>
      <c r="P8" s="12"/>
      <c r="Q8" s="12"/>
      <c r="R8" s="12"/>
      <c r="S8" s="12"/>
      <c r="T8" s="12"/>
      <c r="U8" s="12"/>
      <c r="V8" s="12"/>
      <c r="W8" s="12"/>
      <c r="X8" s="58" t="n">
        <f aca="false">'Q8.11'!X8</f>
        <v>40000</v>
      </c>
      <c r="Y8" s="58"/>
      <c r="Z8" s="58"/>
      <c r="AA8" s="58"/>
      <c r="AB8" s="58"/>
      <c r="AC8" s="58"/>
    </row>
    <row r="9" customFormat="false" ht="16.5" hidden="false" customHeight="true" outlineLevel="0" collapsed="false">
      <c r="B9" s="12" t="s">
        <v>162</v>
      </c>
      <c r="C9" s="12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58" t="n">
        <f aca="false">'Q8.11'!X9</f>
        <v>0</v>
      </c>
      <c r="Y9" s="58"/>
      <c r="Z9" s="58"/>
      <c r="AA9" s="58"/>
      <c r="AB9" s="58"/>
      <c r="AC9" s="58"/>
    </row>
    <row r="10" customFormat="false" ht="15" hidden="false" customHeight="false" outlineLevel="0" collapsed="false">
      <c r="B10" s="56" t="s">
        <v>74</v>
      </c>
      <c r="C10" s="56"/>
      <c r="D10" s="56"/>
      <c r="E10" s="56"/>
      <c r="F10" s="56"/>
      <c r="G10" s="56"/>
      <c r="H10" s="56"/>
      <c r="I10" s="56"/>
      <c r="J10" s="56"/>
      <c r="K10" s="56"/>
      <c r="L10" s="56"/>
      <c r="M10" s="56"/>
      <c r="N10" s="56"/>
      <c r="O10" s="56"/>
      <c r="P10" s="56"/>
      <c r="Q10" s="56"/>
      <c r="R10" s="56"/>
      <c r="S10" s="56"/>
      <c r="T10" s="56"/>
      <c r="U10" s="56"/>
      <c r="V10" s="56"/>
      <c r="W10" s="56"/>
      <c r="X10" s="56"/>
      <c r="Y10" s="56"/>
      <c r="Z10" s="56"/>
      <c r="AA10" s="56"/>
      <c r="AB10" s="56"/>
      <c r="AC10" s="56"/>
    </row>
    <row r="11" customFormat="false" ht="16.5" hidden="false" customHeight="true" outlineLevel="0" collapsed="false">
      <c r="B11" s="12" t="s">
        <v>161</v>
      </c>
      <c r="C11" s="12"/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12"/>
      <c r="O11" s="12"/>
      <c r="P11" s="12"/>
      <c r="Q11" s="12"/>
      <c r="R11" s="12"/>
      <c r="S11" s="12"/>
      <c r="T11" s="12"/>
      <c r="U11" s="12"/>
      <c r="V11" s="12"/>
      <c r="W11" s="12"/>
      <c r="X11" s="58" t="n">
        <f aca="false">'Q8.11'!X11</f>
        <v>50000</v>
      </c>
      <c r="Y11" s="58"/>
      <c r="Z11" s="58"/>
      <c r="AA11" s="58"/>
      <c r="AB11" s="58"/>
      <c r="AC11" s="58"/>
    </row>
    <row r="12" customFormat="false" ht="16.5" hidden="false" customHeight="true" outlineLevel="0" collapsed="false">
      <c r="B12" s="12" t="s">
        <v>162</v>
      </c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58" t="n">
        <f aca="false">'Q8.11'!X12</f>
        <v>0</v>
      </c>
      <c r="Y12" s="58"/>
      <c r="Z12" s="58"/>
      <c r="AA12" s="58"/>
      <c r="AB12" s="58"/>
      <c r="AC12" s="58"/>
    </row>
    <row r="13" customFormat="false" ht="15" hidden="false" customHeight="false" outlineLevel="0" collapsed="false">
      <c r="B13" s="56" t="s">
        <v>47</v>
      </c>
      <c r="C13" s="56"/>
      <c r="D13" s="56"/>
      <c r="E13" s="56"/>
      <c r="F13" s="56"/>
      <c r="G13" s="56"/>
      <c r="H13" s="56"/>
      <c r="I13" s="56"/>
      <c r="J13" s="56"/>
      <c r="K13" s="56"/>
      <c r="L13" s="56"/>
      <c r="M13" s="56"/>
      <c r="N13" s="56"/>
      <c r="O13" s="56"/>
      <c r="P13" s="56"/>
      <c r="Q13" s="56"/>
      <c r="R13" s="56"/>
      <c r="S13" s="56"/>
      <c r="T13" s="56"/>
      <c r="U13" s="56"/>
      <c r="V13" s="56"/>
      <c r="W13" s="56"/>
      <c r="X13" s="56"/>
      <c r="Y13" s="56"/>
      <c r="Z13" s="56"/>
      <c r="AA13" s="56"/>
      <c r="AB13" s="56"/>
      <c r="AC13" s="56"/>
    </row>
    <row r="14" customFormat="false" ht="16.5" hidden="false" customHeight="true" outlineLevel="0" collapsed="false">
      <c r="B14" s="12" t="s">
        <v>161</v>
      </c>
      <c r="C14" s="12"/>
      <c r="D14" s="12"/>
      <c r="E14" s="12"/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2"/>
      <c r="R14" s="12"/>
      <c r="S14" s="12"/>
      <c r="T14" s="12"/>
      <c r="U14" s="12"/>
      <c r="V14" s="12"/>
      <c r="W14" s="12"/>
      <c r="X14" s="58" t="n">
        <f aca="false">'Q8.11'!X14</f>
        <v>36000</v>
      </c>
      <c r="Y14" s="58"/>
      <c r="Z14" s="58"/>
      <c r="AA14" s="58"/>
      <c r="AB14" s="58"/>
      <c r="AC14" s="58"/>
    </row>
    <row r="15" customFormat="false" ht="16.5" hidden="false" customHeight="true" outlineLevel="0" collapsed="false">
      <c r="B15" s="12" t="s">
        <v>162</v>
      </c>
      <c r="C15" s="12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58" t="n">
        <f aca="false">'Q8.11'!X15</f>
        <v>1000</v>
      </c>
      <c r="Y15" s="58"/>
      <c r="Z15" s="58"/>
      <c r="AA15" s="58"/>
      <c r="AB15" s="58"/>
      <c r="AC15" s="58"/>
    </row>
    <row r="16" customFormat="false" ht="15" hidden="false" customHeight="false" outlineLevel="0" collapsed="false">
      <c r="B16" s="56" t="s">
        <v>163</v>
      </c>
      <c r="C16" s="56"/>
      <c r="D16" s="56"/>
      <c r="E16" s="56"/>
      <c r="F16" s="56"/>
      <c r="G16" s="56"/>
      <c r="H16" s="56"/>
      <c r="I16" s="56"/>
      <c r="J16" s="56"/>
      <c r="K16" s="56"/>
      <c r="L16" s="56"/>
      <c r="M16" s="56"/>
      <c r="N16" s="56"/>
      <c r="O16" s="56"/>
      <c r="P16" s="56"/>
      <c r="Q16" s="56"/>
      <c r="R16" s="56"/>
      <c r="S16" s="56"/>
      <c r="T16" s="56"/>
      <c r="U16" s="56"/>
      <c r="V16" s="56"/>
      <c r="W16" s="56"/>
      <c r="X16" s="56"/>
      <c r="Y16" s="56"/>
      <c r="Z16" s="56"/>
      <c r="AA16" s="56"/>
      <c r="AB16" s="56"/>
      <c r="AC16" s="56"/>
    </row>
    <row r="17" customFormat="false" ht="16.5" hidden="false" customHeight="true" outlineLevel="0" collapsed="false">
      <c r="B17" s="12" t="s">
        <v>78</v>
      </c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12"/>
      <c r="X17" s="61" t="n">
        <f aca="false">'Q8.11'!X17</f>
        <v>0.03</v>
      </c>
      <c r="Y17" s="61"/>
      <c r="Z17" s="61"/>
      <c r="AA17" s="61"/>
      <c r="AB17" s="61"/>
      <c r="AC17" s="61"/>
    </row>
    <row r="20" customFormat="false" ht="18.75" hidden="false" customHeight="true" outlineLevel="0" collapsed="false">
      <c r="B20" s="3" t="s">
        <v>164</v>
      </c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</row>
    <row r="21" customFormat="false" ht="17.25" hidden="false" customHeight="true" outlineLevel="0" collapsed="false">
      <c r="B21" s="51" t="s">
        <v>165</v>
      </c>
      <c r="C21" s="51"/>
      <c r="D21" s="51"/>
      <c r="E21" s="51"/>
      <c r="F21" s="51"/>
      <c r="G21" s="51"/>
      <c r="H21" s="51"/>
      <c r="I21" s="51"/>
      <c r="J21" s="51"/>
      <c r="K21" s="51"/>
      <c r="L21" s="51"/>
      <c r="M21" s="51"/>
      <c r="N21" s="51"/>
      <c r="O21" s="51"/>
      <c r="P21" s="51"/>
      <c r="Q21" s="51"/>
      <c r="R21" s="51"/>
      <c r="S21" s="51"/>
      <c r="T21" s="51"/>
      <c r="U21" s="51"/>
      <c r="V21" s="51"/>
      <c r="W21" s="51"/>
      <c r="X21" s="59" t="n">
        <f aca="false">ROUND(($X$8-$X$9)*$X$17,2)</f>
        <v>1200</v>
      </c>
      <c r="Y21" s="59"/>
      <c r="Z21" s="59"/>
      <c r="AA21" s="59"/>
      <c r="AB21" s="59"/>
    </row>
    <row r="22" customFormat="false" ht="17.25" hidden="false" customHeight="true" outlineLevel="0" collapsed="false">
      <c r="B22" s="51" t="s">
        <v>166</v>
      </c>
      <c r="C22" s="51"/>
      <c r="D22" s="51"/>
      <c r="E22" s="51"/>
      <c r="F22" s="51"/>
      <c r="G22" s="51"/>
      <c r="H22" s="51"/>
      <c r="I22" s="51"/>
      <c r="J22" s="51"/>
      <c r="K22" s="51"/>
      <c r="L22" s="51"/>
      <c r="M22" s="51"/>
      <c r="N22" s="51"/>
      <c r="O22" s="51"/>
      <c r="P22" s="51"/>
      <c r="Q22" s="51"/>
      <c r="R22" s="51"/>
      <c r="S22" s="51"/>
      <c r="T22" s="51"/>
      <c r="U22" s="51"/>
      <c r="V22" s="51"/>
      <c r="W22" s="51"/>
      <c r="X22" s="59" t="n">
        <f aca="false">ROUND(($X$11-$X$12)*$X$17,2)</f>
        <v>1500</v>
      </c>
      <c r="Y22" s="59"/>
      <c r="Z22" s="59"/>
      <c r="AA22" s="59"/>
      <c r="AB22" s="59"/>
    </row>
    <row r="23" customFormat="false" ht="17.25" hidden="false" customHeight="true" outlineLevel="0" collapsed="false">
      <c r="B23" s="51" t="s">
        <v>167</v>
      </c>
      <c r="C23" s="51"/>
      <c r="D23" s="51"/>
      <c r="E23" s="51"/>
      <c r="F23" s="51"/>
      <c r="G23" s="51"/>
      <c r="H23" s="51"/>
      <c r="I23" s="51"/>
      <c r="J23" s="51"/>
      <c r="K23" s="51"/>
      <c r="L23" s="51"/>
      <c r="M23" s="51"/>
      <c r="N23" s="51"/>
      <c r="O23" s="51"/>
      <c r="P23" s="51"/>
      <c r="Q23" s="51"/>
      <c r="R23" s="51"/>
      <c r="S23" s="51"/>
      <c r="T23" s="51"/>
      <c r="U23" s="51"/>
      <c r="V23" s="51"/>
      <c r="W23" s="51"/>
      <c r="X23" s="59" t="n">
        <f aca="false">ROUND(($X$14-$X$15)*$X$17,2)</f>
        <v>1050</v>
      </c>
      <c r="Y23" s="59"/>
      <c r="Z23" s="59"/>
      <c r="AA23" s="59"/>
      <c r="AB23" s="59"/>
    </row>
    <row r="25" customFormat="false" ht="18.75" hidden="false" customHeight="true" outlineLevel="0" collapsed="false">
      <c r="B25" s="3" t="s">
        <v>168</v>
      </c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</row>
    <row r="26" customFormat="false" ht="17.25" hidden="false" customHeight="true" outlineLevel="0" collapsed="false">
      <c r="B26" s="51" t="s">
        <v>169</v>
      </c>
      <c r="C26" s="51"/>
      <c r="D26" s="51"/>
      <c r="E26" s="51"/>
      <c r="F26" s="51"/>
      <c r="G26" s="51"/>
      <c r="H26" s="51"/>
      <c r="I26" s="51"/>
      <c r="J26" s="51"/>
      <c r="K26" s="51"/>
      <c r="L26" s="51"/>
      <c r="M26" s="51"/>
      <c r="N26" s="51"/>
      <c r="O26" s="51"/>
      <c r="P26" s="51"/>
      <c r="Q26" s="51"/>
      <c r="R26" s="51"/>
      <c r="S26" s="51"/>
      <c r="T26" s="51"/>
      <c r="U26" s="51"/>
      <c r="V26" s="51"/>
      <c r="W26" s="51"/>
      <c r="X26" s="59" t="n">
        <f aca="false">$X$21</f>
        <v>1200</v>
      </c>
      <c r="Y26" s="59"/>
      <c r="Z26" s="59"/>
      <c r="AA26" s="59"/>
      <c r="AB26" s="59"/>
    </row>
    <row r="27" customFormat="false" ht="17.25" hidden="false" customHeight="true" outlineLevel="0" collapsed="false">
      <c r="B27" s="51" t="s">
        <v>170</v>
      </c>
      <c r="C27" s="51"/>
      <c r="D27" s="51"/>
      <c r="E27" s="51"/>
      <c r="F27" s="51"/>
      <c r="G27" s="51"/>
      <c r="H27" s="51"/>
      <c r="I27" s="51"/>
      <c r="J27" s="51"/>
      <c r="K27" s="51"/>
      <c r="L27" s="51"/>
      <c r="M27" s="51"/>
      <c r="N27" s="51"/>
      <c r="O27" s="51"/>
      <c r="P27" s="51"/>
      <c r="Q27" s="51"/>
      <c r="R27" s="51"/>
      <c r="S27" s="51"/>
      <c r="T27" s="51"/>
      <c r="U27" s="51"/>
      <c r="V27" s="51"/>
      <c r="W27" s="51"/>
      <c r="X27" s="59" t="n">
        <f aca="false">ABS($X$22-$X$21)</f>
        <v>300</v>
      </c>
      <c r="Y27" s="59"/>
      <c r="Z27" s="59"/>
      <c r="AA27" s="59"/>
      <c r="AB27" s="59"/>
    </row>
    <row r="28" customFormat="false" ht="17.25" hidden="false" customHeight="true" outlineLevel="0" collapsed="false">
      <c r="B28" s="51" t="s">
        <v>171</v>
      </c>
      <c r="C28" s="51"/>
      <c r="D28" s="51"/>
      <c r="E28" s="51"/>
      <c r="F28" s="51"/>
      <c r="G28" s="51"/>
      <c r="H28" s="51"/>
      <c r="I28" s="51"/>
      <c r="J28" s="51"/>
      <c r="K28" s="51"/>
      <c r="L28" s="51"/>
      <c r="M28" s="51"/>
      <c r="N28" s="51"/>
      <c r="O28" s="51"/>
      <c r="P28" s="51"/>
      <c r="Q28" s="51"/>
      <c r="R28" s="51"/>
      <c r="S28" s="51"/>
      <c r="T28" s="51"/>
      <c r="U28" s="51"/>
      <c r="V28" s="51"/>
      <c r="W28" s="51"/>
      <c r="X28" s="59" t="n">
        <f aca="false">ABS($X$23-$X$22)</f>
        <v>450</v>
      </c>
      <c r="Y28" s="59"/>
      <c r="Z28" s="59"/>
      <c r="AA28" s="59"/>
      <c r="AB28" s="59"/>
    </row>
    <row r="29" customFormat="false" ht="17.25" hidden="false" customHeight="true" outlineLevel="0" collapsed="false">
      <c r="B29" s="51" t="s">
        <v>172</v>
      </c>
      <c r="C29" s="51"/>
      <c r="D29" s="51"/>
      <c r="E29" s="51"/>
      <c r="F29" s="51"/>
      <c r="G29" s="51"/>
      <c r="H29" s="51"/>
      <c r="I29" s="51"/>
      <c r="J29" s="51"/>
      <c r="K29" s="51"/>
      <c r="L29" s="51"/>
      <c r="M29" s="51"/>
      <c r="N29" s="51"/>
      <c r="O29" s="51"/>
      <c r="P29" s="51"/>
      <c r="Q29" s="51"/>
      <c r="R29" s="51"/>
      <c r="S29" s="51"/>
      <c r="T29" s="63" t="str">
        <f aca="false">IF($X$21&gt;=0,"Expense","Income")</f>
        <v>Expense</v>
      </c>
      <c r="U29" s="63"/>
      <c r="V29" s="63"/>
      <c r="W29" s="63"/>
      <c r="X29" s="63"/>
      <c r="Y29" s="63"/>
      <c r="Z29" s="63"/>
      <c r="AA29" s="63"/>
      <c r="AB29" s="63"/>
    </row>
    <row r="30" customFormat="false" ht="17.25" hidden="false" customHeight="true" outlineLevel="0" collapsed="false">
      <c r="B30" s="51" t="s">
        <v>173</v>
      </c>
      <c r="C30" s="51"/>
      <c r="D30" s="51"/>
      <c r="E30" s="51"/>
      <c r="F30" s="51"/>
      <c r="G30" s="51"/>
      <c r="H30" s="51"/>
      <c r="I30" s="51"/>
      <c r="J30" s="51"/>
      <c r="K30" s="51"/>
      <c r="L30" s="51"/>
      <c r="M30" s="51"/>
      <c r="N30" s="51"/>
      <c r="O30" s="51"/>
      <c r="P30" s="51"/>
      <c r="Q30" s="51"/>
      <c r="R30" s="51"/>
      <c r="S30" s="51"/>
      <c r="T30" s="63" t="str">
        <f aca="false">IF($X$22&gt;=$X$21,"Expense","Income")</f>
        <v>Expense</v>
      </c>
      <c r="U30" s="63"/>
      <c r="V30" s="63"/>
      <c r="W30" s="63"/>
      <c r="X30" s="63"/>
      <c r="Y30" s="63"/>
      <c r="Z30" s="63"/>
      <c r="AA30" s="63"/>
      <c r="AB30" s="63"/>
    </row>
    <row r="31" customFormat="false" ht="17.25" hidden="false" customHeight="true" outlineLevel="0" collapsed="false">
      <c r="B31" s="51" t="s">
        <v>174</v>
      </c>
      <c r="C31" s="51"/>
      <c r="D31" s="51"/>
      <c r="E31" s="51"/>
      <c r="F31" s="51"/>
      <c r="G31" s="51"/>
      <c r="H31" s="51"/>
      <c r="I31" s="51"/>
      <c r="J31" s="51"/>
      <c r="K31" s="51"/>
      <c r="L31" s="51"/>
      <c r="M31" s="51"/>
      <c r="N31" s="51"/>
      <c r="O31" s="51"/>
      <c r="P31" s="51"/>
      <c r="Q31" s="51"/>
      <c r="R31" s="51"/>
      <c r="S31" s="51"/>
      <c r="T31" s="63" t="str">
        <f aca="false">IF($X$23&gt;=$X$22,"Expense","Income")</f>
        <v>Income</v>
      </c>
      <c r="U31" s="63"/>
      <c r="V31" s="63"/>
      <c r="W31" s="63"/>
      <c r="X31" s="63"/>
      <c r="Y31" s="63"/>
      <c r="Z31" s="63"/>
      <c r="AA31" s="63"/>
      <c r="AB31" s="63"/>
    </row>
    <row r="33" customFormat="false" ht="18.75" hidden="false" customHeight="true" outlineLevel="0" collapsed="false">
      <c r="B33" s="3" t="s">
        <v>175</v>
      </c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</row>
    <row r="34" customFormat="false" ht="15" hidden="false" customHeight="false" outlineLevel="0" collapsed="false">
      <c r="B34" s="24" t="s">
        <v>53</v>
      </c>
      <c r="C34" s="24"/>
      <c r="D34" s="24"/>
      <c r="E34" s="25" t="s">
        <v>84</v>
      </c>
      <c r="F34" s="25"/>
      <c r="G34" s="25"/>
      <c r="H34" s="25"/>
      <c r="I34" s="25"/>
      <c r="J34" s="25"/>
      <c r="K34" s="25"/>
      <c r="L34" s="25"/>
      <c r="M34" s="25"/>
      <c r="N34" s="25"/>
      <c r="O34" s="25"/>
      <c r="P34" s="25"/>
      <c r="Q34" s="25"/>
      <c r="R34" s="25"/>
      <c r="S34" s="25"/>
      <c r="T34" s="25"/>
      <c r="U34" s="25"/>
      <c r="V34" s="25"/>
      <c r="W34" s="25"/>
      <c r="X34" s="25"/>
      <c r="Y34" s="25"/>
      <c r="Z34" s="25"/>
      <c r="AA34" s="25"/>
      <c r="AB34" s="25"/>
      <c r="AC34" s="25"/>
      <c r="AD34" s="26" t="s">
        <v>55</v>
      </c>
      <c r="AE34" s="26"/>
      <c r="AF34" s="26"/>
    </row>
    <row r="35" customFormat="false" ht="15" hidden="false" customHeight="false" outlineLevel="0" collapsed="false">
      <c r="B35" s="27" t="s">
        <v>43</v>
      </c>
      <c r="C35" s="27"/>
      <c r="D35" s="27"/>
      <c r="E35" s="27" t="s">
        <v>44</v>
      </c>
      <c r="F35" s="27"/>
      <c r="G35" s="27"/>
      <c r="H35" s="27"/>
      <c r="I35" s="27"/>
      <c r="J35" s="27"/>
      <c r="K35" s="27"/>
      <c r="L35" s="28" t="s">
        <v>56</v>
      </c>
      <c r="M35" s="29" t="s">
        <v>57</v>
      </c>
      <c r="N35" s="29"/>
      <c r="O35" s="29"/>
      <c r="P35" s="29"/>
      <c r="Q35" s="30"/>
      <c r="R35" s="31" t="s">
        <v>43</v>
      </c>
      <c r="S35" s="31"/>
      <c r="T35" s="31"/>
      <c r="U35" s="27" t="s">
        <v>44</v>
      </c>
      <c r="V35" s="27"/>
      <c r="W35" s="27"/>
      <c r="X35" s="27"/>
      <c r="Y35" s="27"/>
      <c r="Z35" s="27"/>
      <c r="AA35" s="27"/>
      <c r="AB35" s="28" t="s">
        <v>56</v>
      </c>
      <c r="AC35" s="29" t="s">
        <v>57</v>
      </c>
      <c r="AD35" s="29"/>
      <c r="AE35" s="29"/>
      <c r="AF35" s="29"/>
    </row>
    <row r="36" customFormat="false" ht="16.5" hidden="false" customHeight="true" outlineLevel="0" collapsed="false">
      <c r="B36" s="32" t="s">
        <v>73</v>
      </c>
      <c r="C36" s="32"/>
      <c r="D36" s="32"/>
      <c r="M36" s="33" t="s">
        <v>48</v>
      </c>
      <c r="N36" s="33"/>
      <c r="O36" s="33"/>
      <c r="R36" s="34" t="s">
        <v>73</v>
      </c>
      <c r="S36" s="34"/>
      <c r="T36" s="34"/>
      <c r="AC36" s="33" t="s">
        <v>48</v>
      </c>
      <c r="AD36" s="33"/>
      <c r="AE36" s="33"/>
    </row>
    <row r="37" customFormat="false" ht="17.25" hidden="false" customHeight="true" outlineLevel="0" collapsed="false">
      <c r="B37" s="6" t="s">
        <v>62</v>
      </c>
      <c r="C37" s="6"/>
      <c r="D37" s="6"/>
      <c r="E37" s="35" t="s">
        <v>87</v>
      </c>
      <c r="F37" s="35"/>
      <c r="G37" s="35"/>
      <c r="H37" s="35"/>
      <c r="I37" s="35"/>
      <c r="J37" s="35"/>
      <c r="K37" s="35"/>
      <c r="L37" s="36"/>
      <c r="M37" s="59" t="n">
        <f aca="false">$X$21</f>
        <v>1200</v>
      </c>
      <c r="N37" s="59"/>
      <c r="O37" s="59"/>
      <c r="R37" s="37" t="s">
        <v>62</v>
      </c>
      <c r="S37" s="37"/>
      <c r="T37" s="37"/>
      <c r="U37" s="35" t="s">
        <v>63</v>
      </c>
      <c r="V37" s="35"/>
      <c r="W37" s="35"/>
      <c r="X37" s="35"/>
      <c r="Y37" s="35"/>
      <c r="Z37" s="35"/>
      <c r="AA37" s="35"/>
      <c r="AB37" s="36" t="s">
        <v>60</v>
      </c>
      <c r="AC37" s="59" t="n">
        <f aca="false">$X$21</f>
        <v>1200</v>
      </c>
      <c r="AD37" s="59"/>
      <c r="AE37" s="59"/>
    </row>
    <row r="38" customFormat="false" ht="16.5" hidden="false" customHeight="true" outlineLevel="0" collapsed="false">
      <c r="M38" s="60" t="n">
        <f aca="false">SUM(M36:M37)</f>
        <v>1200</v>
      </c>
      <c r="N38" s="60"/>
      <c r="O38" s="60"/>
      <c r="R38" s="43"/>
      <c r="AC38" s="60" t="n">
        <f aca="false">SUM(AC36:AC37)</f>
        <v>1200</v>
      </c>
      <c r="AD38" s="60"/>
      <c r="AE38" s="60"/>
    </row>
    <row r="39" customFormat="false" ht="16.5" hidden="false" customHeight="true" outlineLevel="0" collapsed="false">
      <c r="B39" s="32" t="s">
        <v>74</v>
      </c>
      <c r="C39" s="32"/>
      <c r="D39" s="32"/>
      <c r="R39" s="34" t="s">
        <v>74</v>
      </c>
      <c r="S39" s="34"/>
      <c r="T39" s="34"/>
    </row>
    <row r="40" customFormat="false" ht="17.25" hidden="false" customHeight="true" outlineLevel="0" collapsed="false">
      <c r="B40" s="6" t="s">
        <v>62</v>
      </c>
      <c r="C40" s="6"/>
      <c r="D40" s="6"/>
      <c r="E40" s="35" t="s">
        <v>87</v>
      </c>
      <c r="F40" s="35"/>
      <c r="G40" s="35"/>
      <c r="H40" s="35"/>
      <c r="I40" s="35"/>
      <c r="J40" s="35"/>
      <c r="K40" s="35"/>
      <c r="L40" s="36"/>
      <c r="M40" s="59" t="n">
        <f aca="false">$X$22</f>
        <v>1500</v>
      </c>
      <c r="N40" s="59"/>
      <c r="O40" s="59"/>
      <c r="R40" s="37" t="s">
        <v>86</v>
      </c>
      <c r="S40" s="37"/>
      <c r="T40" s="37"/>
      <c r="U40" s="35" t="s">
        <v>59</v>
      </c>
      <c r="V40" s="35"/>
      <c r="W40" s="35"/>
      <c r="X40" s="35"/>
      <c r="Y40" s="35"/>
      <c r="Z40" s="35"/>
      <c r="AA40" s="35"/>
      <c r="AB40" s="36"/>
      <c r="AC40" s="59" t="n">
        <f aca="false">$X$21</f>
        <v>1200</v>
      </c>
      <c r="AD40" s="59"/>
      <c r="AE40" s="59"/>
    </row>
    <row r="41" customFormat="false" ht="17.25" hidden="false" customHeight="true" outlineLevel="0" collapsed="false">
      <c r="R41" s="37" t="s">
        <v>62</v>
      </c>
      <c r="S41" s="37"/>
      <c r="T41" s="37"/>
      <c r="U41" s="35" t="s">
        <v>63</v>
      </c>
      <c r="V41" s="35"/>
      <c r="W41" s="35"/>
      <c r="X41" s="35"/>
      <c r="Y41" s="35"/>
      <c r="Z41" s="35"/>
      <c r="AA41" s="35"/>
      <c r="AB41" s="36" t="s">
        <v>64</v>
      </c>
      <c r="AC41" s="59" t="n">
        <f aca="false">$X$22-$X$21</f>
        <v>300</v>
      </c>
      <c r="AD41" s="59"/>
      <c r="AE41" s="59"/>
    </row>
    <row r="42" customFormat="false" ht="16.5" hidden="false" customHeight="true" outlineLevel="0" collapsed="false">
      <c r="M42" s="60" t="n">
        <f aca="false">SUM(M39:M41)</f>
        <v>1500</v>
      </c>
      <c r="N42" s="60"/>
      <c r="O42" s="60"/>
      <c r="R42" s="43"/>
      <c r="AC42" s="60" t="n">
        <f aca="false">SUM(AC39:AC41)</f>
        <v>1500</v>
      </c>
      <c r="AD42" s="60"/>
      <c r="AE42" s="60"/>
    </row>
    <row r="43" customFormat="false" ht="16.5" hidden="false" customHeight="true" outlineLevel="0" collapsed="false">
      <c r="B43" s="32" t="s">
        <v>47</v>
      </c>
      <c r="C43" s="32"/>
      <c r="D43" s="32"/>
      <c r="R43" s="34" t="s">
        <v>47</v>
      </c>
      <c r="S43" s="34"/>
      <c r="T43" s="34"/>
    </row>
    <row r="44" customFormat="false" ht="17.25" hidden="false" customHeight="true" outlineLevel="0" collapsed="false">
      <c r="B44" s="6" t="s">
        <v>62</v>
      </c>
      <c r="C44" s="6"/>
      <c r="D44" s="6"/>
      <c r="E44" s="35" t="s">
        <v>63</v>
      </c>
      <c r="F44" s="35"/>
      <c r="G44" s="35"/>
      <c r="H44" s="35"/>
      <c r="I44" s="35"/>
      <c r="J44" s="35"/>
      <c r="K44" s="35"/>
      <c r="L44" s="36" t="s">
        <v>176</v>
      </c>
      <c r="M44" s="59" t="n">
        <f aca="false">$X$22-$X$23</f>
        <v>450</v>
      </c>
      <c r="N44" s="59"/>
      <c r="O44" s="59"/>
      <c r="R44" s="37" t="s">
        <v>86</v>
      </c>
      <c r="S44" s="37"/>
      <c r="T44" s="37"/>
      <c r="U44" s="35" t="s">
        <v>59</v>
      </c>
      <c r="V44" s="35"/>
      <c r="W44" s="35"/>
      <c r="X44" s="35"/>
      <c r="Y44" s="35"/>
      <c r="Z44" s="35"/>
      <c r="AA44" s="35"/>
      <c r="AB44" s="36"/>
      <c r="AC44" s="59" t="n">
        <f aca="false">$X$22</f>
        <v>1500</v>
      </c>
      <c r="AD44" s="59"/>
      <c r="AE44" s="59"/>
    </row>
    <row r="45" customFormat="false" ht="17.25" hidden="false" customHeight="true" outlineLevel="0" collapsed="false">
      <c r="B45" s="6" t="s">
        <v>62</v>
      </c>
      <c r="C45" s="6"/>
      <c r="D45" s="6"/>
      <c r="E45" s="35" t="s">
        <v>87</v>
      </c>
      <c r="F45" s="35"/>
      <c r="G45" s="35"/>
      <c r="H45" s="35"/>
      <c r="I45" s="35"/>
      <c r="J45" s="35"/>
      <c r="K45" s="35"/>
      <c r="L45" s="36"/>
      <c r="M45" s="59" t="n">
        <f aca="false">$X$23</f>
        <v>1050</v>
      </c>
      <c r="N45" s="59"/>
      <c r="O45" s="59"/>
      <c r="R45" s="43"/>
    </row>
    <row r="46" customFormat="false" ht="16.5" hidden="false" customHeight="true" outlineLevel="0" collapsed="false">
      <c r="M46" s="60" t="n">
        <f aca="false">SUM(M43:M45)</f>
        <v>1500</v>
      </c>
      <c r="N46" s="60"/>
      <c r="O46" s="60"/>
      <c r="R46" s="43"/>
      <c r="AC46" s="60" t="n">
        <f aca="false">SUM(AC43:AC45)</f>
        <v>1500</v>
      </c>
      <c r="AD46" s="60"/>
      <c r="AE46" s="60"/>
    </row>
    <row r="47" customFormat="false" ht="16.5" hidden="false" customHeight="true" outlineLevel="0" collapsed="false">
      <c r="R47" s="34" t="s">
        <v>89</v>
      </c>
      <c r="S47" s="34"/>
      <c r="T47" s="34"/>
    </row>
    <row r="48" customFormat="false" ht="17.25" hidden="false" customHeight="true" outlineLevel="0" collapsed="false">
      <c r="R48" s="37" t="s">
        <v>86</v>
      </c>
      <c r="S48" s="37"/>
      <c r="T48" s="37"/>
      <c r="U48" s="35" t="s">
        <v>59</v>
      </c>
      <c r="V48" s="35"/>
      <c r="W48" s="35"/>
      <c r="X48" s="35"/>
      <c r="Y48" s="35"/>
      <c r="Z48" s="35"/>
      <c r="AA48" s="35"/>
      <c r="AB48" s="36"/>
      <c r="AC48" s="59" t="n">
        <f aca="false">$X$23</f>
        <v>1050</v>
      </c>
      <c r="AD48" s="59"/>
      <c r="AE48" s="59"/>
    </row>
    <row r="50" customFormat="false" ht="18.75" hidden="false" customHeight="true" outlineLevel="0" collapsed="false">
      <c r="B50" s="3" t="s">
        <v>177</v>
      </c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1" customFormat="false" ht="15" hidden="false" customHeight="false" outlineLevel="0" collapsed="false">
      <c r="B51" s="25" t="s">
        <v>91</v>
      </c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  <c r="AB51" s="25"/>
      <c r="AC51" s="25"/>
      <c r="AD51" s="25"/>
      <c r="AE51" s="25"/>
      <c r="AF51" s="25"/>
    </row>
    <row r="52" customFormat="false" ht="15" hidden="false" customHeight="false" outlineLevel="0" collapsed="false">
      <c r="B52" s="44"/>
      <c r="C52" s="44"/>
      <c r="D52" s="44"/>
      <c r="E52" s="15" t="s">
        <v>44</v>
      </c>
      <c r="F52" s="15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6" t="s">
        <v>48</v>
      </c>
      <c r="S52" s="16"/>
      <c r="T52" s="16"/>
      <c r="U52" s="16"/>
      <c r="V52" s="16"/>
      <c r="W52" s="16" t="s">
        <v>48</v>
      </c>
      <c r="X52" s="16"/>
      <c r="Y52" s="16"/>
      <c r="Z52" s="16"/>
      <c r="AA52" s="16"/>
      <c r="AB52" s="16" t="s">
        <v>48</v>
      </c>
      <c r="AC52" s="16"/>
      <c r="AD52" s="16"/>
      <c r="AE52" s="16"/>
      <c r="AF52" s="16"/>
    </row>
    <row r="53" customFormat="false" ht="30" hidden="false" customHeight="true" outlineLevel="0" collapsed="false">
      <c r="B53" s="44"/>
      <c r="C53" s="44"/>
      <c r="D53" s="44"/>
      <c r="E53" s="44"/>
      <c r="F53" s="44"/>
      <c r="G53" s="44"/>
      <c r="H53" s="44"/>
      <c r="I53" s="44"/>
      <c r="J53" s="44"/>
      <c r="K53" s="44"/>
      <c r="L53" s="44"/>
      <c r="M53" s="44"/>
      <c r="N53" s="44"/>
      <c r="O53" s="44"/>
      <c r="P53" s="44"/>
      <c r="Q53" s="44"/>
      <c r="R53" s="11" t="s">
        <v>92</v>
      </c>
      <c r="S53" s="11"/>
      <c r="T53" s="11"/>
      <c r="U53" s="11"/>
      <c r="V53" s="11"/>
      <c r="W53" s="11" t="s">
        <v>93</v>
      </c>
      <c r="X53" s="11"/>
      <c r="Y53" s="11"/>
      <c r="Z53" s="11"/>
      <c r="AA53" s="11"/>
      <c r="AB53" s="11" t="s">
        <v>94</v>
      </c>
      <c r="AC53" s="11"/>
      <c r="AD53" s="11"/>
      <c r="AE53" s="11"/>
      <c r="AF53" s="11"/>
    </row>
    <row r="54" customFormat="false" ht="17.25" hidden="false" customHeight="true" outlineLevel="0" collapsed="false">
      <c r="B54" s="45"/>
      <c r="C54" s="45"/>
      <c r="D54" s="45"/>
      <c r="E54" s="46" t="s">
        <v>95</v>
      </c>
      <c r="F54" s="46"/>
      <c r="G54" s="46"/>
      <c r="H54" s="46"/>
      <c r="I54" s="46"/>
      <c r="J54" s="46"/>
      <c r="K54" s="46"/>
      <c r="L54" s="46"/>
      <c r="M54" s="46"/>
      <c r="N54" s="46"/>
      <c r="O54" s="46"/>
      <c r="P54" s="46"/>
      <c r="Q54" s="46"/>
    </row>
    <row r="55" customFormat="false" ht="17.25" hidden="false" customHeight="true" outlineLevel="0" collapsed="false">
      <c r="B55" s="45"/>
      <c r="C55" s="45"/>
      <c r="D55" s="45"/>
      <c r="E55" s="35" t="s">
        <v>96</v>
      </c>
      <c r="F55" s="35"/>
      <c r="G55" s="35"/>
      <c r="H55" s="35"/>
      <c r="I55" s="35"/>
      <c r="J55" s="35"/>
      <c r="K55" s="35"/>
      <c r="L55" s="35"/>
      <c r="M55" s="35"/>
      <c r="N55" s="35"/>
      <c r="O55" s="35"/>
      <c r="P55" s="35"/>
      <c r="Q55" s="35"/>
      <c r="R55" s="59" t="n">
        <f aca="false">$X$14-$X$15</f>
        <v>35000</v>
      </c>
      <c r="S55" s="59"/>
      <c r="T55" s="59"/>
      <c r="U55" s="59"/>
    </row>
    <row r="56" customFormat="false" ht="17.25" hidden="false" customHeight="true" outlineLevel="0" collapsed="false">
      <c r="B56" s="45" t="s">
        <v>97</v>
      </c>
      <c r="C56" s="45"/>
      <c r="D56" s="45"/>
      <c r="E56" s="35" t="s">
        <v>98</v>
      </c>
      <c r="F56" s="35"/>
      <c r="G56" s="35"/>
      <c r="H56" s="35"/>
      <c r="I56" s="35"/>
      <c r="J56" s="35"/>
      <c r="K56" s="35"/>
      <c r="L56" s="35"/>
      <c r="M56" s="35"/>
      <c r="N56" s="35"/>
      <c r="O56" s="35"/>
      <c r="P56" s="35"/>
      <c r="Q56" s="35"/>
      <c r="R56" s="62" t="n">
        <f aca="false">-$X$23</f>
        <v>-1050</v>
      </c>
      <c r="S56" s="62"/>
      <c r="T56" s="62"/>
      <c r="U56" s="62"/>
      <c r="W56" s="59" t="n">
        <f aca="false">$X$14-$X$15-$X$23</f>
        <v>33950</v>
      </c>
      <c r="X56" s="59"/>
      <c r="Y56" s="59"/>
      <c r="Z56" s="59"/>
    </row>
  </sheetData>
  <mergeCells count="117">
    <mergeCell ref="B1:AF1"/>
    <mergeCell ref="B2:AF2"/>
    <mergeCell ref="B3:AF3"/>
    <mergeCell ref="B5:AF5"/>
    <mergeCell ref="B6:W6"/>
    <mergeCell ref="X6:AC6"/>
    <mergeCell ref="B7:AC7"/>
    <mergeCell ref="B8:W8"/>
    <mergeCell ref="X8:AC8"/>
    <mergeCell ref="B9:W9"/>
    <mergeCell ref="X9:AC9"/>
    <mergeCell ref="B10:AC10"/>
    <mergeCell ref="B11:W11"/>
    <mergeCell ref="X11:AC11"/>
    <mergeCell ref="B12:W12"/>
    <mergeCell ref="X12:AC12"/>
    <mergeCell ref="B13:AC13"/>
    <mergeCell ref="B14:W14"/>
    <mergeCell ref="X14:AC14"/>
    <mergeCell ref="B15:W15"/>
    <mergeCell ref="X15:AC15"/>
    <mergeCell ref="B16:AC16"/>
    <mergeCell ref="B17:W17"/>
    <mergeCell ref="X17:AC17"/>
    <mergeCell ref="B20:AF20"/>
    <mergeCell ref="B21:W21"/>
    <mergeCell ref="X21:AB21"/>
    <mergeCell ref="B22:W22"/>
    <mergeCell ref="X22:AB22"/>
    <mergeCell ref="B23:W23"/>
    <mergeCell ref="X23:AB23"/>
    <mergeCell ref="B25:AF25"/>
    <mergeCell ref="B26:W26"/>
    <mergeCell ref="X26:AB26"/>
    <mergeCell ref="B27:W27"/>
    <mergeCell ref="X27:AB27"/>
    <mergeCell ref="B28:W28"/>
    <mergeCell ref="X28:AB28"/>
    <mergeCell ref="B29:S29"/>
    <mergeCell ref="T29:AB29"/>
    <mergeCell ref="B30:S30"/>
    <mergeCell ref="T30:AB30"/>
    <mergeCell ref="B31:S31"/>
    <mergeCell ref="T31:AB31"/>
    <mergeCell ref="B33:AF33"/>
    <mergeCell ref="B34:D34"/>
    <mergeCell ref="E34:AC34"/>
    <mergeCell ref="AD34:AF34"/>
    <mergeCell ref="B35:D35"/>
    <mergeCell ref="E35:K35"/>
    <mergeCell ref="M35:P35"/>
    <mergeCell ref="R35:T35"/>
    <mergeCell ref="U35:AA35"/>
    <mergeCell ref="AC35:AF35"/>
    <mergeCell ref="B36:D36"/>
    <mergeCell ref="M36:O36"/>
    <mergeCell ref="R36:T36"/>
    <mergeCell ref="AC36:AE36"/>
    <mergeCell ref="B37:D37"/>
    <mergeCell ref="E37:K37"/>
    <mergeCell ref="M37:O37"/>
    <mergeCell ref="R37:T37"/>
    <mergeCell ref="U37:AA37"/>
    <mergeCell ref="AC37:AE37"/>
    <mergeCell ref="M38:O38"/>
    <mergeCell ref="AC38:AE38"/>
    <mergeCell ref="B39:D39"/>
    <mergeCell ref="R39:T39"/>
    <mergeCell ref="B40:D40"/>
    <mergeCell ref="E40:K40"/>
    <mergeCell ref="M40:O40"/>
    <mergeCell ref="R40:T40"/>
    <mergeCell ref="U40:AA40"/>
    <mergeCell ref="AC40:AE40"/>
    <mergeCell ref="R41:T41"/>
    <mergeCell ref="U41:AA41"/>
    <mergeCell ref="AC41:AE41"/>
    <mergeCell ref="M42:O42"/>
    <mergeCell ref="AC42:AE42"/>
    <mergeCell ref="B43:D43"/>
    <mergeCell ref="R43:T43"/>
    <mergeCell ref="B44:D44"/>
    <mergeCell ref="E44:K44"/>
    <mergeCell ref="M44:O44"/>
    <mergeCell ref="R44:T44"/>
    <mergeCell ref="U44:AA44"/>
    <mergeCell ref="AC44:AE44"/>
    <mergeCell ref="B45:D45"/>
    <mergeCell ref="E45:K45"/>
    <mergeCell ref="M45:O45"/>
    <mergeCell ref="M46:O46"/>
    <mergeCell ref="AC46:AE46"/>
    <mergeCell ref="R47:T47"/>
    <mergeCell ref="R48:T48"/>
    <mergeCell ref="U48:AA48"/>
    <mergeCell ref="AC48:AE48"/>
    <mergeCell ref="B50:AF50"/>
    <mergeCell ref="B51:AF51"/>
    <mergeCell ref="B52:D52"/>
    <mergeCell ref="E52:Q52"/>
    <mergeCell ref="R52:V52"/>
    <mergeCell ref="W52:AA52"/>
    <mergeCell ref="AB52:AF52"/>
    <mergeCell ref="B53:D53"/>
    <mergeCell ref="E53:Q53"/>
    <mergeCell ref="R53:V53"/>
    <mergeCell ref="W53:AA53"/>
    <mergeCell ref="AB53:AF53"/>
    <mergeCell ref="B54:D54"/>
    <mergeCell ref="E54:Q54"/>
    <mergeCell ref="B55:D55"/>
    <mergeCell ref="E55:Q55"/>
    <mergeCell ref="R55:U55"/>
    <mergeCell ref="B56:D56"/>
    <mergeCell ref="E56:Q56"/>
    <mergeCell ref="R56:U56"/>
    <mergeCell ref="W56:Z56"/>
  </mergeCells>
  <conditionalFormatting sqref="B1:AG57">
    <cfRule type="cellIs" priority="2" operator="equal" aboveAverage="0" equalAverage="0" bottom="0" percent="0" rank="0" text="" dxfId="0">
      <formula>"✓"</formula>
    </cfRule>
    <cfRule type="cellIs" priority="3" operator="equal" aboveAverage="0" equalAverage="0" bottom="0" percent="0" rank="0" text="" dxfId="1">
      <formula>"✗"</formula>
    </cfRule>
  </conditionalFormatting>
  <printOptions headings="false" gridLines="false" gridLinesSet="true" horizontalCentered="false" verticalCentered="false"/>
  <pageMargins left="0.4" right="0.4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AD47"/>
    <pageSetUpPr fitToPage="true"/>
  </sheetPr>
  <dimension ref="B1:AF59"/>
  <sheetViews>
    <sheetView showFormulas="false" showGridLines="fals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34" min="2" style="0" width="4.6"/>
  </cols>
  <sheetData>
    <row r="1" customFormat="false" ht="25.5" hidden="false" customHeight="true" outlineLevel="0" collapsed="false">
      <c r="B1" s="1" t="s">
        <v>210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</row>
    <row r="2" customFormat="false" ht="15" hidden="false" customHeight="false" outlineLevel="0" collapsed="false">
      <c r="B2" s="14" t="s">
        <v>205</v>
      </c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</row>
    <row r="3" customFormat="false" ht="15" hidden="false" customHeight="false" outlineLevel="0" collapsed="false">
      <c r="B3" s="14" t="s">
        <v>206</v>
      </c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</row>
    <row r="5" customFormat="false" ht="16.5" hidden="false" customHeight="true" outlineLevel="0" collapsed="false">
      <c r="B5" s="4" t="s">
        <v>179</v>
      </c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</row>
    <row r="6" customFormat="false" ht="16.5" hidden="false" customHeight="true" outlineLevel="0" collapsed="false">
      <c r="C6" s="4" t="s">
        <v>180</v>
      </c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</row>
    <row r="7" customFormat="false" ht="16.5" hidden="false" customHeight="true" outlineLevel="0" collapsed="false">
      <c r="C7" s="4" t="s">
        <v>181</v>
      </c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</row>
    <row r="8" customFormat="false" ht="16.5" hidden="false" customHeight="true" outlineLevel="0" collapsed="false">
      <c r="C8" s="4" t="s">
        <v>182</v>
      </c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</row>
    <row r="9" customFormat="false" ht="16.5" hidden="false" customHeight="true" outlineLevel="0" collapsed="false">
      <c r="C9" s="4" t="s">
        <v>183</v>
      </c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</row>
    <row r="10" customFormat="false" ht="15" hidden="false" customHeight="false" outlineLevel="0" collapsed="false">
      <c r="B10" s="15" t="s">
        <v>105</v>
      </c>
      <c r="C10" s="15"/>
      <c r="D10" s="15"/>
      <c r="E10" s="15"/>
      <c r="F10" s="15"/>
      <c r="G10" s="15"/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6" t="s">
        <v>39</v>
      </c>
      <c r="Y10" s="16"/>
      <c r="Z10" s="16"/>
      <c r="AA10" s="16"/>
      <c r="AB10" s="16"/>
      <c r="AC10" s="16"/>
    </row>
    <row r="11" customFormat="false" ht="16.5" hidden="false" customHeight="true" outlineLevel="0" collapsed="false">
      <c r="B11" s="12" t="s">
        <v>184</v>
      </c>
      <c r="C11" s="12"/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12"/>
      <c r="O11" s="12"/>
      <c r="P11" s="12"/>
      <c r="Q11" s="12"/>
      <c r="R11" s="12"/>
      <c r="S11" s="12"/>
      <c r="T11" s="12"/>
      <c r="U11" s="12"/>
      <c r="V11" s="12"/>
      <c r="W11" s="12"/>
      <c r="X11" s="58" t="n">
        <f aca="false">'Q8.12'!X11</f>
        <v>18000</v>
      </c>
      <c r="Y11" s="58"/>
      <c r="Z11" s="58"/>
      <c r="AA11" s="58"/>
      <c r="AB11" s="58"/>
      <c r="AC11" s="58"/>
    </row>
    <row r="12" customFormat="false" ht="16.5" hidden="false" customHeight="true" outlineLevel="0" collapsed="false">
      <c r="B12" s="12" t="s">
        <v>185</v>
      </c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58" t="n">
        <f aca="false">'Q8.12'!X12</f>
        <v>41500</v>
      </c>
      <c r="Y12" s="58"/>
      <c r="Z12" s="58"/>
      <c r="AA12" s="58"/>
      <c r="AB12" s="58"/>
      <c r="AC12" s="58"/>
    </row>
    <row r="13" customFormat="false" ht="16.5" hidden="false" customHeight="true" outlineLevel="0" collapsed="false">
      <c r="B13" s="12" t="s">
        <v>186</v>
      </c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58" t="n">
        <f aca="false">'Q8.12'!X13</f>
        <v>1500</v>
      </c>
      <c r="Y13" s="58"/>
      <c r="Z13" s="58"/>
      <c r="AA13" s="58"/>
      <c r="AB13" s="58"/>
      <c r="AC13" s="58"/>
    </row>
    <row r="14" customFormat="false" ht="16.5" hidden="false" customHeight="true" outlineLevel="0" collapsed="false">
      <c r="B14" s="12" t="s">
        <v>187</v>
      </c>
      <c r="C14" s="12"/>
      <c r="D14" s="12"/>
      <c r="E14" s="12"/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2"/>
      <c r="R14" s="12"/>
      <c r="S14" s="12"/>
      <c r="T14" s="12"/>
      <c r="U14" s="12"/>
      <c r="V14" s="12"/>
      <c r="W14" s="12"/>
      <c r="X14" s="58" t="n">
        <f aca="false">'Q8.12'!X14</f>
        <v>300</v>
      </c>
      <c r="Y14" s="58"/>
      <c r="Z14" s="58"/>
      <c r="AA14" s="58"/>
      <c r="AB14" s="58"/>
      <c r="AC14" s="58"/>
    </row>
    <row r="15" customFormat="false" ht="16.5" hidden="false" customHeight="true" outlineLevel="0" collapsed="false">
      <c r="B15" s="12" t="s">
        <v>188</v>
      </c>
      <c r="C15" s="12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58" t="n">
        <f aca="false">'Q8.12'!X15</f>
        <v>2500</v>
      </c>
      <c r="Y15" s="58"/>
      <c r="Z15" s="58"/>
      <c r="AA15" s="58"/>
      <c r="AB15" s="58"/>
      <c r="AC15" s="58"/>
    </row>
    <row r="16" customFormat="false" ht="16.5" hidden="false" customHeight="true" outlineLevel="0" collapsed="false">
      <c r="B16" s="12" t="s">
        <v>78</v>
      </c>
      <c r="C16" s="12"/>
      <c r="D16" s="12"/>
      <c r="E16" s="12"/>
      <c r="F16" s="12"/>
      <c r="G16" s="12"/>
      <c r="H16" s="12"/>
      <c r="I16" s="12"/>
      <c r="J16" s="12"/>
      <c r="K16" s="12"/>
      <c r="L16" s="12"/>
      <c r="M16" s="12"/>
      <c r="N16" s="12"/>
      <c r="O16" s="12"/>
      <c r="P16" s="12"/>
      <c r="Q16" s="12"/>
      <c r="R16" s="12"/>
      <c r="S16" s="12"/>
      <c r="T16" s="12"/>
      <c r="U16" s="12"/>
      <c r="V16" s="12"/>
      <c r="W16" s="12"/>
      <c r="X16" s="61" t="n">
        <f aca="false">'Q8.12'!X16</f>
        <v>0.05</v>
      </c>
      <c r="Y16" s="61"/>
      <c r="Z16" s="61"/>
      <c r="AA16" s="61"/>
      <c r="AB16" s="61"/>
      <c r="AC16" s="61"/>
    </row>
    <row r="19" customFormat="false" ht="18.75" hidden="false" customHeight="true" outlineLevel="0" collapsed="false">
      <c r="B19" s="3" t="s">
        <v>189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</row>
    <row r="20" customFormat="false" ht="17.25" hidden="false" customHeight="true" outlineLevel="0" collapsed="false">
      <c r="B20" s="51" t="s">
        <v>190</v>
      </c>
      <c r="C20" s="51"/>
      <c r="D20" s="51"/>
      <c r="E20" s="51"/>
      <c r="F20" s="51"/>
      <c r="G20" s="51"/>
      <c r="H20" s="51"/>
      <c r="I20" s="51"/>
      <c r="J20" s="51"/>
      <c r="K20" s="51"/>
      <c r="L20" s="51"/>
      <c r="M20" s="51"/>
      <c r="N20" s="51"/>
      <c r="O20" s="51"/>
      <c r="P20" s="51"/>
      <c r="Q20" s="51"/>
      <c r="R20" s="51"/>
      <c r="S20" s="51"/>
      <c r="T20" s="51"/>
      <c r="U20" s="51"/>
      <c r="V20" s="51"/>
      <c r="W20" s="51"/>
      <c r="X20" s="59" t="n">
        <f aca="false">$X$12-$X$13+$X$14</f>
        <v>40300</v>
      </c>
      <c r="Y20" s="59"/>
      <c r="Z20" s="59"/>
      <c r="AA20" s="59"/>
      <c r="AB20" s="59"/>
    </row>
    <row r="22" customFormat="false" ht="18.75" hidden="false" customHeight="true" outlineLevel="0" collapsed="false">
      <c r="B22" s="3" t="s">
        <v>191</v>
      </c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</row>
    <row r="23" customFormat="false" ht="17.25" hidden="false" customHeight="true" outlineLevel="0" collapsed="false">
      <c r="B23" s="51" t="s">
        <v>192</v>
      </c>
      <c r="C23" s="51"/>
      <c r="D23" s="51"/>
      <c r="E23" s="51"/>
      <c r="F23" s="51"/>
      <c r="G23" s="51"/>
      <c r="H23" s="51"/>
      <c r="I23" s="51"/>
      <c r="J23" s="51"/>
      <c r="K23" s="51"/>
      <c r="L23" s="51"/>
      <c r="M23" s="51"/>
      <c r="N23" s="51"/>
      <c r="O23" s="51"/>
      <c r="P23" s="51"/>
      <c r="Q23" s="51"/>
      <c r="R23" s="51"/>
      <c r="S23" s="51"/>
      <c r="T23" s="51"/>
      <c r="U23" s="51"/>
      <c r="V23" s="51"/>
      <c r="W23" s="51"/>
      <c r="X23" s="59" t="n">
        <f aca="false">ROUND($X$20*$X$16,2)</f>
        <v>2015</v>
      </c>
      <c r="Y23" s="59"/>
      <c r="Z23" s="59"/>
      <c r="AA23" s="59"/>
      <c r="AB23" s="59"/>
    </row>
    <row r="24" customFormat="false" ht="17.25" hidden="false" customHeight="true" outlineLevel="0" collapsed="false">
      <c r="B24" s="51" t="s">
        <v>193</v>
      </c>
      <c r="C24" s="51"/>
      <c r="D24" s="51"/>
      <c r="E24" s="51"/>
      <c r="F24" s="51"/>
      <c r="G24" s="51"/>
      <c r="H24" s="51"/>
      <c r="I24" s="51"/>
      <c r="J24" s="51"/>
      <c r="K24" s="51"/>
      <c r="L24" s="51"/>
      <c r="M24" s="51"/>
      <c r="N24" s="51"/>
      <c r="O24" s="51"/>
      <c r="P24" s="51"/>
      <c r="Q24" s="51"/>
      <c r="R24" s="51"/>
      <c r="S24" s="51"/>
      <c r="T24" s="51"/>
      <c r="U24" s="51"/>
      <c r="V24" s="51"/>
      <c r="W24" s="51"/>
      <c r="X24" s="59" t="n">
        <f aca="false">ABS($X$23-$X$15)</f>
        <v>485</v>
      </c>
      <c r="Y24" s="59"/>
      <c r="Z24" s="59"/>
      <c r="AA24" s="59"/>
      <c r="AB24" s="59"/>
    </row>
    <row r="25" customFormat="false" ht="17.25" hidden="false" customHeight="true" outlineLevel="0" collapsed="false">
      <c r="B25" s="51" t="s">
        <v>194</v>
      </c>
      <c r="C25" s="51"/>
      <c r="D25" s="51"/>
      <c r="E25" s="51"/>
      <c r="F25" s="51"/>
      <c r="G25" s="51"/>
      <c r="H25" s="51"/>
      <c r="I25" s="51"/>
      <c r="J25" s="51"/>
      <c r="K25" s="51"/>
      <c r="L25" s="51"/>
      <c r="M25" s="51"/>
      <c r="N25" s="51"/>
      <c r="O25" s="51"/>
      <c r="P25" s="51"/>
      <c r="Q25" s="51"/>
      <c r="R25" s="51"/>
      <c r="S25" s="51"/>
      <c r="T25" s="63" t="str">
        <f aca="false">IF($X$23&gt;$X$15,"Expense","Income")</f>
        <v>Income</v>
      </c>
      <c r="U25" s="63"/>
      <c r="V25" s="63"/>
      <c r="W25" s="63"/>
      <c r="X25" s="63"/>
      <c r="Y25" s="63"/>
      <c r="Z25" s="63"/>
      <c r="AA25" s="63"/>
      <c r="AB25" s="63"/>
    </row>
    <row r="27" customFormat="false" ht="18.75" hidden="false" customHeight="true" outlineLevel="0" collapsed="false">
      <c r="B27" s="3" t="s">
        <v>195</v>
      </c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</row>
    <row r="28" customFormat="false" ht="15" hidden="false" customHeight="false" outlineLevel="0" collapsed="false">
      <c r="B28" s="25" t="s">
        <v>196</v>
      </c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  <c r="P28" s="25"/>
      <c r="Q28" s="25"/>
      <c r="R28" s="25"/>
      <c r="S28" s="25"/>
      <c r="T28" s="25"/>
      <c r="U28" s="25"/>
      <c r="V28" s="25"/>
      <c r="W28" s="25"/>
      <c r="X28" s="25"/>
      <c r="Y28" s="25"/>
      <c r="Z28" s="25"/>
      <c r="AA28" s="25"/>
      <c r="AB28" s="25"/>
      <c r="AC28" s="25"/>
      <c r="AD28" s="25"/>
      <c r="AE28" s="25"/>
      <c r="AF28" s="25"/>
    </row>
    <row r="29" customFormat="false" ht="15" hidden="false" customHeight="false" outlineLevel="0" collapsed="false">
      <c r="B29" s="44"/>
      <c r="C29" s="44"/>
      <c r="D29" s="44"/>
      <c r="E29" s="15" t="s">
        <v>44</v>
      </c>
      <c r="F29" s="15"/>
      <c r="G29" s="15"/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6" t="s">
        <v>48</v>
      </c>
      <c r="S29" s="16"/>
      <c r="T29" s="16"/>
      <c r="U29" s="16"/>
      <c r="V29" s="16"/>
      <c r="W29" s="16" t="s">
        <v>48</v>
      </c>
      <c r="X29" s="16"/>
      <c r="Y29" s="16"/>
      <c r="Z29" s="16"/>
      <c r="AA29" s="16"/>
      <c r="AB29" s="16" t="s">
        <v>48</v>
      </c>
      <c r="AC29" s="16"/>
      <c r="AD29" s="16"/>
      <c r="AE29" s="16"/>
      <c r="AF29" s="16"/>
    </row>
    <row r="30" customFormat="false" ht="17.25" hidden="false" customHeight="true" outlineLevel="0" collapsed="false">
      <c r="B30" s="45"/>
      <c r="C30" s="45"/>
      <c r="D30" s="45"/>
      <c r="E30" s="35" t="s">
        <v>197</v>
      </c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AB30" s="59" t="n">
        <f aca="false">$X$11</f>
        <v>18000</v>
      </c>
      <c r="AC30" s="59"/>
      <c r="AD30" s="59"/>
      <c r="AE30" s="59"/>
    </row>
    <row r="31" customFormat="false" ht="17.25" hidden="false" customHeight="true" outlineLevel="0" collapsed="false">
      <c r="B31" s="45" t="s">
        <v>97</v>
      </c>
      <c r="C31" s="45"/>
      <c r="D31" s="45"/>
      <c r="E31" s="35" t="s">
        <v>198</v>
      </c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AB31" s="59" t="n">
        <f aca="false">-$X$13</f>
        <v>-1500</v>
      </c>
      <c r="AC31" s="59"/>
      <c r="AD31" s="59"/>
      <c r="AE31" s="59"/>
    </row>
    <row r="32" customFormat="false" ht="17.25" hidden="false" customHeight="true" outlineLevel="0" collapsed="false">
      <c r="B32" s="45" t="s">
        <v>153</v>
      </c>
      <c r="C32" s="45"/>
      <c r="D32" s="45"/>
      <c r="E32" s="35" t="s">
        <v>67</v>
      </c>
      <c r="F32" s="35"/>
      <c r="G32" s="35"/>
      <c r="H32" s="35"/>
      <c r="I32" s="35"/>
      <c r="J32" s="35"/>
      <c r="K32" s="35"/>
      <c r="L32" s="35"/>
      <c r="M32" s="35"/>
      <c r="N32" s="35"/>
      <c r="O32" s="35"/>
      <c r="P32" s="35"/>
      <c r="Q32" s="35"/>
      <c r="AB32" s="59" t="n">
        <f aca="false">$X$14</f>
        <v>300</v>
      </c>
      <c r="AC32" s="59"/>
      <c r="AD32" s="59"/>
      <c r="AE32" s="59"/>
    </row>
    <row r="33" customFormat="false" ht="17.25" hidden="false" customHeight="true" outlineLevel="0" collapsed="false">
      <c r="B33" s="45" t="s">
        <v>153</v>
      </c>
      <c r="C33" s="45"/>
      <c r="D33" s="45"/>
      <c r="E33" s="35" t="s">
        <v>199</v>
      </c>
      <c r="F33" s="35"/>
      <c r="G33" s="35"/>
      <c r="H33" s="35"/>
      <c r="I33" s="35"/>
      <c r="J33" s="35"/>
      <c r="K33" s="35"/>
      <c r="L33" s="35"/>
      <c r="M33" s="35"/>
      <c r="N33" s="35"/>
      <c r="O33" s="35"/>
      <c r="P33" s="35"/>
      <c r="Q33" s="35"/>
      <c r="AB33" s="62" t="n">
        <f aca="false">$X$15-$X$23</f>
        <v>485</v>
      </c>
      <c r="AC33" s="62"/>
      <c r="AD33" s="62"/>
      <c r="AE33" s="62"/>
    </row>
    <row r="34" customFormat="false" ht="17.25" hidden="false" customHeight="true" outlineLevel="0" collapsed="false">
      <c r="B34" s="45"/>
      <c r="C34" s="45"/>
      <c r="D34" s="45"/>
      <c r="E34" s="55" t="s">
        <v>200</v>
      </c>
      <c r="F34" s="55"/>
      <c r="G34" s="55"/>
      <c r="H34" s="55"/>
      <c r="I34" s="55"/>
      <c r="J34" s="55"/>
      <c r="K34" s="55"/>
      <c r="L34" s="55"/>
      <c r="M34" s="55"/>
      <c r="N34" s="55"/>
      <c r="O34" s="55"/>
      <c r="P34" s="55"/>
      <c r="Q34" s="55"/>
      <c r="AB34" s="60" t="n">
        <f aca="false">$X$11-$X$13+$X$14+$X$15-$X$23</f>
        <v>17285</v>
      </c>
      <c r="AC34" s="60"/>
      <c r="AD34" s="60"/>
      <c r="AE34" s="60"/>
    </row>
    <row r="36" customFormat="false" ht="18.75" hidden="false" customHeight="true" outlineLevel="0" collapsed="false">
      <c r="B36" s="3" t="s">
        <v>201</v>
      </c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</row>
    <row r="37" customFormat="false" ht="15" hidden="false" customHeight="false" outlineLevel="0" collapsed="false">
      <c r="B37" s="24" t="s">
        <v>53</v>
      </c>
      <c r="C37" s="24"/>
      <c r="D37" s="24"/>
      <c r="E37" s="25" t="s">
        <v>84</v>
      </c>
      <c r="F37" s="25"/>
      <c r="G37" s="25"/>
      <c r="H37" s="25"/>
      <c r="I37" s="25"/>
      <c r="J37" s="25"/>
      <c r="K37" s="25"/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  <c r="AB37" s="25"/>
      <c r="AC37" s="25"/>
      <c r="AD37" s="26" t="s">
        <v>55</v>
      </c>
      <c r="AE37" s="26"/>
      <c r="AF37" s="26"/>
    </row>
    <row r="38" customFormat="false" ht="15" hidden="false" customHeight="false" outlineLevel="0" collapsed="false">
      <c r="B38" s="27" t="s">
        <v>43</v>
      </c>
      <c r="C38" s="27"/>
      <c r="D38" s="27"/>
      <c r="E38" s="27" t="s">
        <v>44</v>
      </c>
      <c r="F38" s="27"/>
      <c r="G38" s="27"/>
      <c r="H38" s="27"/>
      <c r="I38" s="27"/>
      <c r="J38" s="27"/>
      <c r="K38" s="27"/>
      <c r="L38" s="28" t="s">
        <v>56</v>
      </c>
      <c r="M38" s="29" t="s">
        <v>57</v>
      </c>
      <c r="N38" s="29"/>
      <c r="O38" s="29"/>
      <c r="P38" s="29"/>
      <c r="Q38" s="30"/>
      <c r="R38" s="31" t="s">
        <v>43</v>
      </c>
      <c r="S38" s="31"/>
      <c r="T38" s="31"/>
      <c r="U38" s="27" t="s">
        <v>44</v>
      </c>
      <c r="V38" s="27"/>
      <c r="W38" s="27"/>
      <c r="X38" s="27"/>
      <c r="Y38" s="27"/>
      <c r="Z38" s="27"/>
      <c r="AA38" s="27"/>
      <c r="AB38" s="28" t="s">
        <v>56</v>
      </c>
      <c r="AC38" s="29" t="s">
        <v>57</v>
      </c>
      <c r="AD38" s="29"/>
      <c r="AE38" s="29"/>
      <c r="AF38" s="29"/>
    </row>
    <row r="39" customFormat="false" ht="16.5" hidden="false" customHeight="true" outlineLevel="0" collapsed="false">
      <c r="B39" s="32" t="s">
        <v>47</v>
      </c>
      <c r="C39" s="32"/>
      <c r="D39" s="32"/>
      <c r="M39" s="33" t="s">
        <v>48</v>
      </c>
      <c r="N39" s="33"/>
      <c r="O39" s="33"/>
      <c r="R39" s="34" t="s">
        <v>47</v>
      </c>
      <c r="S39" s="34"/>
      <c r="T39" s="34"/>
      <c r="AC39" s="33" t="s">
        <v>48</v>
      </c>
      <c r="AD39" s="33"/>
      <c r="AE39" s="33"/>
    </row>
    <row r="40" customFormat="false" ht="17.25" hidden="false" customHeight="true" outlineLevel="0" collapsed="false">
      <c r="B40" s="6" t="s">
        <v>62</v>
      </c>
      <c r="C40" s="6"/>
      <c r="D40" s="6"/>
      <c r="E40" s="35" t="s">
        <v>63</v>
      </c>
      <c r="F40" s="35"/>
      <c r="G40" s="35"/>
      <c r="H40" s="35"/>
      <c r="I40" s="35"/>
      <c r="J40" s="35"/>
      <c r="K40" s="35"/>
      <c r="L40" s="36" t="s">
        <v>60</v>
      </c>
      <c r="M40" s="59" t="n">
        <f aca="false">$X$15-$X$23</f>
        <v>485</v>
      </c>
      <c r="N40" s="59"/>
      <c r="O40" s="59"/>
      <c r="R40" s="37" t="s">
        <v>86</v>
      </c>
      <c r="S40" s="37"/>
      <c r="T40" s="37"/>
      <c r="U40" s="35" t="s">
        <v>59</v>
      </c>
      <c r="V40" s="35"/>
      <c r="W40" s="35"/>
      <c r="X40" s="35"/>
      <c r="Y40" s="35"/>
      <c r="Z40" s="35"/>
      <c r="AA40" s="35"/>
      <c r="AB40" s="36"/>
      <c r="AC40" s="59" t="n">
        <f aca="false">$X$15</f>
        <v>2500</v>
      </c>
      <c r="AD40" s="59"/>
      <c r="AE40" s="59"/>
    </row>
    <row r="41" customFormat="false" ht="17.25" hidden="false" customHeight="true" outlineLevel="0" collapsed="false">
      <c r="B41" s="6" t="s">
        <v>62</v>
      </c>
      <c r="C41" s="6"/>
      <c r="D41" s="6"/>
      <c r="E41" s="35" t="s">
        <v>87</v>
      </c>
      <c r="F41" s="35"/>
      <c r="G41" s="35"/>
      <c r="H41" s="35"/>
      <c r="I41" s="35"/>
      <c r="J41" s="35"/>
      <c r="K41" s="35"/>
      <c r="L41" s="36"/>
      <c r="M41" s="59" t="n">
        <f aca="false">$X$23</f>
        <v>2015</v>
      </c>
      <c r="N41" s="59"/>
      <c r="O41" s="59"/>
      <c r="R41" s="43"/>
    </row>
    <row r="42" customFormat="false" ht="16.5" hidden="false" customHeight="true" outlineLevel="0" collapsed="false">
      <c r="M42" s="60" t="n">
        <f aca="false">SUM(M39:M41)</f>
        <v>2500</v>
      </c>
      <c r="N42" s="60"/>
      <c r="O42" s="60"/>
      <c r="R42" s="43"/>
      <c r="AC42" s="60" t="n">
        <f aca="false">SUM(AC39:AC41)</f>
        <v>2500</v>
      </c>
      <c r="AD42" s="60"/>
      <c r="AE42" s="60"/>
    </row>
    <row r="43" customFormat="false" ht="16.5" hidden="false" customHeight="true" outlineLevel="0" collapsed="false">
      <c r="R43" s="34" t="s">
        <v>89</v>
      </c>
      <c r="S43" s="34"/>
      <c r="T43" s="34"/>
    </row>
    <row r="44" customFormat="false" ht="17.25" hidden="false" customHeight="true" outlineLevel="0" collapsed="false">
      <c r="R44" s="37" t="s">
        <v>86</v>
      </c>
      <c r="S44" s="37"/>
      <c r="T44" s="37"/>
      <c r="U44" s="35" t="s">
        <v>59</v>
      </c>
      <c r="V44" s="35"/>
      <c r="W44" s="35"/>
      <c r="X44" s="35"/>
      <c r="Y44" s="35"/>
      <c r="Z44" s="35"/>
      <c r="AA44" s="35"/>
      <c r="AB44" s="36"/>
      <c r="AC44" s="59" t="n">
        <f aca="false">$X$23</f>
        <v>2015</v>
      </c>
      <c r="AD44" s="59"/>
      <c r="AE44" s="59"/>
    </row>
    <row r="46" customFormat="false" ht="18.75" hidden="false" customHeight="true" outlineLevel="0" collapsed="false">
      <c r="B46" s="3" t="s">
        <v>202</v>
      </c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</row>
    <row r="47" customFormat="false" ht="15" hidden="false" customHeight="false" outlineLevel="0" collapsed="false">
      <c r="B47" s="25" t="s">
        <v>91</v>
      </c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  <c r="AB47" s="25"/>
      <c r="AC47" s="25"/>
      <c r="AD47" s="25"/>
      <c r="AE47" s="25"/>
      <c r="AF47" s="25"/>
    </row>
    <row r="48" customFormat="false" ht="15" hidden="false" customHeight="false" outlineLevel="0" collapsed="false">
      <c r="B48" s="44"/>
      <c r="C48" s="44"/>
      <c r="D48" s="44"/>
      <c r="E48" s="15" t="s">
        <v>44</v>
      </c>
      <c r="F48" s="15"/>
      <c r="G48" s="15"/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6" t="s">
        <v>48</v>
      </c>
      <c r="S48" s="16"/>
      <c r="T48" s="16"/>
      <c r="U48" s="16"/>
      <c r="V48" s="16"/>
      <c r="W48" s="16" t="s">
        <v>48</v>
      </c>
      <c r="X48" s="16"/>
      <c r="Y48" s="16"/>
      <c r="Z48" s="16"/>
      <c r="AA48" s="16"/>
      <c r="AB48" s="16" t="s">
        <v>48</v>
      </c>
      <c r="AC48" s="16"/>
      <c r="AD48" s="16"/>
      <c r="AE48" s="16"/>
      <c r="AF48" s="16"/>
    </row>
    <row r="49" customFormat="false" ht="30" hidden="false" customHeight="true" outlineLevel="0" collapsed="false">
      <c r="B49" s="44"/>
      <c r="C49" s="44"/>
      <c r="D49" s="44"/>
      <c r="E49" s="44"/>
      <c r="F49" s="44"/>
      <c r="G49" s="44"/>
      <c r="H49" s="44"/>
      <c r="I49" s="44"/>
      <c r="J49" s="44"/>
      <c r="K49" s="44"/>
      <c r="L49" s="44"/>
      <c r="M49" s="44"/>
      <c r="N49" s="44"/>
      <c r="O49" s="44"/>
      <c r="P49" s="44"/>
      <c r="Q49" s="44"/>
      <c r="R49" s="11" t="s">
        <v>92</v>
      </c>
      <c r="S49" s="11"/>
      <c r="T49" s="11"/>
      <c r="U49" s="11"/>
      <c r="V49" s="11"/>
      <c r="W49" s="11" t="s">
        <v>93</v>
      </c>
      <c r="X49" s="11"/>
      <c r="Y49" s="11"/>
      <c r="Z49" s="11"/>
      <c r="AA49" s="11"/>
      <c r="AB49" s="11" t="s">
        <v>94</v>
      </c>
      <c r="AC49" s="11"/>
      <c r="AD49" s="11"/>
      <c r="AE49" s="11"/>
      <c r="AF49" s="11"/>
    </row>
    <row r="50" customFormat="false" ht="17.25" hidden="false" customHeight="true" outlineLevel="0" collapsed="false">
      <c r="B50" s="45"/>
      <c r="C50" s="45"/>
      <c r="D50" s="45"/>
      <c r="E50" s="46" t="s">
        <v>95</v>
      </c>
      <c r="F50" s="46"/>
      <c r="G50" s="46"/>
      <c r="H50" s="46"/>
      <c r="I50" s="46"/>
      <c r="J50" s="46"/>
      <c r="K50" s="46"/>
      <c r="L50" s="46"/>
      <c r="M50" s="46"/>
      <c r="N50" s="46"/>
      <c r="O50" s="46"/>
      <c r="P50" s="46"/>
      <c r="Q50" s="46"/>
    </row>
    <row r="51" customFormat="false" ht="17.25" hidden="false" customHeight="true" outlineLevel="0" collapsed="false">
      <c r="B51" s="45"/>
      <c r="C51" s="45"/>
      <c r="D51" s="45"/>
      <c r="E51" s="35" t="s">
        <v>96</v>
      </c>
      <c r="F51" s="35"/>
      <c r="G51" s="35"/>
      <c r="H51" s="35"/>
      <c r="I51" s="35"/>
      <c r="J51" s="35"/>
      <c r="K51" s="35"/>
      <c r="L51" s="35"/>
      <c r="M51" s="35"/>
      <c r="N51" s="35"/>
      <c r="O51" s="35"/>
      <c r="P51" s="35"/>
      <c r="Q51" s="35"/>
      <c r="R51" s="59" t="n">
        <f aca="false">$X$20</f>
        <v>40300</v>
      </c>
      <c r="S51" s="59"/>
      <c r="T51" s="59"/>
      <c r="U51" s="59"/>
    </row>
    <row r="52" customFormat="false" ht="17.25" hidden="false" customHeight="true" outlineLevel="0" collapsed="false">
      <c r="B52" s="45" t="s">
        <v>97</v>
      </c>
      <c r="C52" s="45"/>
      <c r="D52" s="45"/>
      <c r="E52" s="35" t="s">
        <v>98</v>
      </c>
      <c r="F52" s="35"/>
      <c r="G52" s="35"/>
      <c r="H52" s="35"/>
      <c r="I52" s="35"/>
      <c r="J52" s="35"/>
      <c r="K52" s="35"/>
      <c r="L52" s="35"/>
      <c r="M52" s="35"/>
      <c r="N52" s="35"/>
      <c r="O52" s="35"/>
      <c r="P52" s="35"/>
      <c r="Q52" s="35"/>
      <c r="R52" s="62" t="n">
        <f aca="false">-$X$23</f>
        <v>-2015</v>
      </c>
      <c r="S52" s="62"/>
      <c r="T52" s="62"/>
      <c r="U52" s="62"/>
      <c r="W52" s="59" t="n">
        <f aca="false">$X$20-$X$23</f>
        <v>38285</v>
      </c>
      <c r="X52" s="59"/>
      <c r="Y52" s="59"/>
      <c r="Z52" s="59"/>
    </row>
    <row r="54" customFormat="false" ht="18.75" hidden="false" customHeight="true" outlineLevel="0" collapsed="false">
      <c r="B54" s="3" t="s">
        <v>203</v>
      </c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</row>
    <row r="55" customFormat="false" ht="16.5" hidden="false" customHeight="true" outlineLevel="0" collapsed="false">
      <c r="B55" s="64" t="s">
        <v>211</v>
      </c>
      <c r="C55" s="64"/>
      <c r="D55" s="64"/>
      <c r="E55" s="64"/>
      <c r="F55" s="64"/>
      <c r="G55" s="64"/>
      <c r="H55" s="64"/>
      <c r="I55" s="64"/>
      <c r="J55" s="64"/>
      <c r="K55" s="64"/>
      <c r="L55" s="64"/>
      <c r="M55" s="64"/>
      <c r="N55" s="64"/>
      <c r="O55" s="64"/>
      <c r="P55" s="64"/>
      <c r="Q55" s="64"/>
      <c r="R55" s="64"/>
      <c r="S55" s="64"/>
      <c r="T55" s="64"/>
      <c r="U55" s="64"/>
      <c r="V55" s="64"/>
      <c r="W55" s="64"/>
      <c r="X55" s="64"/>
      <c r="Y55" s="64"/>
      <c r="Z55" s="64"/>
      <c r="AA55" s="64"/>
      <c r="AB55" s="64"/>
      <c r="AC55" s="64"/>
      <c r="AD55" s="64"/>
      <c r="AE55" s="64"/>
      <c r="AF55" s="64"/>
    </row>
    <row r="56" customFormat="false" ht="16.5" hidden="false" customHeight="true" outlineLevel="0" collapsed="false">
      <c r="B56" s="64"/>
      <c r="C56" s="64"/>
      <c r="D56" s="64"/>
      <c r="E56" s="64"/>
      <c r="F56" s="64"/>
      <c r="G56" s="64"/>
      <c r="H56" s="64"/>
      <c r="I56" s="64"/>
      <c r="J56" s="64"/>
      <c r="K56" s="64"/>
      <c r="L56" s="64"/>
      <c r="M56" s="64"/>
      <c r="N56" s="64"/>
      <c r="O56" s="64"/>
      <c r="P56" s="64"/>
      <c r="Q56" s="64"/>
      <c r="R56" s="64"/>
      <c r="S56" s="64"/>
      <c r="T56" s="64"/>
      <c r="U56" s="64"/>
      <c r="V56" s="64"/>
      <c r="W56" s="64"/>
      <c r="X56" s="64"/>
      <c r="Y56" s="64"/>
      <c r="Z56" s="64"/>
      <c r="AA56" s="64"/>
      <c r="AB56" s="64"/>
      <c r="AC56" s="64"/>
      <c r="AD56" s="64"/>
      <c r="AE56" s="64"/>
      <c r="AF56" s="64"/>
    </row>
    <row r="57" customFormat="false" ht="16.5" hidden="false" customHeight="true" outlineLevel="0" collapsed="false">
      <c r="B57" s="64"/>
      <c r="C57" s="64"/>
      <c r="D57" s="64"/>
      <c r="E57" s="64"/>
      <c r="F57" s="64"/>
      <c r="G57" s="64"/>
      <c r="H57" s="64"/>
      <c r="I57" s="64"/>
      <c r="J57" s="64"/>
      <c r="K57" s="64"/>
      <c r="L57" s="64"/>
      <c r="M57" s="64"/>
      <c r="N57" s="64"/>
      <c r="O57" s="64"/>
      <c r="P57" s="64"/>
      <c r="Q57" s="64"/>
      <c r="R57" s="64"/>
      <c r="S57" s="64"/>
      <c r="T57" s="64"/>
      <c r="U57" s="64"/>
      <c r="V57" s="64"/>
      <c r="W57" s="64"/>
      <c r="X57" s="64"/>
      <c r="Y57" s="64"/>
      <c r="Z57" s="64"/>
      <c r="AA57" s="64"/>
      <c r="AB57" s="64"/>
      <c r="AC57" s="64"/>
      <c r="AD57" s="64"/>
      <c r="AE57" s="64"/>
      <c r="AF57" s="64"/>
    </row>
    <row r="58" customFormat="false" ht="16.5" hidden="false" customHeight="true" outlineLevel="0" collapsed="false">
      <c r="B58" s="64"/>
      <c r="C58" s="64"/>
      <c r="D58" s="64"/>
      <c r="E58" s="64"/>
      <c r="F58" s="64"/>
      <c r="G58" s="64"/>
      <c r="H58" s="64"/>
      <c r="I58" s="64"/>
      <c r="J58" s="64"/>
      <c r="K58" s="64"/>
      <c r="L58" s="64"/>
      <c r="M58" s="64"/>
      <c r="N58" s="64"/>
      <c r="O58" s="64"/>
      <c r="P58" s="64"/>
      <c r="Q58" s="64"/>
      <c r="R58" s="64"/>
      <c r="S58" s="64"/>
      <c r="T58" s="64"/>
      <c r="U58" s="64"/>
      <c r="V58" s="64"/>
      <c r="W58" s="64"/>
      <c r="X58" s="64"/>
      <c r="Y58" s="64"/>
      <c r="Z58" s="64"/>
      <c r="AA58" s="64"/>
      <c r="AB58" s="64"/>
      <c r="AC58" s="64"/>
      <c r="AD58" s="64"/>
      <c r="AE58" s="64"/>
      <c r="AF58" s="64"/>
    </row>
    <row r="59" customFormat="false" ht="16.5" hidden="false" customHeight="true" outlineLevel="0" collapsed="false">
      <c r="B59" s="64"/>
      <c r="C59" s="64"/>
      <c r="D59" s="64"/>
      <c r="E59" s="64"/>
      <c r="F59" s="64"/>
      <c r="G59" s="64"/>
      <c r="H59" s="64"/>
      <c r="I59" s="64"/>
      <c r="J59" s="64"/>
      <c r="K59" s="64"/>
      <c r="L59" s="64"/>
      <c r="M59" s="64"/>
      <c r="N59" s="64"/>
      <c r="O59" s="64"/>
      <c r="P59" s="64"/>
      <c r="Q59" s="64"/>
      <c r="R59" s="64"/>
      <c r="S59" s="64"/>
      <c r="T59" s="64"/>
      <c r="U59" s="64"/>
      <c r="V59" s="64"/>
      <c r="W59" s="64"/>
      <c r="X59" s="64"/>
      <c r="Y59" s="64"/>
      <c r="Z59" s="64"/>
      <c r="AA59" s="64"/>
      <c r="AB59" s="64"/>
      <c r="AC59" s="64"/>
      <c r="AD59" s="64"/>
      <c r="AE59" s="64"/>
      <c r="AF59" s="64"/>
    </row>
  </sheetData>
  <mergeCells count="106">
    <mergeCell ref="B1:AF1"/>
    <mergeCell ref="B2:AF2"/>
    <mergeCell ref="B3:AF3"/>
    <mergeCell ref="B5:AF5"/>
    <mergeCell ref="C6:AF6"/>
    <mergeCell ref="C7:AF7"/>
    <mergeCell ref="C8:AF8"/>
    <mergeCell ref="C9:AF9"/>
    <mergeCell ref="B10:W10"/>
    <mergeCell ref="X10:AC10"/>
    <mergeCell ref="B11:W11"/>
    <mergeCell ref="X11:AC11"/>
    <mergeCell ref="B12:W12"/>
    <mergeCell ref="X12:AC12"/>
    <mergeCell ref="B13:W13"/>
    <mergeCell ref="X13:AC13"/>
    <mergeCell ref="B14:W14"/>
    <mergeCell ref="X14:AC14"/>
    <mergeCell ref="B15:W15"/>
    <mergeCell ref="X15:AC15"/>
    <mergeCell ref="B16:W16"/>
    <mergeCell ref="X16:AC16"/>
    <mergeCell ref="B19:AF19"/>
    <mergeCell ref="B20:W20"/>
    <mergeCell ref="X20:AB20"/>
    <mergeCell ref="B22:AF22"/>
    <mergeCell ref="B23:W23"/>
    <mergeCell ref="X23:AB23"/>
    <mergeCell ref="B24:W24"/>
    <mergeCell ref="X24:AB24"/>
    <mergeCell ref="B25:S25"/>
    <mergeCell ref="T25:AB25"/>
    <mergeCell ref="B27:AF27"/>
    <mergeCell ref="B28:AF28"/>
    <mergeCell ref="B29:D29"/>
    <mergeCell ref="E29:Q29"/>
    <mergeCell ref="R29:V29"/>
    <mergeCell ref="W29:AA29"/>
    <mergeCell ref="AB29:AF29"/>
    <mergeCell ref="B30:D30"/>
    <mergeCell ref="E30:Q30"/>
    <mergeCell ref="AB30:AE30"/>
    <mergeCell ref="B31:D31"/>
    <mergeCell ref="E31:Q31"/>
    <mergeCell ref="AB31:AE31"/>
    <mergeCell ref="B32:D32"/>
    <mergeCell ref="E32:Q32"/>
    <mergeCell ref="AB32:AE32"/>
    <mergeCell ref="B33:D33"/>
    <mergeCell ref="E33:Q33"/>
    <mergeCell ref="AB33:AE33"/>
    <mergeCell ref="B34:D34"/>
    <mergeCell ref="E34:Q34"/>
    <mergeCell ref="AB34:AE34"/>
    <mergeCell ref="B36:AF36"/>
    <mergeCell ref="B37:D37"/>
    <mergeCell ref="E37:AC37"/>
    <mergeCell ref="AD37:AF37"/>
    <mergeCell ref="B38:D38"/>
    <mergeCell ref="E38:K38"/>
    <mergeCell ref="M38:P38"/>
    <mergeCell ref="R38:T38"/>
    <mergeCell ref="U38:AA38"/>
    <mergeCell ref="AC38:AF38"/>
    <mergeCell ref="B39:D39"/>
    <mergeCell ref="M39:O39"/>
    <mergeCell ref="R39:T39"/>
    <mergeCell ref="AC39:AE39"/>
    <mergeCell ref="B40:D40"/>
    <mergeCell ref="E40:K40"/>
    <mergeCell ref="M40:O40"/>
    <mergeCell ref="R40:T40"/>
    <mergeCell ref="U40:AA40"/>
    <mergeCell ref="AC40:AE40"/>
    <mergeCell ref="B41:D41"/>
    <mergeCell ref="E41:K41"/>
    <mergeCell ref="M41:O41"/>
    <mergeCell ref="M42:O42"/>
    <mergeCell ref="AC42:AE42"/>
    <mergeCell ref="R43:T43"/>
    <mergeCell ref="R44:T44"/>
    <mergeCell ref="U44:AA44"/>
    <mergeCell ref="AC44:AE44"/>
    <mergeCell ref="B46:AF46"/>
    <mergeCell ref="B47:AF47"/>
    <mergeCell ref="B48:D48"/>
    <mergeCell ref="E48:Q48"/>
    <mergeCell ref="R48:V48"/>
    <mergeCell ref="W48:AA48"/>
    <mergeCell ref="AB48:AF48"/>
    <mergeCell ref="B49:D49"/>
    <mergeCell ref="E49:Q49"/>
    <mergeCell ref="R49:V49"/>
    <mergeCell ref="W49:AA49"/>
    <mergeCell ref="AB49:AF49"/>
    <mergeCell ref="B50:D50"/>
    <mergeCell ref="E50:Q50"/>
    <mergeCell ref="B51:D51"/>
    <mergeCell ref="E51:Q51"/>
    <mergeCell ref="R51:U51"/>
    <mergeCell ref="B52:D52"/>
    <mergeCell ref="E52:Q52"/>
    <mergeCell ref="R52:U52"/>
    <mergeCell ref="W52:Z52"/>
    <mergeCell ref="B54:AF54"/>
    <mergeCell ref="B55:AF59"/>
  </mergeCells>
  <conditionalFormatting sqref="B1:AG60">
    <cfRule type="cellIs" priority="2" operator="equal" aboveAverage="0" equalAverage="0" bottom="0" percent="0" rank="0" text="" dxfId="0">
      <formula>"✓"</formula>
    </cfRule>
    <cfRule type="cellIs" priority="3" operator="equal" aboveAverage="0" equalAverage="0" bottom="0" percent="0" rank="0" text="" dxfId="1">
      <formula>"✗"</formula>
    </cfRule>
  </conditionalFormatting>
  <printOptions headings="false" gridLines="false" gridLinesSet="true" horizontalCentered="false" verticalCentered="false"/>
  <pageMargins left="0.4" right="0.4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2026-09-30T09:53:12Z</dcterms:created>
  <dc:creator>openpyxl</dc:creator>
  <dc:description/>
  <dc:language>en-US</dc:language>
  <cp:lastModifiedBy/>
  <dcterms:modified xsi:type="dcterms:W3CDTF">2026-09-30T09:53:13Z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