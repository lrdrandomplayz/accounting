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Straight Line" sheetId="2" state="visible" r:id="rId4"/>
    <sheet name="Reducing Balance" sheetId="3" state="visible" r:id="rId5"/>
    <sheet name="Compare Methods" sheetId="4" state="visible" r:id="rId6"/>
    <sheet name="Revaluation" sheetId="5" state="visible" r:id="rId7"/>
    <sheet name="Part Year" sheetId="6" state="visible" r:id="rId8"/>
    <sheet name="Disposal" sheetId="7" state="visible" r:id="rId9"/>
    <sheet name="Practice" sheetId="8" state="visible" r:id="rId10"/>
    <sheet name="Answers" sheetId="9" state="hidden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<sst xmlns="http://schemas.openxmlformats.org/spreadsheetml/2006/main" count="131" uniqueCount="104">
  <si>
    <t xml:space="preserve">Chapter 10: Tangible Non-current Assets and Depreciation</t>
  </si>
  <si>
    <t xml:space="preserve">Senior 1 Accounting. Free to use and share.</t>
  </si>
  <si>
    <t xml:space="preserve">How to use this workbook</t>
  </si>
  <si>
    <t xml:space="preserve">1. Start with the worked example sheets. Change any blue number and watch every answer update.</t>
  </si>
  <si>
    <t xml:space="preserve">2. Then try the Practice sheet. Type your answers in the yellow cells.</t>
  </si>
  <si>
    <t xml:space="preserve">3. The Check column tells you 'Correct' or 'Try again' as soon as you type.</t>
  </si>
  <si>
    <t xml:space="preserve">4. The Answers sheet is hidden. When you finish, right-click any sheet tab and choose Unhide to see full answers.</t>
  </si>
  <si>
    <t xml:space="preserve">Colour key</t>
  </si>
  <si>
    <t xml:space="preserve">Blue text = an input you can change.</t>
  </si>
  <si>
    <t xml:space="preserve">Black text = a formula. Do not type over it.</t>
  </si>
  <si>
    <t xml:space="preserve">Yellow cell = your answer goes here.</t>
  </si>
  <si>
    <t xml:space="preserve">Worked example 10.1: straight line method</t>
  </si>
  <si>
    <t xml:space="preserve">Annual depreciation = (Cost - Residual value) / Useful life</t>
  </si>
  <si>
    <t xml:space="preserve">Cost of asset ($)</t>
  </si>
  <si>
    <t xml:space="preserve">Residual value ($)</t>
  </si>
  <si>
    <t xml:space="preserve">Useful life (years, up to 10)</t>
  </si>
  <si>
    <t xml:space="preserve">Annual depreciation ($)</t>
  </si>
  <si>
    <t xml:space="preserve">Year</t>
  </si>
  <si>
    <t xml:space="preserve">NBV at start</t>
  </si>
  <si>
    <t xml:space="preserve">Depreciation</t>
  </si>
  <si>
    <t xml:space="preserve">Accumulated depreciation</t>
  </si>
  <si>
    <t xml:space="preserve">NBV at end</t>
  </si>
  <si>
    <t xml:space="preserve">Notice: the depreciation charge is the SAME every year.</t>
  </si>
  <si>
    <t xml:space="preserve">Worked example 10.2: reducing balance method</t>
  </si>
  <si>
    <t xml:space="preserve">Depreciation = NBV at start of year x rate</t>
  </si>
  <si>
    <t xml:space="preserve">Depreciation rate</t>
  </si>
  <si>
    <t xml:space="preserve">Notice: the charge FALLS every year because the NBV falls.</t>
  </si>
  <si>
    <t xml:space="preserve">Common mistake: using cost instead of NBV after Year 1.</t>
  </si>
  <si>
    <t xml:space="preserve">Straight line vs reducing balance on the same asset</t>
  </si>
  <si>
    <t xml:space="preserve">Change the blue inputs to compare.</t>
  </si>
  <si>
    <t xml:space="preserve">Cost</t>
  </si>
  <si>
    <t xml:space="preserve">Rate</t>
  </si>
  <si>
    <t xml:space="preserve">Straight line uses the rate on COST. Reducing balance uses the rate on NBV.</t>
  </si>
  <si>
    <t xml:space="preserve">SL depreciation</t>
  </si>
  <si>
    <t xml:space="preserve">SL NBV at end</t>
  </si>
  <si>
    <t xml:space="preserve">RB depreciation</t>
  </si>
  <si>
    <t xml:space="preserve">RB NBV at end</t>
  </si>
  <si>
    <t xml:space="preserve">Worked example 10.3: revaluation method (loose tools)</t>
  </si>
  <si>
    <t xml:space="preserve">Depreciation = Opening value + Purchases - Closing value</t>
  </si>
  <si>
    <t xml:space="preserve">Loose tools at start of year</t>
  </si>
  <si>
    <t xml:space="preserve">Add: tools bought during the year</t>
  </si>
  <si>
    <t xml:space="preserve">Less: loose tools valued at end of year</t>
  </si>
  <si>
    <t xml:space="preserve">Depreciation for the year</t>
  </si>
  <si>
    <t xml:space="preserve">Section 9: asset bought part way through the year</t>
  </si>
  <si>
    <t xml:space="preserve">Monthly (time) basis</t>
  </si>
  <si>
    <t xml:space="preserve">Cost of asset</t>
  </si>
  <si>
    <t xml:space="preserve">Rate per year (straight line on cost)</t>
  </si>
  <si>
    <t xml:space="preserve">Months owned in the first year</t>
  </si>
  <si>
    <t xml:space="preserve">Full year depreciation</t>
  </si>
  <si>
    <t xml:space="preserve">Depreciation for months owned (monthly basis)</t>
  </si>
  <si>
    <t xml:space="preserve">Worked example 10.5: disposal of a van</t>
  </si>
  <si>
    <t xml:space="preserve">Profit or loss = Sale proceeds - NBV</t>
  </si>
  <si>
    <t xml:space="preserve">Accumulated depreciation to date of sale</t>
  </si>
  <si>
    <t xml:space="preserve">Sale proceeds</t>
  </si>
  <si>
    <t xml:space="preserve">NBV at date of sale</t>
  </si>
  <si>
    <t xml:space="preserve">Profit (+) or loss (-) on disposal</t>
  </si>
  <si>
    <t xml:space="preserve">Disposal account</t>
  </si>
  <si>
    <t xml:space="preserve">Dr</t>
  </si>
  <si>
    <t xml:space="preserve">$</t>
  </si>
  <si>
    <t xml:space="preserve">Cr</t>
  </si>
  <si>
    <t xml:space="preserve">Asset account (cost)</t>
  </si>
  <si>
    <t xml:space="preserve">Provision for depreciation</t>
  </si>
  <si>
    <t xml:space="preserve">Income statement (profit on disposal)</t>
  </si>
  <si>
    <t xml:space="preserve">Bank (sale proceeds)</t>
  </si>
  <si>
    <t xml:space="preserve">Income statement (loss on disposal)</t>
  </si>
  <si>
    <t xml:space="preserve">Practice: Depreciation questions</t>
  </si>
  <si>
    <t xml:space="preserve">Type your answers in the yellow cells. The Check column marks them.</t>
  </si>
  <si>
    <t xml:space="preserve">Use the data below. Show workings on paper, then enter the final figure.</t>
  </si>
  <si>
    <t xml:space="preserve">Q1 (Model Question 10.2): straight line</t>
  </si>
  <si>
    <t xml:space="preserve">Residual value</t>
  </si>
  <si>
    <t xml:space="preserve">Useful life (years)</t>
  </si>
  <si>
    <t xml:space="preserve">Q2 (Model Question 10.9): Musa's machine, reducing balance</t>
  </si>
  <si>
    <t xml:space="preserve">Cost on 1 January 2023</t>
  </si>
  <si>
    <t xml:space="preserve">Reducing balance rate</t>
  </si>
  <si>
    <t xml:space="preserve">Sale proceeds on 1 January 2026</t>
  </si>
  <si>
    <t xml:space="preserve">Q3 (Model Question 10.7): loose tools</t>
  </si>
  <si>
    <t xml:space="preserve">Value at start of year</t>
  </si>
  <si>
    <t xml:space="preserve">Bought during year</t>
  </si>
  <si>
    <t xml:space="preserve">Value at end of year</t>
  </si>
  <si>
    <t xml:space="preserve">Q4 (Model Question 10.10): part year</t>
  </si>
  <si>
    <t xml:space="preserve">Rate on cost per year</t>
  </si>
  <si>
    <t xml:space="preserve">Months owned in 2025</t>
  </si>
  <si>
    <t xml:space="preserve">Question</t>
  </si>
  <si>
    <t xml:space="preserve">Your answer</t>
  </si>
  <si>
    <t xml:space="preserve">Check</t>
  </si>
  <si>
    <t xml:space="preserve">Q1 Straight line</t>
  </si>
  <si>
    <t xml:space="preserve">Annual depreciation</t>
  </si>
  <si>
    <t xml:space="preserve">NBV at the end of Year 2</t>
  </si>
  <si>
    <t xml:space="preserve">Q2 Reducing balance and disposal</t>
  </si>
  <si>
    <t xml:space="preserve">Depreciation for 2023</t>
  </si>
  <si>
    <t xml:space="preserve">Depreciation for 2024</t>
  </si>
  <si>
    <t xml:space="preserve">Depreciation for 2025</t>
  </si>
  <si>
    <t xml:space="preserve">Accumulated depreciation at 31 December 2025</t>
  </si>
  <si>
    <t xml:space="preserve">NBV at 31 December 2025</t>
  </si>
  <si>
    <t xml:space="preserve">Amount of profit or loss on disposal (positive number)</t>
  </si>
  <si>
    <t xml:space="preserve">Profit or loss?</t>
  </si>
  <si>
    <t xml:space="preserve">Q3 Revaluation</t>
  </si>
  <si>
    <t xml:space="preserve">Depreciation of loose tools</t>
  </si>
  <si>
    <t xml:space="preserve">Q4 Part year</t>
  </si>
  <si>
    <t xml:space="preserve">Depreciation for 2025 (monthly basis)</t>
  </si>
  <si>
    <t xml:space="preserve">Your score (number correct)</t>
  </si>
  <si>
    <t xml:space="preserve">Practice: Depreciation questions: Answers</t>
  </si>
  <si>
    <t xml:space="preserve">Every answer is a formula linked to the Practice sheet data.</t>
  </si>
  <si>
    <t xml:space="preserve">Answer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</si>
</sst>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;\(#,##0\);\-"/>
    <numFmt numFmtId="166" formatCode="0"/>
    <numFmt numFmtId="167" formatCode="#,##0.00;\(#,##0.00\);\-"/>
    <numFmt numFmtId="168" formatCode="0.0%"/>
    <numFmt numFmtId="169" formatCode="@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color rgb="FF555555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i val="true"/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9E1F2"/>
        <bgColor rgb="FFCCFFFF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 style="thin"/>
      <bottom style="double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b val="1"/>
        <color rgb="FF006100"/>
      </font>
    </dxf>
    <dxf>
      <font>
        <name val="Arial"/>
        <charset val="1"/>
        <family val="0"/>
        <b val="1"/>
        <color rgb="FF9C0006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0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B4" s="3" t="s">
        <v>2</v>
      </c>
    </row>
    <row r="5" customFormat="false" ht="15" hidden="false" customHeight="false" outlineLevel="0" collapsed="false">
      <c r="B5" s="4" t="s">
        <v>3</v>
      </c>
    </row>
    <row r="6" customFormat="false" ht="15" hidden="false" customHeight="false" outlineLevel="0" collapsed="false">
      <c r="B6" s="4" t="s">
        <v>4</v>
      </c>
    </row>
    <row r="7" customFormat="false" ht="15" hidden="false" customHeight="false" outlineLevel="0" collapsed="false">
      <c r="B7" s="4" t="s">
        <v>5</v>
      </c>
    </row>
    <row r="8" customFormat="false" ht="15" hidden="false" customHeight="false" outlineLevel="0" collapsed="false">
      <c r="B8" s="4" t="s">
        <v>6</v>
      </c>
    </row>
    <row r="9" customFormat="false" ht="15" hidden="false" customHeight="false" outlineLevel="0" collapsed="false">
      <c r="B9" s="4"/>
    </row>
    <row r="10" customFormat="false" ht="15" hidden="false" customHeight="false" outlineLevel="0" collapsed="false">
      <c r="B10" s="3" t="s">
        <v>7</v>
      </c>
    </row>
    <row r="11" customFormat="false" ht="15" hidden="false" customHeight="false" outlineLevel="0" collapsed="false">
      <c r="B11" s="5" t="s">
        <v>8</v>
      </c>
    </row>
    <row r="12" customFormat="false" ht="15" hidden="false" customHeight="false" outlineLevel="0" collapsed="false">
      <c r="B12" s="4" t="s">
        <v>9</v>
      </c>
    </row>
    <row r="13" customFormat="false" ht="15" hidden="false" customHeight="false" outlineLevel="0" collapsed="false">
      <c r="B13" s="6" t="s">
        <v>10</v>
      </c>
    </row>
    <row r="14" customFormat="false" ht="15" hidden="false" customHeight="false" outlineLevel="0" collapsed="false">
      <c r="B14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3" min="2" style="0" width="16"/>
    <col collapsed="false" customWidth="true" hidden="false" outlineLevel="0" max="4" min="4" style="0" width="18"/>
    <col collapsed="false" customWidth="true" hidden="false" outlineLevel="0" max="5" min="5" style="0" width="16"/>
  </cols>
  <sheetData>
    <row r="1" customFormat="false" ht="17.35" hidden="false" customHeight="false" outlineLevel="0" collapsed="false">
      <c r="A1" s="1" t="s">
        <v>11</v>
      </c>
    </row>
    <row r="2" customFormat="false" ht="15" hidden="false" customHeight="false" outlineLevel="0" collapsed="false">
      <c r="A2" s="2" t="s">
        <v>12</v>
      </c>
    </row>
    <row r="4" customFormat="false" ht="15" hidden="false" customHeight="false" outlineLevel="0" collapsed="false">
      <c r="A4" s="4" t="s">
        <v>13</v>
      </c>
      <c r="B4" s="7" t="n">
        <v>20000</v>
      </c>
    </row>
    <row r="5" customFormat="false" ht="15" hidden="false" customHeight="false" outlineLevel="0" collapsed="false">
      <c r="A5" s="4" t="s">
        <v>14</v>
      </c>
      <c r="B5" s="7" t="n">
        <v>2000</v>
      </c>
    </row>
    <row r="6" customFormat="false" ht="15" hidden="false" customHeight="false" outlineLevel="0" collapsed="false">
      <c r="A6" s="4" t="s">
        <v>15</v>
      </c>
      <c r="B6" s="8" t="n">
        <v>4</v>
      </c>
    </row>
    <row r="7" customFormat="false" ht="15" hidden="false" customHeight="false" outlineLevel="0" collapsed="false">
      <c r="A7" s="3" t="s">
        <v>16</v>
      </c>
      <c r="B7" s="9" t="n">
        <f aca="false">(B4-B5)/B6</f>
        <v>4500</v>
      </c>
    </row>
    <row r="9" customFormat="false" ht="26.85" hidden="false" customHeight="false" outlineLevel="0" collapsed="false">
      <c r="A9" s="10" t="s">
        <v>17</v>
      </c>
      <c r="B9" s="10" t="s">
        <v>18</v>
      </c>
      <c r="C9" s="10" t="s">
        <v>19</v>
      </c>
      <c r="D9" s="10" t="s">
        <v>20</v>
      </c>
      <c r="E9" s="10" t="s">
        <v>21</v>
      </c>
    </row>
    <row r="10" customFormat="false" ht="15" hidden="false" customHeight="false" outlineLevel="0" collapsed="false">
      <c r="A10" s="11" t="n">
        <f aca="false">IF(1&lt;=$B$6,1,"")</f>
        <v>1</v>
      </c>
      <c r="B10" s="12" t="n">
        <f aca="false">IF(A10="","",$B$4)</f>
        <v>20000</v>
      </c>
      <c r="C10" s="12" t="n">
        <f aca="false">IF(A10="","",$B$7)</f>
        <v>4500</v>
      </c>
      <c r="D10" s="12" t="n">
        <f aca="false">IF(A10="","",C10)</f>
        <v>4500</v>
      </c>
      <c r="E10" s="12" t="n">
        <f aca="false">IF(A10="","",B10-C10)</f>
        <v>15500</v>
      </c>
    </row>
    <row r="11" customFormat="false" ht="15" hidden="false" customHeight="false" outlineLevel="0" collapsed="false">
      <c r="A11" s="11" t="n">
        <f aca="false">IF(2&lt;=$B$6,2,"")</f>
        <v>2</v>
      </c>
      <c r="B11" s="12" t="n">
        <f aca="false">IF(A11="","",E10)</f>
        <v>15500</v>
      </c>
      <c r="C11" s="12" t="n">
        <f aca="false">IF(A11="","",$B$7)</f>
        <v>4500</v>
      </c>
      <c r="D11" s="12" t="n">
        <f aca="false">IF(A11="","",D10+C11)</f>
        <v>9000</v>
      </c>
      <c r="E11" s="12" t="n">
        <f aca="false">IF(A11="","",B11-C11)</f>
        <v>11000</v>
      </c>
    </row>
    <row r="12" customFormat="false" ht="15" hidden="false" customHeight="false" outlineLevel="0" collapsed="false">
      <c r="A12" s="11" t="n">
        <f aca="false">IF(3&lt;=$B$6,3,"")</f>
        <v>3</v>
      </c>
      <c r="B12" s="12" t="n">
        <f aca="false">IF(A12="","",E11)</f>
        <v>11000</v>
      </c>
      <c r="C12" s="12" t="n">
        <f aca="false">IF(A12="","",$B$7)</f>
        <v>4500</v>
      </c>
      <c r="D12" s="12" t="n">
        <f aca="false">IF(A12="","",D11+C12)</f>
        <v>13500</v>
      </c>
      <c r="E12" s="12" t="n">
        <f aca="false">IF(A12="","",B12-C12)</f>
        <v>6500</v>
      </c>
    </row>
    <row r="13" customFormat="false" ht="15" hidden="false" customHeight="false" outlineLevel="0" collapsed="false">
      <c r="A13" s="11" t="n">
        <f aca="false">IF(4&lt;=$B$6,4,"")</f>
        <v>4</v>
      </c>
      <c r="B13" s="12" t="n">
        <f aca="false">IF(A13="","",E12)</f>
        <v>6500</v>
      </c>
      <c r="C13" s="12" t="n">
        <f aca="false">IF(A13="","",$B$7)</f>
        <v>4500</v>
      </c>
      <c r="D13" s="12" t="n">
        <f aca="false">IF(A13="","",D12+C13)</f>
        <v>18000</v>
      </c>
      <c r="E13" s="12" t="n">
        <f aca="false">IF(A13="","",B13-C13)</f>
        <v>2000</v>
      </c>
    </row>
    <row r="14" customFormat="false" ht="15" hidden="false" customHeight="false" outlineLevel="0" collapsed="false">
      <c r="A14" s="11" t="str">
        <f aca="false">IF(5&lt;=$B$6,5,"")</f>
        <v/>
      </c>
      <c r="B14" s="12" t="str">
        <f aca="false">IF(A14="","",E13)</f>
        <v/>
      </c>
      <c r="C14" s="12" t="str">
        <f aca="false">IF(A14="","",$B$7)</f>
        <v/>
      </c>
      <c r="D14" s="12" t="str">
        <f aca="false">IF(A14="","",D13+C14)</f>
        <v/>
      </c>
      <c r="E14" s="12" t="str">
        <f aca="false">IF(A14="","",B14-C14)</f>
        <v/>
      </c>
    </row>
    <row r="15" customFormat="false" ht="15" hidden="false" customHeight="false" outlineLevel="0" collapsed="false">
      <c r="A15" s="11" t="str">
        <f aca="false">IF(6&lt;=$B$6,6,"")</f>
        <v/>
      </c>
      <c r="B15" s="12" t="str">
        <f aca="false">IF(A15="","",E14)</f>
        <v/>
      </c>
      <c r="C15" s="12" t="str">
        <f aca="false">IF(A15="","",$B$7)</f>
        <v/>
      </c>
      <c r="D15" s="12" t="str">
        <f aca="false">IF(A15="","",D14+C15)</f>
        <v/>
      </c>
      <c r="E15" s="12" t="str">
        <f aca="false">IF(A15="","",B15-C15)</f>
        <v/>
      </c>
    </row>
    <row r="16" customFormat="false" ht="15" hidden="false" customHeight="false" outlineLevel="0" collapsed="false">
      <c r="A16" s="11" t="str">
        <f aca="false">IF(7&lt;=$B$6,7,"")</f>
        <v/>
      </c>
      <c r="B16" s="12" t="str">
        <f aca="false">IF(A16="","",E15)</f>
        <v/>
      </c>
      <c r="C16" s="12" t="str">
        <f aca="false">IF(A16="","",$B$7)</f>
        <v/>
      </c>
      <c r="D16" s="12" t="str">
        <f aca="false">IF(A16="","",D15+C16)</f>
        <v/>
      </c>
      <c r="E16" s="12" t="str">
        <f aca="false">IF(A16="","",B16-C16)</f>
        <v/>
      </c>
    </row>
    <row r="17" customFormat="false" ht="15" hidden="false" customHeight="false" outlineLevel="0" collapsed="false">
      <c r="A17" s="11" t="str">
        <f aca="false">IF(8&lt;=$B$6,8,"")</f>
        <v/>
      </c>
      <c r="B17" s="12" t="str">
        <f aca="false">IF(A17="","",E16)</f>
        <v/>
      </c>
      <c r="C17" s="12" t="str">
        <f aca="false">IF(A17="","",$B$7)</f>
        <v/>
      </c>
      <c r="D17" s="12" t="str">
        <f aca="false">IF(A17="","",D16+C17)</f>
        <v/>
      </c>
      <c r="E17" s="12" t="str">
        <f aca="false">IF(A17="","",B17-C17)</f>
        <v/>
      </c>
    </row>
    <row r="18" customFormat="false" ht="15" hidden="false" customHeight="false" outlineLevel="0" collapsed="false">
      <c r="A18" s="11" t="str">
        <f aca="false">IF(9&lt;=$B$6,9,"")</f>
        <v/>
      </c>
      <c r="B18" s="12" t="str">
        <f aca="false">IF(A18="","",E17)</f>
        <v/>
      </c>
      <c r="C18" s="12" t="str">
        <f aca="false">IF(A18="","",$B$7)</f>
        <v/>
      </c>
      <c r="D18" s="12" t="str">
        <f aca="false">IF(A18="","",D17+C18)</f>
        <v/>
      </c>
      <c r="E18" s="12" t="str">
        <f aca="false">IF(A18="","",B18-C18)</f>
        <v/>
      </c>
    </row>
    <row r="19" customFormat="false" ht="15" hidden="false" customHeight="false" outlineLevel="0" collapsed="false">
      <c r="A19" s="11" t="str">
        <f aca="false">IF(10&lt;=$B$6,10,"")</f>
        <v/>
      </c>
      <c r="B19" s="12" t="str">
        <f aca="false">IF(A19="","",E18)</f>
        <v/>
      </c>
      <c r="C19" s="12" t="str">
        <f aca="false">IF(A19="","",$B$7)</f>
        <v/>
      </c>
      <c r="D19" s="12" t="str">
        <f aca="false">IF(A19="","",D18+C19)</f>
        <v/>
      </c>
      <c r="E19" s="12" t="str">
        <f aca="false">IF(A19="","",B19-C19)</f>
        <v/>
      </c>
    </row>
    <row r="21" customFormat="false" ht="15" hidden="false" customHeight="false" outlineLevel="0" collapsed="false">
      <c r="A21" s="13" t="s">
        <v>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3" min="2" style="0" width="16"/>
    <col collapsed="false" customWidth="true" hidden="false" outlineLevel="0" max="4" min="4" style="0" width="18"/>
    <col collapsed="false" customWidth="true" hidden="false" outlineLevel="0" max="5" min="5" style="0" width="16"/>
  </cols>
  <sheetData>
    <row r="1" customFormat="false" ht="17.35" hidden="false" customHeight="false" outlineLevel="0" collapsed="false">
      <c r="A1" s="1" t="s">
        <v>23</v>
      </c>
    </row>
    <row r="2" customFormat="false" ht="15" hidden="false" customHeight="false" outlineLevel="0" collapsed="false">
      <c r="A2" s="2" t="s">
        <v>24</v>
      </c>
    </row>
    <row r="4" customFormat="false" ht="15" hidden="false" customHeight="false" outlineLevel="0" collapsed="false">
      <c r="A4" s="4" t="s">
        <v>13</v>
      </c>
      <c r="B4" s="7" t="n">
        <v>10000</v>
      </c>
    </row>
    <row r="5" customFormat="false" ht="15" hidden="false" customHeight="false" outlineLevel="0" collapsed="false">
      <c r="A5" s="4" t="s">
        <v>25</v>
      </c>
      <c r="B5" s="14" t="n">
        <v>0.2</v>
      </c>
    </row>
    <row r="7" customFormat="false" ht="26.85" hidden="false" customHeight="false" outlineLevel="0" collapsed="false">
      <c r="A7" s="10" t="s">
        <v>17</v>
      </c>
      <c r="B7" s="10" t="s">
        <v>18</v>
      </c>
      <c r="C7" s="10" t="s">
        <v>19</v>
      </c>
      <c r="D7" s="10" t="s">
        <v>20</v>
      </c>
      <c r="E7" s="10" t="s">
        <v>21</v>
      </c>
    </row>
    <row r="8" customFormat="false" ht="15" hidden="false" customHeight="false" outlineLevel="0" collapsed="false">
      <c r="A8" s="11" t="n">
        <v>1</v>
      </c>
      <c r="B8" s="12" t="n">
        <f aca="false">$B$4</f>
        <v>10000</v>
      </c>
      <c r="C8" s="12" t="n">
        <f aca="false">ROUND(B8*$B$5,2)</f>
        <v>2000</v>
      </c>
      <c r="D8" s="12" t="n">
        <f aca="false">C8</f>
        <v>2000</v>
      </c>
      <c r="E8" s="12" t="n">
        <f aca="false">B8-C8</f>
        <v>8000</v>
      </c>
    </row>
    <row r="9" customFormat="false" ht="15" hidden="false" customHeight="false" outlineLevel="0" collapsed="false">
      <c r="A9" s="11" t="n">
        <v>2</v>
      </c>
      <c r="B9" s="12" t="n">
        <f aca="false">E8</f>
        <v>8000</v>
      </c>
      <c r="C9" s="12" t="n">
        <f aca="false">ROUND(B9*$B$5,2)</f>
        <v>1600</v>
      </c>
      <c r="D9" s="12" t="n">
        <f aca="false">D8+C9</f>
        <v>3600</v>
      </c>
      <c r="E9" s="12" t="n">
        <f aca="false">B9-C9</f>
        <v>6400</v>
      </c>
    </row>
    <row r="10" customFormat="false" ht="15" hidden="false" customHeight="false" outlineLevel="0" collapsed="false">
      <c r="A10" s="11" t="n">
        <v>3</v>
      </c>
      <c r="B10" s="12" t="n">
        <f aca="false">E9</f>
        <v>6400</v>
      </c>
      <c r="C10" s="12" t="n">
        <f aca="false">ROUND(B10*$B$5,2)</f>
        <v>1280</v>
      </c>
      <c r="D10" s="12" t="n">
        <f aca="false">D9+C10</f>
        <v>4880</v>
      </c>
      <c r="E10" s="12" t="n">
        <f aca="false">B10-C10</f>
        <v>5120</v>
      </c>
    </row>
    <row r="11" customFormat="false" ht="15" hidden="false" customHeight="false" outlineLevel="0" collapsed="false">
      <c r="A11" s="11" t="n">
        <v>4</v>
      </c>
      <c r="B11" s="12" t="n">
        <f aca="false">E10</f>
        <v>5120</v>
      </c>
      <c r="C11" s="12" t="n">
        <f aca="false">ROUND(B11*$B$5,2)</f>
        <v>1024</v>
      </c>
      <c r="D11" s="12" t="n">
        <f aca="false">D10+C11</f>
        <v>5904</v>
      </c>
      <c r="E11" s="12" t="n">
        <f aca="false">B11-C11</f>
        <v>4096</v>
      </c>
    </row>
    <row r="12" customFormat="false" ht="15" hidden="false" customHeight="false" outlineLevel="0" collapsed="false">
      <c r="A12" s="11" t="n">
        <v>5</v>
      </c>
      <c r="B12" s="12" t="n">
        <f aca="false">E11</f>
        <v>4096</v>
      </c>
      <c r="C12" s="12" t="n">
        <f aca="false">ROUND(B12*$B$5,2)</f>
        <v>819.2</v>
      </c>
      <c r="D12" s="12" t="n">
        <f aca="false">D11+C12</f>
        <v>6723.2</v>
      </c>
      <c r="E12" s="12" t="n">
        <f aca="false">B12-C12</f>
        <v>3276.8</v>
      </c>
    </row>
    <row r="13" customFormat="false" ht="15" hidden="false" customHeight="false" outlineLevel="0" collapsed="false">
      <c r="A13" s="11" t="n">
        <v>6</v>
      </c>
      <c r="B13" s="12" t="n">
        <f aca="false">E12</f>
        <v>3276.8</v>
      </c>
      <c r="C13" s="12" t="n">
        <f aca="false">ROUND(B13*$B$5,2)</f>
        <v>655.36</v>
      </c>
      <c r="D13" s="12" t="n">
        <f aca="false">D12+C13</f>
        <v>7378.56</v>
      </c>
      <c r="E13" s="12" t="n">
        <f aca="false">B13-C13</f>
        <v>2621.44</v>
      </c>
    </row>
    <row r="15" customFormat="false" ht="15" hidden="false" customHeight="false" outlineLevel="0" collapsed="false">
      <c r="A15" s="13" t="s">
        <v>26</v>
      </c>
    </row>
    <row r="16" customFormat="false" ht="15" hidden="false" customHeight="false" outlineLevel="0" collapsed="false">
      <c r="A16" s="13" t="s">
        <v>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5" min="2" style="0" width="22"/>
  </cols>
  <sheetData>
    <row r="1" customFormat="false" ht="17.35" hidden="false" customHeight="false" outlineLevel="0" collapsed="false">
      <c r="A1" s="1" t="s">
        <v>28</v>
      </c>
    </row>
    <row r="2" customFormat="false" ht="15" hidden="false" customHeight="false" outlineLevel="0" collapsed="false">
      <c r="A2" s="2" t="s">
        <v>29</v>
      </c>
    </row>
    <row r="4" customFormat="false" ht="15" hidden="false" customHeight="false" outlineLevel="0" collapsed="false">
      <c r="A4" s="4" t="s">
        <v>30</v>
      </c>
      <c r="B4" s="7" t="n">
        <v>16000</v>
      </c>
    </row>
    <row r="5" customFormat="false" ht="15" hidden="false" customHeight="false" outlineLevel="0" collapsed="false">
      <c r="A5" s="4" t="s">
        <v>31</v>
      </c>
      <c r="B5" s="14" t="n">
        <v>0.25</v>
      </c>
      <c r="C5" s="13" t="s">
        <v>32</v>
      </c>
    </row>
    <row r="7" customFormat="false" ht="15" hidden="false" customHeight="false" outlineLevel="0" collapsed="false">
      <c r="A7" s="10" t="s">
        <v>17</v>
      </c>
      <c r="B7" s="10" t="s">
        <v>33</v>
      </c>
      <c r="C7" s="10" t="s">
        <v>34</v>
      </c>
      <c r="D7" s="10" t="s">
        <v>35</v>
      </c>
      <c r="E7" s="10" t="s">
        <v>36</v>
      </c>
    </row>
    <row r="8" customFormat="false" ht="15" hidden="false" customHeight="false" outlineLevel="0" collapsed="false">
      <c r="A8" s="11" t="n">
        <v>1</v>
      </c>
      <c r="B8" s="15" t="n">
        <f aca="false">$B$4*$B$5</f>
        <v>4000</v>
      </c>
      <c r="C8" s="15" t="n">
        <f aca="false">$B$4-B8</f>
        <v>12000</v>
      </c>
      <c r="D8" s="12" t="n">
        <f aca="false">ROUND($B$4*$B$5,2)</f>
        <v>4000</v>
      </c>
      <c r="E8" s="12" t="n">
        <f aca="false">$B$4-D8</f>
        <v>12000</v>
      </c>
    </row>
    <row r="9" customFormat="false" ht="15" hidden="false" customHeight="false" outlineLevel="0" collapsed="false">
      <c r="A9" s="11" t="n">
        <v>2</v>
      </c>
      <c r="B9" s="15" t="n">
        <f aca="false">$B$4*$B$5</f>
        <v>4000</v>
      </c>
      <c r="C9" s="15" t="n">
        <f aca="false">C8-B9</f>
        <v>8000</v>
      </c>
      <c r="D9" s="12" t="n">
        <f aca="false">ROUND(E8*$B$5,2)</f>
        <v>3000</v>
      </c>
      <c r="E9" s="12" t="n">
        <f aca="false">E8-D9</f>
        <v>9000</v>
      </c>
    </row>
    <row r="10" customFormat="false" ht="15" hidden="false" customHeight="false" outlineLevel="0" collapsed="false">
      <c r="A10" s="11" t="n">
        <v>3</v>
      </c>
      <c r="B10" s="15" t="n">
        <f aca="false">$B$4*$B$5</f>
        <v>4000</v>
      </c>
      <c r="C10" s="15" t="n">
        <f aca="false">C9-B10</f>
        <v>4000</v>
      </c>
      <c r="D10" s="12" t="n">
        <f aca="false">ROUND(E9*$B$5,2)</f>
        <v>2250</v>
      </c>
      <c r="E10" s="12" t="n">
        <f aca="false">E9-D10</f>
        <v>6750</v>
      </c>
    </row>
    <row r="11" customFormat="false" ht="15" hidden="false" customHeight="false" outlineLevel="0" collapsed="false">
      <c r="A11" s="11" t="n">
        <v>4</v>
      </c>
      <c r="B11" s="15" t="n">
        <f aca="false">$B$4*$B$5</f>
        <v>4000</v>
      </c>
      <c r="C11" s="15" t="n">
        <f aca="false">C10-B11</f>
        <v>0</v>
      </c>
      <c r="D11" s="12" t="n">
        <f aca="false">ROUND(E10*$B$5,2)</f>
        <v>1687.5</v>
      </c>
      <c r="E11" s="12" t="n">
        <f aca="false">E10-D11</f>
        <v>5062.5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6"/>
  </cols>
  <sheetData>
    <row r="1" customFormat="false" ht="17.35" hidden="false" customHeight="false" outlineLevel="0" collapsed="false">
      <c r="A1" s="1" t="s">
        <v>37</v>
      </c>
    </row>
    <row r="2" customFormat="false" ht="15" hidden="false" customHeight="false" outlineLevel="0" collapsed="false">
      <c r="A2" s="2" t="s">
        <v>38</v>
      </c>
    </row>
    <row r="4" customFormat="false" ht="15" hidden="false" customHeight="false" outlineLevel="0" collapsed="false">
      <c r="A4" s="4" t="s">
        <v>39</v>
      </c>
      <c r="B4" s="7" t="n">
        <v>1200</v>
      </c>
    </row>
    <row r="5" customFormat="false" ht="15" hidden="false" customHeight="false" outlineLevel="0" collapsed="false">
      <c r="A5" s="4" t="s">
        <v>40</v>
      </c>
      <c r="B5" s="7" t="n">
        <v>500</v>
      </c>
    </row>
    <row r="6" customFormat="false" ht="15" hidden="false" customHeight="false" outlineLevel="0" collapsed="false">
      <c r="B6" s="16" t="n">
        <f aca="false">B4+B5</f>
        <v>1700</v>
      </c>
    </row>
    <row r="7" customFormat="false" ht="15" hidden="false" customHeight="false" outlineLevel="0" collapsed="false">
      <c r="A7" s="4" t="s">
        <v>41</v>
      </c>
      <c r="B7" s="7" t="n">
        <v>1100</v>
      </c>
    </row>
    <row r="8" customFormat="false" ht="15" hidden="false" customHeight="false" outlineLevel="0" collapsed="false">
      <c r="A8" s="3" t="s">
        <v>42</v>
      </c>
      <c r="B8" s="17" t="n">
        <f aca="false">B6-B7</f>
        <v>600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16"/>
  </cols>
  <sheetData>
    <row r="1" customFormat="false" ht="17.35" hidden="false" customHeight="false" outlineLevel="0" collapsed="false">
      <c r="A1" s="1" t="s">
        <v>43</v>
      </c>
    </row>
    <row r="2" customFormat="false" ht="15" hidden="false" customHeight="false" outlineLevel="0" collapsed="false">
      <c r="A2" s="2" t="s">
        <v>44</v>
      </c>
    </row>
    <row r="4" customFormat="false" ht="15" hidden="false" customHeight="false" outlineLevel="0" collapsed="false">
      <c r="A4" s="4" t="s">
        <v>45</v>
      </c>
      <c r="B4" s="7" t="n">
        <v>12000</v>
      </c>
    </row>
    <row r="5" customFormat="false" ht="15" hidden="false" customHeight="false" outlineLevel="0" collapsed="false">
      <c r="A5" s="4" t="s">
        <v>46</v>
      </c>
      <c r="B5" s="14" t="n">
        <v>0.1</v>
      </c>
    </row>
    <row r="6" customFormat="false" ht="15" hidden="false" customHeight="false" outlineLevel="0" collapsed="false">
      <c r="A6" s="4" t="s">
        <v>47</v>
      </c>
      <c r="B6" s="8" t="n">
        <v>9</v>
      </c>
    </row>
    <row r="8" customFormat="false" ht="15" hidden="false" customHeight="false" outlineLevel="0" collapsed="false">
      <c r="A8" s="4" t="s">
        <v>48</v>
      </c>
      <c r="B8" s="15" t="n">
        <f aca="false">B4*B5</f>
        <v>1200</v>
      </c>
    </row>
    <row r="9" customFormat="false" ht="15" hidden="false" customHeight="false" outlineLevel="0" collapsed="false">
      <c r="A9" s="3" t="s">
        <v>49</v>
      </c>
      <c r="B9" s="18" t="n">
        <f aca="false">B8*B6/12</f>
        <v>900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6"/>
    <col collapsed="false" customWidth="true" hidden="false" outlineLevel="0" max="3" min="3" style="0" width="3"/>
    <col collapsed="false" customWidth="true" hidden="false" outlineLevel="0" max="4" min="4" style="0" width="40"/>
    <col collapsed="false" customWidth="true" hidden="false" outlineLevel="0" max="5" min="5" style="0" width="16"/>
  </cols>
  <sheetData>
    <row r="1" customFormat="false" ht="17.35" hidden="false" customHeight="false" outlineLevel="0" collapsed="false">
      <c r="A1" s="1" t="s">
        <v>50</v>
      </c>
    </row>
    <row r="2" customFormat="false" ht="15" hidden="false" customHeight="false" outlineLevel="0" collapsed="false">
      <c r="A2" s="2" t="s">
        <v>51</v>
      </c>
    </row>
    <row r="4" customFormat="false" ht="15" hidden="false" customHeight="false" outlineLevel="0" collapsed="false">
      <c r="A4" s="4" t="s">
        <v>45</v>
      </c>
      <c r="B4" s="7" t="n">
        <v>30000</v>
      </c>
    </row>
    <row r="5" customFormat="false" ht="15" hidden="false" customHeight="false" outlineLevel="0" collapsed="false">
      <c r="A5" s="4" t="s">
        <v>52</v>
      </c>
      <c r="B5" s="7" t="n">
        <v>18000</v>
      </c>
    </row>
    <row r="6" customFormat="false" ht="15" hidden="false" customHeight="false" outlineLevel="0" collapsed="false">
      <c r="A6" s="4" t="s">
        <v>53</v>
      </c>
      <c r="B6" s="7" t="n">
        <v>10000</v>
      </c>
    </row>
    <row r="8" customFormat="false" ht="15" hidden="false" customHeight="false" outlineLevel="0" collapsed="false">
      <c r="A8" s="4" t="s">
        <v>54</v>
      </c>
      <c r="B8" s="15" t="n">
        <f aca="false">B4-B5</f>
        <v>12000</v>
      </c>
    </row>
    <row r="9" customFormat="false" ht="15" hidden="false" customHeight="false" outlineLevel="0" collapsed="false">
      <c r="A9" s="3" t="s">
        <v>55</v>
      </c>
      <c r="B9" s="18" t="n">
        <f aca="false">B6-B8</f>
        <v>-2000</v>
      </c>
    </row>
    <row r="10" customFormat="false" ht="15" hidden="false" customHeight="false" outlineLevel="0" collapsed="false">
      <c r="A10" s="4" t="str">
        <f aca="false">IF(B9&gt;0,"Profit on disposal: other income in the SPL",IF(B9&lt;0,"Loss on disposal: expense in the SPL","No profit or loss"))</f>
        <v>Loss on disposal: expense in the SPL</v>
      </c>
    </row>
    <row r="12" customFormat="false" ht="15" hidden="false" customHeight="false" outlineLevel="0" collapsed="false">
      <c r="A12" s="3" t="s">
        <v>56</v>
      </c>
    </row>
    <row r="13" customFormat="false" ht="15" hidden="false" customHeight="false" outlineLevel="0" collapsed="false">
      <c r="A13" s="10" t="s">
        <v>57</v>
      </c>
      <c r="B13" s="10" t="s">
        <v>58</v>
      </c>
      <c r="C13" s="10"/>
      <c r="D13" s="10" t="s">
        <v>59</v>
      </c>
      <c r="E13" s="10" t="s">
        <v>58</v>
      </c>
    </row>
    <row r="14" customFormat="false" ht="15" hidden="false" customHeight="false" outlineLevel="0" collapsed="false">
      <c r="A14" s="0" t="s">
        <v>60</v>
      </c>
      <c r="B14" s="15" t="n">
        <f aca="false">B4</f>
        <v>30000</v>
      </c>
      <c r="D14" s="19" t="s">
        <v>61</v>
      </c>
      <c r="E14" s="15" t="n">
        <f aca="false">B5</f>
        <v>18000</v>
      </c>
    </row>
    <row r="15" customFormat="false" ht="15" hidden="false" customHeight="false" outlineLevel="0" collapsed="false">
      <c r="A15" s="0" t="s">
        <v>62</v>
      </c>
      <c r="B15" s="15" t="n">
        <f aca="false">MAX(B9,0)</f>
        <v>0</v>
      </c>
      <c r="D15" s="19" t="s">
        <v>63</v>
      </c>
      <c r="E15" s="15" t="n">
        <f aca="false">B6</f>
        <v>10000</v>
      </c>
    </row>
    <row r="16" customFormat="false" ht="15" hidden="false" customHeight="false" outlineLevel="0" collapsed="false">
      <c r="D16" s="0" t="s">
        <v>64</v>
      </c>
      <c r="E16" s="15" t="n">
        <f aca="false">MAX(-B9,0)</f>
        <v>2000</v>
      </c>
    </row>
    <row r="17" customFormat="false" ht="15" hidden="false" customHeight="false" outlineLevel="0" collapsed="false">
      <c r="B17" s="17" t="n">
        <f aca="false">SUM(B14:B16)</f>
        <v>30000</v>
      </c>
      <c r="E17" s="17" t="n">
        <f aca="false">SUM(E14:E16)</f>
        <v>30000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3" min="2" style="0" width="18"/>
    <col collapsed="false" customWidth="true" hidden="false" outlineLevel="0" max="5" min="4" style="0" width="14"/>
  </cols>
  <sheetData>
    <row r="1" customFormat="false" ht="17.35" hidden="false" customHeight="false" outlineLevel="0" collapsed="false">
      <c r="A1" s="1" t="s">
        <v>65</v>
      </c>
    </row>
    <row r="2" customFormat="false" ht="15" hidden="false" customHeight="false" outlineLevel="0" collapsed="false">
      <c r="A2" s="2" t="s">
        <v>66</v>
      </c>
    </row>
    <row r="3" customFormat="false" ht="15" hidden="false" customHeight="false" outlineLevel="0" collapsed="false">
      <c r="A3" s="4" t="s">
        <v>67</v>
      </c>
    </row>
    <row r="5" customFormat="false" ht="15" hidden="false" customHeight="false" outlineLevel="0" collapsed="false">
      <c r="A5" s="3" t="s">
        <v>68</v>
      </c>
    </row>
    <row r="6" customFormat="false" ht="15" hidden="false" customHeight="false" outlineLevel="0" collapsed="false">
      <c r="A6" s="4" t="s">
        <v>30</v>
      </c>
      <c r="B6" s="7" t="n">
        <v>25000</v>
      </c>
    </row>
    <row r="7" customFormat="false" ht="15" hidden="false" customHeight="false" outlineLevel="0" collapsed="false">
      <c r="A7" s="4" t="s">
        <v>69</v>
      </c>
      <c r="B7" s="7" t="n">
        <v>5000</v>
      </c>
    </row>
    <row r="8" customFormat="false" ht="15" hidden="false" customHeight="false" outlineLevel="0" collapsed="false">
      <c r="A8" s="4" t="s">
        <v>70</v>
      </c>
      <c r="B8" s="8" t="n">
        <v>5</v>
      </c>
    </row>
    <row r="9" customFormat="false" ht="15" hidden="false" customHeight="false" outlineLevel="0" collapsed="false">
      <c r="A9" s="3" t="s">
        <v>71</v>
      </c>
    </row>
    <row r="10" customFormat="false" ht="15" hidden="false" customHeight="false" outlineLevel="0" collapsed="false">
      <c r="A10" s="4" t="s">
        <v>72</v>
      </c>
      <c r="B10" s="7" t="n">
        <v>40000</v>
      </c>
    </row>
    <row r="11" customFormat="false" ht="15" hidden="false" customHeight="false" outlineLevel="0" collapsed="false">
      <c r="A11" s="4" t="s">
        <v>73</v>
      </c>
      <c r="B11" s="14" t="n">
        <v>0.25</v>
      </c>
    </row>
    <row r="12" customFormat="false" ht="15" hidden="false" customHeight="false" outlineLevel="0" collapsed="false">
      <c r="A12" s="4" t="s">
        <v>74</v>
      </c>
      <c r="B12" s="7" t="n">
        <v>15000</v>
      </c>
    </row>
    <row r="13" customFormat="false" ht="15" hidden="false" customHeight="false" outlineLevel="0" collapsed="false">
      <c r="A13" s="3" t="s">
        <v>75</v>
      </c>
    </row>
    <row r="14" customFormat="false" ht="15" hidden="false" customHeight="false" outlineLevel="0" collapsed="false">
      <c r="A14" s="4" t="s">
        <v>76</v>
      </c>
      <c r="B14" s="7" t="n">
        <v>2000</v>
      </c>
    </row>
    <row r="15" customFormat="false" ht="15" hidden="false" customHeight="false" outlineLevel="0" collapsed="false">
      <c r="A15" s="4" t="s">
        <v>77</v>
      </c>
      <c r="B15" s="7" t="n">
        <v>800</v>
      </c>
    </row>
    <row r="16" customFormat="false" ht="15" hidden="false" customHeight="false" outlineLevel="0" collapsed="false">
      <c r="A16" s="4" t="s">
        <v>78</v>
      </c>
      <c r="B16" s="7" t="n">
        <v>2100</v>
      </c>
    </row>
    <row r="17" customFormat="false" ht="15" hidden="false" customHeight="false" outlineLevel="0" collapsed="false">
      <c r="A17" s="3" t="s">
        <v>79</v>
      </c>
    </row>
    <row r="18" customFormat="false" ht="15" hidden="false" customHeight="false" outlineLevel="0" collapsed="false">
      <c r="A18" s="4" t="s">
        <v>30</v>
      </c>
      <c r="B18" s="7" t="n">
        <v>12000</v>
      </c>
    </row>
    <row r="19" customFormat="false" ht="15" hidden="false" customHeight="false" outlineLevel="0" collapsed="false">
      <c r="A19" s="4" t="s">
        <v>80</v>
      </c>
      <c r="B19" s="14" t="n">
        <v>0.1</v>
      </c>
    </row>
    <row r="20" customFormat="false" ht="15" hidden="false" customHeight="false" outlineLevel="0" collapsed="false">
      <c r="A20" s="4" t="s">
        <v>81</v>
      </c>
      <c r="B20" s="8" t="n">
        <v>9</v>
      </c>
    </row>
    <row r="22" customFormat="false" ht="15" hidden="false" customHeight="false" outlineLevel="0" collapsed="false">
      <c r="A22" s="10" t="s">
        <v>82</v>
      </c>
      <c r="B22" s="10" t="s">
        <v>83</v>
      </c>
      <c r="C22" s="10" t="s">
        <v>84</v>
      </c>
    </row>
    <row r="23" customFormat="false" ht="15" hidden="false" customHeight="false" outlineLevel="0" collapsed="false">
      <c r="A23" s="3" t="s">
        <v>85</v>
      </c>
    </row>
    <row r="24" customFormat="false" ht="15" hidden="false" customHeight="false" outlineLevel="0" collapsed="false">
      <c r="A24" s="4" t="s">
        <v>86</v>
      </c>
      <c r="B24" s="20"/>
      <c r="C24" s="3" t="str">
        <f aca="false">IF(B24="","",IFERROR(IF(ABS(B24-Answers!B24)&lt;0.5,"Correct","Try again"),"Enter a number"))</f>
        <v/>
      </c>
    </row>
    <row r="25" customFormat="false" ht="15" hidden="false" customHeight="false" outlineLevel="0" collapsed="false">
      <c r="A25" s="4" t="s">
        <v>87</v>
      </c>
      <c r="B25" s="20"/>
      <c r="C25" s="3" t="str">
        <f aca="false">IF(B25="","",IFERROR(IF(ABS(B25-Answers!B25)&lt;0.5,"Correct","Try again"),"Enter a number"))</f>
        <v/>
      </c>
    </row>
    <row r="26" customFormat="false" ht="15" hidden="false" customHeight="false" outlineLevel="0" collapsed="false">
      <c r="A26" s="3" t="s">
        <v>88</v>
      </c>
    </row>
    <row r="27" customFormat="false" ht="15" hidden="false" customHeight="false" outlineLevel="0" collapsed="false">
      <c r="A27" s="4" t="s">
        <v>89</v>
      </c>
      <c r="B27" s="20"/>
      <c r="C27" s="3" t="str">
        <f aca="false">IF(B27="","",IFERROR(IF(ABS(B27-Answers!B27)&lt;0.5,"Correct","Try again"),"Enter a number"))</f>
        <v/>
      </c>
    </row>
    <row r="28" customFormat="false" ht="15" hidden="false" customHeight="false" outlineLevel="0" collapsed="false">
      <c r="A28" s="4" t="s">
        <v>90</v>
      </c>
      <c r="B28" s="20"/>
      <c r="C28" s="3" t="str">
        <f aca="false">IF(B28="","",IFERROR(IF(ABS(B28-Answers!B28)&lt;0.5,"Correct","Try again"),"Enter a number"))</f>
        <v/>
      </c>
    </row>
    <row r="29" customFormat="false" ht="15" hidden="false" customHeight="false" outlineLevel="0" collapsed="false">
      <c r="A29" s="4" t="s">
        <v>91</v>
      </c>
      <c r="B29" s="20"/>
      <c r="C29" s="3" t="str">
        <f aca="false">IF(B29="","",IFERROR(IF(ABS(B29-Answers!B29)&lt;0.5,"Correct","Try again"),"Enter a number"))</f>
        <v/>
      </c>
    </row>
    <row r="30" customFormat="false" ht="15" hidden="false" customHeight="false" outlineLevel="0" collapsed="false">
      <c r="A30" s="4" t="s">
        <v>92</v>
      </c>
      <c r="B30" s="20"/>
      <c r="C30" s="3" t="str">
        <f aca="false">IF(B30="","",IFERROR(IF(ABS(B30-Answers!B30)&lt;0.5,"Correct","Try again"),"Enter a number"))</f>
        <v/>
      </c>
    </row>
    <row r="31" customFormat="false" ht="15" hidden="false" customHeight="false" outlineLevel="0" collapsed="false">
      <c r="A31" s="4" t="s">
        <v>93</v>
      </c>
      <c r="B31" s="20"/>
      <c r="C31" s="3" t="str">
        <f aca="false">IF(B31="","",IFERROR(IF(ABS(B31-Answers!B31)&lt;0.5,"Correct","Try again"),"Enter a number"))</f>
        <v/>
      </c>
    </row>
    <row r="32" customFormat="false" ht="15" hidden="false" customHeight="false" outlineLevel="0" collapsed="false">
      <c r="A32" s="4" t="s">
        <v>94</v>
      </c>
      <c r="B32" s="20"/>
      <c r="C32" s="3" t="str">
        <f aca="false">IF(B32="","",IFERROR(IF(ABS(B32-Answers!B32)&lt;0.5,"Correct","Try again"),"Enter a number"))</f>
        <v/>
      </c>
    </row>
    <row r="33" customFormat="false" ht="15" hidden="false" customHeight="false" outlineLevel="0" collapsed="false">
      <c r="A33" s="4" t="s">
        <v>95</v>
      </c>
      <c r="B33" s="21"/>
      <c r="C33" s="3" t="str">
        <f aca="false">IF(B33="","",IF(LOWER(TRIM(B33))=LOWER(Answers!B33),"Correct","Try again"))</f>
        <v/>
      </c>
    </row>
    <row r="34" customFormat="false" ht="15" hidden="false" customHeight="false" outlineLevel="0" collapsed="false">
      <c r="A34" s="3" t="s">
        <v>96</v>
      </c>
    </row>
    <row r="35" customFormat="false" ht="15" hidden="false" customHeight="false" outlineLevel="0" collapsed="false">
      <c r="A35" s="4" t="s">
        <v>97</v>
      </c>
      <c r="B35" s="20"/>
      <c r="C35" s="3" t="str">
        <f aca="false">IF(B35="","",IFERROR(IF(ABS(B35-Answers!B35)&lt;0.5,"Correct","Try again"),"Enter a number"))</f>
        <v/>
      </c>
    </row>
    <row r="36" customFormat="false" ht="15" hidden="false" customHeight="false" outlineLevel="0" collapsed="false">
      <c r="A36" s="3" t="s">
        <v>98</v>
      </c>
    </row>
    <row r="37" customFormat="false" ht="15" hidden="false" customHeight="false" outlineLevel="0" collapsed="false">
      <c r="A37" s="4" t="s">
        <v>99</v>
      </c>
      <c r="B37" s="20"/>
      <c r="C37" s="3" t="str">
        <f aca="false">IF(B37="","",IFERROR(IF(ABS(B37-Answers!B37)&lt;0.5,"Correct","Try again"),"Enter a number"))</f>
        <v/>
      </c>
    </row>
    <row r="39" customFormat="false" ht="15" hidden="false" customHeight="false" outlineLevel="0" collapsed="false">
      <c r="A39" s="3" t="s">
        <v>100</v>
      </c>
      <c r="B39" s="3" t="str">
        <f aca="false">COUNTIF(C23:C38,"Correct")&amp;" / "&amp;COUNTA(B23:B38)&amp;" answered"</f>
        <v>0 / 0 answered</v>
      </c>
    </row>
  </sheetData>
  <conditionalFormatting sqref="C23:C38">
    <cfRule type="expression" priority="2" aboveAverage="0" equalAverage="0" bottom="0" percent="0" rank="0" text="" dxfId="0">
      <formula>LEFT(C23,7)="Correct"</formula>
    </cfRule>
    <cfRule type="expression" priority="3" aboveAverage="0" equalAverage="0" bottom="0" percent="0" rank="0" text="" dxfId="1">
      <formula>LEFT(C23,3)="Try"</formula>
    </cfRule>
  </conditionalFormatting>
  <dataValidations count="1">
    <dataValidation allowBlank="true" errorStyle="stop" operator="between" showDropDown="false" showErrorMessage="false" showInputMessage="false" sqref="B33" type="list">
      <formula1>"Profit,Loss"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8"/>
  </cols>
  <sheetData>
    <row r="1" customFormat="false" ht="17.35" hidden="false" customHeight="false" outlineLevel="0" collapsed="false">
      <c r="A1" s="1" t="s">
        <v>101</v>
      </c>
    </row>
    <row r="2" customFormat="false" ht="15" hidden="false" customHeight="false" outlineLevel="0" collapsed="false">
      <c r="A2" s="2" t="s">
        <v>102</v>
      </c>
    </row>
    <row r="22" customFormat="false" ht="15" hidden="false" customHeight="false" outlineLevel="0" collapsed="false">
      <c r="A22" s="10" t="s">
        <v>82</v>
      </c>
      <c r="B22" s="10" t="s">
        <v>103</v>
      </c>
    </row>
    <row r="23" customFormat="false" ht="15" hidden="false" customHeight="false" outlineLevel="0" collapsed="false">
      <c r="A23" s="3" t="s">
        <v>85</v>
      </c>
    </row>
    <row r="24" customFormat="false" ht="15" hidden="false" customHeight="false" outlineLevel="0" collapsed="false">
      <c r="A24" s="4" t="s">
        <v>86</v>
      </c>
      <c r="B24" s="18" t="n">
        <f aca="false">(Practice!$B$6-Practice!$B$7)/Practice!$B$8</f>
        <v>4000</v>
      </c>
    </row>
    <row r="25" customFormat="false" ht="15" hidden="false" customHeight="false" outlineLevel="0" collapsed="false">
      <c r="A25" s="4" t="s">
        <v>87</v>
      </c>
      <c r="B25" s="18" t="n">
        <f aca="false">Practice!$B$6-2*(Practice!$B$6-Practice!$B$7)/Practice!$B$8</f>
        <v>17000</v>
      </c>
    </row>
    <row r="26" customFormat="false" ht="15" hidden="false" customHeight="false" outlineLevel="0" collapsed="false">
      <c r="A26" s="3" t="s">
        <v>88</v>
      </c>
    </row>
    <row r="27" customFormat="false" ht="15" hidden="false" customHeight="false" outlineLevel="0" collapsed="false">
      <c r="A27" s="4" t="s">
        <v>89</v>
      </c>
      <c r="B27" s="18" t="n">
        <f aca="false">Practice!$B$10*Practice!$B$11</f>
        <v>10000</v>
      </c>
    </row>
    <row r="28" customFormat="false" ht="15" hidden="false" customHeight="false" outlineLevel="0" collapsed="false">
      <c r="A28" s="4" t="s">
        <v>90</v>
      </c>
      <c r="B28" s="18" t="n">
        <f aca="false">(Practice!$B$10-Practice!$B$10*Practice!$B$11)*Practice!$B$11</f>
        <v>7500</v>
      </c>
    </row>
    <row r="29" customFormat="false" ht="15" hidden="false" customHeight="false" outlineLevel="0" collapsed="false">
      <c r="A29" s="4" t="s">
        <v>91</v>
      </c>
      <c r="B29" s="18" t="n">
        <f aca="false">(Practice!$B$10-Practice!$B$10*Practice!$B$11-(Practice!$B$10-Practice!$B$10*Practice!$B$11)*Practice!$B$11)*Practice!$B$11</f>
        <v>5625</v>
      </c>
    </row>
    <row r="30" customFormat="false" ht="15" hidden="false" customHeight="false" outlineLevel="0" collapsed="false">
      <c r="A30" s="4" t="s">
        <v>92</v>
      </c>
      <c r="B30" s="18" t="n">
        <f aca="false">(Practice!$B$10*Practice!$B$11)+((Practice!$B$10-Practice!$B$10*Practice!$B$11)*Practice!$B$11)+((Practice!$B$10-Practice!$B$10*Practice!$B$11-(Practice!$B$10-Practice!$B$10*Practice!$B$11)*Practice!$B$11)*Practice!$B$11)</f>
        <v>23125</v>
      </c>
    </row>
    <row r="31" customFormat="false" ht="15" hidden="false" customHeight="false" outlineLevel="0" collapsed="false">
      <c r="A31" s="4" t="s">
        <v>93</v>
      </c>
      <c r="B31" s="18" t="n">
        <f aca="false">Practice!$B$10-(Practice!$B$10*Practice!$B$11)-((Practice!$B$10-Practice!$B$10*Practice!$B$11)*Practice!$B$11)-((Practice!$B$10-Practice!$B$10*Practice!$B$11-(Practice!$B$10-Practice!$B$10*Practice!$B$11)*Practice!$B$11)*Practice!$B$11)</f>
        <v>16875</v>
      </c>
    </row>
    <row r="32" customFormat="false" ht="15" hidden="false" customHeight="false" outlineLevel="0" collapsed="false">
      <c r="A32" s="4" t="s">
        <v>94</v>
      </c>
      <c r="B32" s="18" t="n">
        <f aca="false">ABS(Practice!$B$12-(Practice!$B$10-(Practice!$B$10*Practice!$B$11)-((Practice!$B$10-Practice!$B$10*Practice!$B$11)*Practice!$B$11)-((Practice!$B$10-Practice!$B$10*Practice!$B$11-(Practice!$B$10-Practice!$B$10*Practice!$B$11)*Practice!$B$11)*Practice!$B$11)))</f>
        <v>1875</v>
      </c>
    </row>
    <row r="33" customFormat="false" ht="15" hidden="false" customHeight="false" outlineLevel="0" collapsed="false">
      <c r="A33" s="4" t="s">
        <v>95</v>
      </c>
      <c r="B33" s="18" t="str">
        <f aca="false">IF(Practice!$B$12-(Practice!$B$10-(Practice!$B$10*Practice!$B$11)-((Practice!$B$10-Practice!$B$10*Practice!$B$11)*Practice!$B$11)-((Practice!$B$10-Practice!$B$10*Practice!$B$11-(Practice!$B$10-Practice!$B$10*Practice!$B$11)*Practice!$B$11)*Practice!$B$11))&gt;=0,"Profit","Loss")</f>
        <v>Loss</v>
      </c>
    </row>
    <row r="34" customFormat="false" ht="15" hidden="false" customHeight="false" outlineLevel="0" collapsed="false">
      <c r="A34" s="3" t="s">
        <v>96</v>
      </c>
    </row>
    <row r="35" customFormat="false" ht="15" hidden="false" customHeight="false" outlineLevel="0" collapsed="false">
      <c r="A35" s="4" t="s">
        <v>97</v>
      </c>
      <c r="B35" s="18" t="n">
        <f aca="false">Practice!$B$14+Practice!$B$15-Practice!$B$16</f>
        <v>700</v>
      </c>
    </row>
    <row r="36" customFormat="false" ht="15" hidden="false" customHeight="false" outlineLevel="0" collapsed="false">
      <c r="A36" s="3" t="s">
        <v>98</v>
      </c>
    </row>
    <row r="37" customFormat="false" ht="15" hidden="false" customHeight="false" outlineLevel="0" collapsed="false">
      <c r="A37" s="4" t="s">
        <v>99</v>
      </c>
      <c r="B37" s="18" t="n">
        <f aca="false">Practice!$B$18*Practice!$B$19*Practice!$B$20/12</f>
        <v>900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2026-09-30T08:47:40Z</dcterms:created>
  <dc:creator>openpyxl</dc:creator>
  <dc:description/>
  <dc:language>en-US</dc:language>
  <cp:lastModifiedBy/>
  <dcterms:modified xsi:type="dcterms:W3CDTF">2026-09-30T08:47:40Z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