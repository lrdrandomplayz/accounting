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raight Line" sheetId="2" state="visible" r:id="rId4"/>
    <sheet name="Reducing Balance" sheetId="3" state="visible" r:id="rId5"/>
    <sheet name="Other Methods" sheetId="4" state="visible" r:id="rId6"/>
    <sheet name="Disposal" sheetId="5" state="visible" r:id="rId7"/>
    <sheet name="Q10.9" sheetId="6" state="visible" r:id="rId8"/>
    <sheet name="Q10.10" sheetId="7" state="visible" r:id="rId9"/>
    <sheet name="Q10.11" sheetId="8" state="visible" r:id="rId10"/>
    <sheet name="Q10.12" sheetId="9" state="visible" r:id="rId11"/>
    <sheet name="Q10.13" sheetId="10" state="visible" r:id="rId12"/>
    <sheet name="Q10.9 Ans" sheetId="11" state="visible" r:id="rId13"/>
    <sheet name="Q10.10 Ans" sheetId="12" state="visible" r:id="rId14"/>
    <sheet name="Q10.11 Ans" sheetId="13" state="visible" r:id="rId15"/>
    <sheet name="Q10.12 Ans" sheetId="14" state="visible" r:id="rId16"/>
    <sheet name="Q10.13 Ans" sheetId="15" state="visible" r:id="rId17"/>
  </sheets>
  <definedNames>
    <definedName function="false" hidden="false" localSheetId="4" name="_xlnm.Print_Area" vbProcedure="false">Disposal!$A$1:$AG$22</definedName>
    <definedName function="false" hidden="false" localSheetId="3" name="_xlnm.Print_Area" vbProcedure="false">'Other Methods'!$A$1:$AG$33</definedName>
    <definedName function="false" hidden="false" localSheetId="6" name="_xlnm.Print_Area" vbProcedure="false">'Q10.10'!$A$1:$AG$27</definedName>
    <definedName function="false" hidden="false" localSheetId="11" name="_xlnm.Print_Area" vbProcedure="false">'Q10.10 Ans'!$A$1:$AG$27</definedName>
    <definedName function="false" hidden="false" localSheetId="7" name="_xlnm.Print_Area" vbProcedure="false">'Q10.11'!$A$1:$AG$37</definedName>
    <definedName function="false" hidden="false" localSheetId="12" name="_xlnm.Print_Area" vbProcedure="false">'Q10.11 Ans'!$A$1:$AG$37</definedName>
    <definedName function="false" hidden="false" localSheetId="8" name="_xlnm.Print_Area" vbProcedure="false">'Q10.12'!$A$1:$AG$31</definedName>
    <definedName function="false" hidden="false" localSheetId="13" name="_xlnm.Print_Area" vbProcedure="false">'Q10.12 Ans'!$A$1:$AG$31</definedName>
    <definedName function="false" hidden="false" localSheetId="9" name="_xlnm.Print_Area" vbProcedure="false">'Q10.13'!$A$1:$AG$55</definedName>
    <definedName function="false" hidden="false" localSheetId="14" name="_xlnm.Print_Area" vbProcedure="false">'Q10.13 Ans'!$A$1:$AG$55</definedName>
    <definedName function="false" hidden="false" localSheetId="5" name="_xlnm.Print_Area" vbProcedure="false">'Q10.9'!$A$1:$AG$29</definedName>
    <definedName function="false" hidden="false" localSheetId="10" name="_xlnm.Print_Area" vbProcedure="false">'Q10.9 Ans'!$A$1:$AG$29</definedName>
    <definedName function="false" hidden="false" localSheetId="0" name="_xlnm.Print_Area" vbProcedure="false">'Read Me'!$A$1:$AG$35</definedName>
    <definedName function="false" hidden="false" localSheetId="2" name="_xlnm.Print_Area" vbProcedure="false">'Reducing Balance'!$A$1:$AG$16</definedName>
    <definedName function="false" hidden="false" localSheetId="1" name="_xlnm.Print_Area" vbProcedure="false">'Straight Line'!$A$1:$AG$45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<sst xmlns="http://schemas.openxmlformats.org/spreadsheetml/2006/main" count="649" uniqueCount="238">
  <si>
    <t xml:space="preserve">Chapter 10: Tangible Non-current Assets and Depreciation</t>
  </si>
  <si>
    <t xml:space="preserve">Senior 1 Accounting. Free to use and share. Not for sale.</t>
  </si>
  <si>
    <t xml:space="preserve">How to use this workbook</t>
  </si>
  <si>
    <t xml:space="preserve">1. Read the notes first. Then open the orange Worked tabs: change any blue figure and watch the answers update.</t>
  </si>
  <si>
    <t xml:space="preserve">2. Try the blue question tabs in order, Level 1 to Level 5. Type your answers in the yellow cells.</t>
  </si>
  <si>
    <t xml:space="preserve">3. The small column next to each yellow cell shows ✓ (correct) or ✗ (try again). Your score is at the top of each question.</t>
  </si>
  <si>
    <t xml:space="preserve">4. Particulars and dates are given so the sheet can mark your figures. Try writing each account or statement on paper first.</t>
  </si>
  <si>
    <t xml:space="preserve">5. Written answers cannot be marked by Excel. Compare them with the model answers on the green tabs.</t>
  </si>
  <si>
    <t xml:space="preserve">6. The green Ans tabs show the full solutions in exam format.</t>
  </si>
  <si>
    <t xml:space="preserve">Colour key</t>
  </si>
  <si>
    <t xml:space="preserve">Blue figure: data from the question. Teachers may change it to make a new version.</t>
  </si>
  <si>
    <t xml:space="preserve">Black figure: a formula. Do not type over it.</t>
  </si>
  <si>
    <t xml:space="preserve">Yellow cell: type your answer here (numbers only; enter 0 for nil).</t>
  </si>
  <si>
    <t xml:space="preserve">Green cell: the correct answer (Ans tabs).</t>
  </si>
  <si>
    <t xml:space="preserve">Formats used</t>
  </si>
  <si>
    <t xml:space="preserve">Journal: Date | Particulars | Debit (RM) | Credit (RM).</t>
  </si>
  <si>
    <t xml:space="preserve">Ledger account: Dr side and Cr side, each with Date | Particulars | Folio | Amount (RM). Folio: GJ = general journal, CB = cash book.</t>
  </si>
  <si>
    <t xml:space="preserve">Statement of Profit or Loss: marker (Add / Less) | Particulars | RM | RM | RM.</t>
  </si>
  <si>
    <t xml:space="preserve">Statement of Financial Position: the same, with Cost | Accumulated Depreciation | Carrying Amount under the RM headings.</t>
  </si>
  <si>
    <t xml:space="preserve">Sheets in this workbook</t>
  </si>
  <si>
    <t xml:space="preserve">Sheet</t>
  </si>
  <si>
    <t xml:space="preserve">What it is</t>
  </si>
  <si>
    <t xml:space="preserve">Straight Line</t>
  </si>
  <si>
    <t xml:space="preserve">Worked example (orange tab)</t>
  </si>
  <si>
    <t xml:space="preserve">Reducing Balance</t>
  </si>
  <si>
    <t xml:space="preserve">Other Methods</t>
  </si>
  <si>
    <t xml:space="preserve">Disposal</t>
  </si>
  <si>
    <t xml:space="preserve">Q10.9</t>
  </si>
  <si>
    <t xml:space="preserve">Structured question, Level 1: Easy (blue tab). Answers: Q10.9 Ans (green tab).</t>
  </si>
  <si>
    <t xml:space="preserve">Q10.10</t>
  </si>
  <si>
    <t xml:space="preserve">Structured question, Level 2: Easy to medium (blue tab). Answers: Q10.10 Ans (green tab).</t>
  </si>
  <si>
    <t xml:space="preserve">Q10.11</t>
  </si>
  <si>
    <t xml:space="preserve">Structured question, Level 3: Medium (blue tab). Answers: Q10.11 Ans (green tab).</t>
  </si>
  <si>
    <t xml:space="preserve">Q10.12</t>
  </si>
  <si>
    <t xml:space="preserve">Structured question, Level 4: Hard (blue tab). Answers: Q10.12 Ans (green tab).</t>
  </si>
  <si>
    <t xml:space="preserve">Q10.13</t>
  </si>
  <si>
    <t xml:space="preserve">Structured question, Level 5: Challenge (blue tab). Answers: Q10.13 Ans (green tab).</t>
  </si>
  <si>
    <t xml:space="preserve">Worked example. Change any blue figure and every answer below updates.</t>
  </si>
  <si>
    <t xml:space="preserve">Black figures are formulas. Do not type over them.</t>
  </si>
  <si>
    <t xml:space="preserve">Worked examples 10.1 and 10.4: straight line method. Annual depreciation = (Cost - Residual value) / Useful life.</t>
  </si>
  <si>
    <t xml:space="preserve">Inputs</t>
  </si>
  <si>
    <t xml:space="preserve">Figure</t>
  </si>
  <si>
    <t xml:space="preserve">Cost of machine (RM)</t>
  </si>
  <si>
    <t xml:space="preserve">Residual value (RM)</t>
  </si>
  <si>
    <t xml:space="preserve">Useful life (years, up to 8)</t>
  </si>
  <si>
    <t xml:space="preserve">Annual depreciation (RM)</t>
  </si>
  <si>
    <t xml:space="preserve">Year</t>
  </si>
  <si>
    <t xml:space="preserve">Depreciation for year (RM)</t>
  </si>
  <si>
    <t xml:space="preserve">Accumulated depreciation (RM)</t>
  </si>
  <si>
    <t xml:space="preserve">Carrying amount at end (RM)</t>
  </si>
  <si>
    <t xml:space="preserve">1</t>
  </si>
  <si>
    <t xml:space="preserve">2</t>
  </si>
  <si>
    <t xml:space="preserve">3</t>
  </si>
  <si>
    <t xml:space="preserve">4</t>
  </si>
  <si>
    <t xml:space="preserve">5</t>
  </si>
  <si>
    <t xml:space="preserve">6</t>
  </si>
  <si>
    <t xml:space="preserve">7</t>
  </si>
  <si>
    <t xml:space="preserve">8</t>
  </si>
  <si>
    <t xml:space="preserve">The charge is the SAME every year. Rows after the last year of useful life stay blank.</t>
  </si>
  <si>
    <t xml:space="preserve">Example 10.4: the ledger accounts for the first two years</t>
  </si>
  <si>
    <t xml:space="preserve">Dr</t>
  </si>
  <si>
    <t xml:space="preserve">Machinery Account</t>
  </si>
  <si>
    <t xml:space="preserve">Cr</t>
  </si>
  <si>
    <t xml:space="preserve">Date</t>
  </si>
  <si>
    <t xml:space="preserve">Particulars</t>
  </si>
  <si>
    <t xml:space="preserve">Folio</t>
  </si>
  <si>
    <t xml:space="preserve">Amount (RM)</t>
  </si>
  <si>
    <t xml:space="preserve">Year 1 Jan 1</t>
  </si>
  <si>
    <t xml:space="preserve">Bank</t>
  </si>
  <si>
    <t xml:space="preserve">CB1</t>
  </si>
  <si>
    <t xml:space="preserve">Year 1 Dec 31</t>
  </si>
  <si>
    <t xml:space="preserve">Balance c/d</t>
  </si>
  <si>
    <t xml:space="preserve">Year 2 Jan 1</t>
  </si>
  <si>
    <t xml:space="preserve">Balance b/d</t>
  </si>
  <si>
    <t xml:space="preserve">Provision for Depreciation of Machinery Account</t>
  </si>
  <si>
    <t xml:space="preserve">Income statement</t>
  </si>
  <si>
    <t xml:space="preserve">GJ1</t>
  </si>
  <si>
    <t xml:space="preserve">Year 2 Dec 31</t>
  </si>
  <si>
    <t xml:space="preserve">GJ2</t>
  </si>
  <si>
    <t xml:space="preserve">Year 3 Jan 1</t>
  </si>
  <si>
    <t xml:space="preserve">Statement of Financial Position (extract) at the end of Year 2</t>
  </si>
  <si>
    <t xml:space="preserve">RM</t>
  </si>
  <si>
    <t xml:space="preserve">Cost</t>
  </si>
  <si>
    <t xml:space="preserve">Accumulated Depreciation</t>
  </si>
  <si>
    <t xml:space="preserve">Carrying Amount</t>
  </si>
  <si>
    <t xml:space="preserve">Non-current assets</t>
  </si>
  <si>
    <t xml:space="preserve">Machinery</t>
  </si>
  <si>
    <t xml:space="preserve">Worked example 10.2: reducing balance method. Depreciation = carrying amount at start of year x rate.</t>
  </si>
  <si>
    <t xml:space="preserve">Cost of equipment (RM)</t>
  </si>
  <si>
    <t xml:space="preserve">Depreciation rate</t>
  </si>
  <si>
    <t xml:space="preserve">Carrying amount at start (RM)</t>
  </si>
  <si>
    <t xml:space="preserve">Depreciation (RM)</t>
  </si>
  <si>
    <t xml:space="preserve">The charge FALLS every year because the carrying amount falls. Common mistake: using cost after Year 1.</t>
  </si>
  <si>
    <t xml:space="preserve">Straight line vs reducing balance on the same asset, the revaluation method and part-year depreciation.</t>
  </si>
  <si>
    <t xml:space="preserve">Compare methods: inputs</t>
  </si>
  <si>
    <t xml:space="preserve">Cost of asset (RM)</t>
  </si>
  <si>
    <t xml:space="preserve">Rate per year</t>
  </si>
  <si>
    <t xml:space="preserve">Straight line depreciation (RM)</t>
  </si>
  <si>
    <t xml:space="preserve">Straight line carrying amount (RM)</t>
  </si>
  <si>
    <t xml:space="preserve">Reducing balance depreciation (RM)</t>
  </si>
  <si>
    <t xml:space="preserve">Reducing balance carrying amount (RM)</t>
  </si>
  <si>
    <t xml:space="preserve">Straight line applies the rate to COST. Reducing balance applies the rate to the carrying amount.</t>
  </si>
  <si>
    <t xml:space="preserve">Worked example 10.3: revaluation method (loose tools)</t>
  </si>
  <si>
    <t xml:space="preserve">Loose tools at start of year (RM)</t>
  </si>
  <si>
    <t xml:space="preserve">Tools bought during the year (RM)</t>
  </si>
  <si>
    <t xml:space="preserve">Loose tools valued at end of year (RM)</t>
  </si>
  <si>
    <t xml:space="preserve">Depreciation = opening + purchases - closing (RM)</t>
  </si>
  <si>
    <t xml:space="preserve">Section 9: asset bought part way through the year (monthly basis)</t>
  </si>
  <si>
    <t xml:space="preserve">Rate per year on cost</t>
  </si>
  <si>
    <t xml:space="preserve">Months owned in the first year</t>
  </si>
  <si>
    <t xml:space="preserve">Full year depreciation (RM)</t>
  </si>
  <si>
    <t xml:space="preserve">Depreciation for the months owned (RM)</t>
  </si>
  <si>
    <t xml:space="preserve">Worked example 10.5: disposal of a van. Profit or loss on disposal = sale proceeds - carrying amount.</t>
  </si>
  <si>
    <t xml:space="preserve">Cost of van (RM)</t>
  </si>
  <si>
    <t xml:space="preserve">Accumulated depreciation to date of sale (RM)</t>
  </si>
  <si>
    <t xml:space="preserve">Sale proceeds (RM)</t>
  </si>
  <si>
    <t xml:space="preserve">Carrying amount at date of sale (RM)</t>
  </si>
  <si>
    <t xml:space="preserve">Profit (+) or loss (-) on disposal (RM)</t>
  </si>
  <si>
    <t xml:space="preserve">Treatment</t>
  </si>
  <si>
    <t xml:space="preserve">Disposal of Van Account</t>
  </si>
  <si>
    <t xml:space="preserve">Date of sale</t>
  </si>
  <si>
    <t xml:space="preserve">Van (cost)</t>
  </si>
  <si>
    <t xml:space="preserve">Provision for depreciation</t>
  </si>
  <si>
    <t xml:space="preserve">Year end</t>
  </si>
  <si>
    <t xml:space="preserve">Income statement (profit on disposal)</t>
  </si>
  <si>
    <t xml:space="preserve">Income statement (loss on disposal)</t>
  </si>
  <si>
    <t xml:space="preserve">A dash means no amount. A profit balances the account on the debit side; a loss on the credit side.</t>
  </si>
  <si>
    <t xml:space="preserve">Question 10.9 (Level 1: Easy)</t>
  </si>
  <si>
    <t xml:space="preserve">Type your answers in the yellow cells. Numbers only: no RM, no commas. Enter 0 where the answer is nil. ✓ = correct, ✗ = try again.</t>
  </si>
  <si>
    <t xml:space="preserve">Your score:</t>
  </si>
  <si>
    <t xml:space="preserve">On 1 January 2024 a business bought a delivery van for RM18,000. It expects to use the van for 5 years and then sell it for RM3,000. The straight line method is used. The year end is 31 December.</t>
  </si>
  <si>
    <t xml:space="preserve">Figures from the question</t>
  </si>
  <si>
    <t xml:space="preserve">Useful life (years)</t>
  </si>
  <si>
    <t xml:space="preserve">a) Calculate the annual depreciation. (2)</t>
  </si>
  <si>
    <t xml:space="preserve">b) Complete the table. (4)</t>
  </si>
  <si>
    <t xml:space="preserve">Carrying amount at end of year (RM)</t>
  </si>
  <si>
    <t xml:space="preserve">2024</t>
  </si>
  <si>
    <t xml:space="preserve">2025</t>
  </si>
  <si>
    <t xml:space="preserve">c) Show the Statement of Financial Position extract for the van at 31 December 2025. (2)</t>
  </si>
  <si>
    <t xml:space="preserve">Statement of Financial Position (extract) at 31 December 2025</t>
  </si>
  <si>
    <t xml:space="preserve">Delivery van</t>
  </si>
  <si>
    <t xml:space="preserve">d) State one cause of depreciation for a delivery van. (1)</t>
  </si>
  <si>
    <t xml:space="preserve">Cause of depreciation</t>
  </si>
  <si>
    <t xml:space="preserve">Question 10.10 (Level 2: Easy to medium)</t>
  </si>
  <si>
    <t xml:space="preserve">A business bought a new machine. It paid the amounts below.</t>
  </si>
  <si>
    <t xml:space="preserve">Purchase price of machine (RM)</t>
  </si>
  <si>
    <t xml:space="preserve">Delivery to the factory (RM)</t>
  </si>
  <si>
    <t xml:space="preserve">Installation (RM)</t>
  </si>
  <si>
    <t xml:space="preserve">Insurance for the first year (RM)</t>
  </si>
  <si>
    <t xml:space="preserve">Repair after six months of use (RM)</t>
  </si>
  <si>
    <t xml:space="preserve">a) Calculate the cost of the machine to be shown as a non-current asset. (2)</t>
  </si>
  <si>
    <t xml:space="preserve">Cost of the machine (RM)</t>
  </si>
  <si>
    <t xml:space="preserve">b) Classify each item as capital expenditure or revenue expenditure. (5)</t>
  </si>
  <si>
    <t xml:space="preserve">Purchase price</t>
  </si>
  <si>
    <t xml:space="preserve">Delivery</t>
  </si>
  <si>
    <t xml:space="preserve">Installation</t>
  </si>
  <si>
    <t xml:space="preserve">Insurance for the first year</t>
  </si>
  <si>
    <t xml:space="preserve">Repair after six months</t>
  </si>
  <si>
    <t xml:space="preserve">c) The installation cost was recorded as an expense by mistake. State the effect on profit for the year and on non-current assets. Ignore depreciation. (2)</t>
  </si>
  <si>
    <t xml:space="preserve">Profit for the year is understated by (RM)</t>
  </si>
  <si>
    <t xml:space="preserve">Non-current assets are understated by (RM)</t>
  </si>
  <si>
    <t xml:space="preserve">Question 10.11 (Level 3: Medium)</t>
  </si>
  <si>
    <t xml:space="preserve">The year end is 31 December.</t>
  </si>
  <si>
    <t xml:space="preserve">•  A machine was bought on 1 April 2025 for RM12,000. Depreciation is 10% per year on cost, straight line, calculated on a monthly basis.</t>
  </si>
  <si>
    <t xml:space="preserve">•  Loose tools were valued at RM2,000 on 1 January 2025. Tools costing RM800 were bought during 2025. On 31 December 2025 the loose tools were valued at RM2,100.</t>
  </si>
  <si>
    <t xml:space="preserve">Depreciation rate per year</t>
  </si>
  <si>
    <t xml:space="preserve">Months owned in 2025</t>
  </si>
  <si>
    <t xml:space="preserve">Loose tools at 1 January 2025 (RM)</t>
  </si>
  <si>
    <t xml:space="preserve">Loose tools bought in 2025 (RM)</t>
  </si>
  <si>
    <t xml:space="preserve">Loose tools at 31 December 2025 (RM)</t>
  </si>
  <si>
    <t xml:space="preserve">a) Calculate depreciation on the machine for 2025 and for 2026. (3)</t>
  </si>
  <si>
    <t xml:space="preserve">Depreciation for 2025 (RM)</t>
  </si>
  <si>
    <t xml:space="preserve">Depreciation for 2026 (RM)</t>
  </si>
  <si>
    <t xml:space="preserve">b) Calculate the carrying amount of the machine at 31 December 2026. (1)</t>
  </si>
  <si>
    <t xml:space="preserve">Carrying amount at 31 December 2026 (RM)</t>
  </si>
  <si>
    <t xml:space="preserve">c) Prepare the journal entry to record the machine depreciation for 2025. (2)</t>
  </si>
  <si>
    <t xml:space="preserve">Debit (RM)</t>
  </si>
  <si>
    <t xml:space="preserve">Credit (RM)</t>
  </si>
  <si>
    <t xml:space="preserve">2025 Dec 31</t>
  </si>
  <si>
    <t xml:space="preserve">Income statement (depreciation)</t>
  </si>
  <si>
    <t xml:space="preserve">Provision for depreciation of machinery</t>
  </si>
  <si>
    <t xml:space="preserve">(Being depreciation for 9 months at 10% per year on cost)</t>
  </si>
  <si>
    <t xml:space="preserve">d) Calculate the depreciation of loose tools for 2025. (2)</t>
  </si>
  <si>
    <t xml:space="preserve">Depreciation of loose tools (RM)</t>
  </si>
  <si>
    <t xml:space="preserve">e) Explain why the revaluation method is used for loose tools. (2)</t>
  </si>
  <si>
    <t xml:space="preserve">Question 10.12 (Level 4: Hard)</t>
  </si>
  <si>
    <t xml:space="preserve">On 1 January 2023 Musa bought a machine for RM40,000. It is depreciated at 25% per year, reducing balance. The year end is 31 December. On 1 January 2026 the machine was sold for RM15,000 by cheque.</t>
  </si>
  <si>
    <t xml:space="preserve">Reducing balance rate</t>
  </si>
  <si>
    <t xml:space="preserve">Sale proceeds on 1 January 2026 (RM)</t>
  </si>
  <si>
    <t xml:space="preserve">a) Calculate the depreciation for 2023, 2024 and 2025. (3)</t>
  </si>
  <si>
    <t xml:space="preserve">2023</t>
  </si>
  <si>
    <t xml:space="preserve">b) Show the carrying amount of the machine at 31 December 2025. (1)</t>
  </si>
  <si>
    <t xml:space="preserve">Carrying amount at 31 December 2025 (RM)</t>
  </si>
  <si>
    <t xml:space="preserve">c) Prepare the Machinery disposal account. (5)</t>
  </si>
  <si>
    <t xml:space="preserve">Machinery Disposal Account</t>
  </si>
  <si>
    <t xml:space="preserve">2026 Jan 1</t>
  </si>
  <si>
    <t xml:space="preserve">Jan 1</t>
  </si>
  <si>
    <t xml:space="preserve">Dec 31</t>
  </si>
  <si>
    <t xml:space="preserve">d) State where the result of the disposal appears in the financial statements. (1)</t>
  </si>
  <si>
    <t xml:space="preserve">The loss on disposal is shown as</t>
  </si>
  <si>
    <t xml:space="preserve">Question 10.13 (Level 5: Challenge)</t>
  </si>
  <si>
    <t xml:space="preserve">Kwame's year ends on 31 December. He depreciates vans at 20% per year on cost, straight line. A full year's depreciation is charged in the year of purchase and none in the year of sale.</t>
  </si>
  <si>
    <t xml:space="preserve">•  1 January 2023: bought Van A for RM25,000.</t>
  </si>
  <si>
    <t xml:space="preserve">•  1 July 2024: bought Van B for RM30,000.</t>
  </si>
  <si>
    <t xml:space="preserve">•  1 October 2025: sold Van A for RM12,000, paid by cheque.</t>
  </si>
  <si>
    <t xml:space="preserve">Cost of Van A (RM)</t>
  </si>
  <si>
    <t xml:space="preserve">Cost of Van B (RM)</t>
  </si>
  <si>
    <t xml:space="preserve">Depreciation rate on cost</t>
  </si>
  <si>
    <t xml:space="preserve">Sale proceeds of Van A (RM)</t>
  </si>
  <si>
    <t xml:space="preserve">a) Calculate the depreciation charge for 2023, 2024 and 2025. (3)</t>
  </si>
  <si>
    <t xml:space="preserve">Depreciation for 2023 (RM)</t>
  </si>
  <si>
    <t xml:space="preserve">Depreciation for 2024 (RM)</t>
  </si>
  <si>
    <t xml:space="preserve">b) Prepare the Provision for depreciation of vans account for 2023, 2024 and 2025. (6)</t>
  </si>
  <si>
    <t xml:space="preserve">Provision for Depreciation of Vans Account</t>
  </si>
  <si>
    <t xml:space="preserve">2023 Dec 31</t>
  </si>
  <si>
    <t xml:space="preserve">2024 Jan 1</t>
  </si>
  <si>
    <t xml:space="preserve">2024 Dec 31</t>
  </si>
  <si>
    <t xml:space="preserve">2025 Oct 1</t>
  </si>
  <si>
    <t xml:space="preserve">Disposal (Van A)</t>
  </si>
  <si>
    <t xml:space="preserve">GJ3</t>
  </si>
  <si>
    <t xml:space="preserve">2025 Jan 1</t>
  </si>
  <si>
    <t xml:space="preserve">GJ4</t>
  </si>
  <si>
    <t xml:space="preserve">c) Prepare the Disposal of van account. (4)</t>
  </si>
  <si>
    <t xml:space="preserve">Vans (Van A)</t>
  </si>
  <si>
    <t xml:space="preserve">Oct 1</t>
  </si>
  <si>
    <t xml:space="preserve">d) Show the Statement of Financial Position extract for vans at 31 December 2025. (2)</t>
  </si>
  <si>
    <t xml:space="preserve">Vans (Van B)</t>
  </si>
  <si>
    <t xml:space="preserve">e) Kwame wants to change to the reducing balance method in 2026 so his profit looks higher. Advise him, naming the concept involved. (3)</t>
  </si>
  <si>
    <t xml:space="preserve">Concept involved</t>
  </si>
  <si>
    <t xml:space="preserve">Question 10.9 (Level 1: Easy): Answers</t>
  </si>
  <si>
    <t xml:space="preserve">Answer sheet. Green cells hold the correct answers. Each figure is a formula linked to the question sheet, so the answers follow any change to the blue figures.</t>
  </si>
  <si>
    <t xml:space="preserve">Written answers are model answers: other wording that makes the same points also earns the marks.</t>
  </si>
  <si>
    <t xml:space="preserve">Question 10.10 (Level 2: Easy to medium): Answers</t>
  </si>
  <si>
    <t xml:space="preserve">Question 10.11 (Level 3: Medium): Answers</t>
  </si>
  <si>
    <t xml:space="preserve">Loose tools are many small, low-cost items. Keeping a record and a depreciation calculation for each tool would take too long and cost more than it is worth. So the tools are counted and valued at each year end instead.</t>
  </si>
  <si>
    <t xml:space="preserve">Question 10.12 (Level 4: Hard): Answers</t>
  </si>
  <si>
    <t xml:space="preserve">Question 10.13 (Level 5: Challenge): Answers</t>
  </si>
  <si>
    <t xml:space="preserve">The consistency concept says Kwame should use the same depreciation method every year.
He may change only if the new method gives a fairer view of how the vans lose value, and he must explain the change.
Changing just to make profit look higher would mislead users and stop them comparing this year with earlier years. He should not change.</t>
  </si>
</sst>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595959"/>
      <name val="Arial"/>
      <family val="0"/>
      <charset val="1"/>
    </font>
    <font>
      <b val="true"/>
      <sz val="10"/>
      <color rgb="FF1F3864"/>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b val="true"/>
      <sz val="9"/>
      <color rgb="FF000000"/>
      <name val="Arial"/>
      <family val="0"/>
      <charset val="1"/>
    </font>
    <font>
      <sz val="9"/>
      <color rgb="FF595959"/>
      <name val="Arial"/>
      <family val="0"/>
      <charset val="1"/>
    </font>
    <font>
      <i val="true"/>
      <sz val="10"/>
      <color rgb="FF000000"/>
      <name val="Arial"/>
      <family val="0"/>
      <charset val="1"/>
    </font>
    <font>
      <sz val="10"/>
      <color rgb="FF008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DEBF7"/>
        <bgColor rgb="FFD9E1F2"/>
      </patternFill>
    </fill>
    <fill>
      <patternFill patternType="solid">
        <fgColor rgb="FFF2F2F2"/>
        <bgColor rgb="FFEEF6E8"/>
      </patternFill>
    </fill>
    <fill>
      <patternFill patternType="solid">
        <fgColor rgb="FFFFF59D"/>
        <bgColor rgb="FFE2EFDA"/>
      </patternFill>
    </fill>
    <fill>
      <patternFill patternType="solid">
        <fgColor rgb="FFE2EFDA"/>
        <bgColor rgb="FFEEF6E8"/>
      </patternFill>
    </fill>
    <fill>
      <patternFill patternType="solid">
        <fgColor rgb="FFD9E1F2"/>
        <bgColor rgb="FFDDEBF7"/>
      </patternFill>
    </fill>
    <fill>
      <patternFill patternType="solid">
        <fgColor rgb="FFEEF6E8"/>
        <bgColor rgb="FFF2F2F2"/>
      </patternFill>
    </fill>
  </fills>
  <borders count="8">
    <border diagonalUp="false" diagonalDown="false">
      <left/>
      <right/>
      <top/>
      <bottom/>
      <diagonal/>
    </border>
    <border diagonalUp="false" diagonalDown="false">
      <left style="medium">
        <color rgb="FF1F3864"/>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right/>
      <top/>
      <bottom style="thin">
        <color rgb="FFB4C6E7"/>
      </bottom>
      <diagonal/>
    </border>
    <border diagonalUp="false" diagonalDown="false">
      <left/>
      <right/>
      <top/>
      <bottom style="medium">
        <color rgb="FF1F3864"/>
      </bottom>
      <diagonal/>
    </border>
    <border diagonalUp="false" diagonalDown="false">
      <left style="medium">
        <color rgb="FF1F3864"/>
      </left>
      <right/>
      <top/>
      <bottom style="medium">
        <color rgb="FF1F3864"/>
      </bottom>
      <diagonal/>
    </border>
    <border diagonalUp="false" diagonalDown="false">
      <left/>
      <right/>
      <top style="thin"/>
      <bottom style="double"/>
      <diagonal/>
    </border>
    <border diagonalUp="false" diagonalDown="false">
      <left style="thin">
        <color rgb="FFB4C6E7"/>
      </left>
      <right style="thin">
        <color rgb="FFB4C6E7"/>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5" fontId="8" fillId="4" borderId="0"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5" fontId="7" fillId="0" borderId="0" xfId="0" applyFont="true" applyBorder="true" applyAlignment="true" applyProtection="false">
      <alignment horizontal="right" vertical="center" textRotation="0" wrapText="false" indent="0" shrinkToFit="false"/>
      <protection locked="true" hidden="false"/>
    </xf>
    <xf numFmtId="164" fontId="7" fillId="5" borderId="0" xfId="0" applyFont="true" applyBorder="true" applyAlignment="true" applyProtection="false">
      <alignment horizontal="left" vertical="center" textRotation="0" wrapText="false" indent="0" shrinkToFit="false"/>
      <protection locked="true" hidden="false"/>
    </xf>
    <xf numFmtId="165" fontId="9" fillId="6" borderId="0" xfId="0" applyFont="true" applyBorder="true" applyAlignment="true" applyProtection="false">
      <alignment horizontal="right" vertical="center" textRotation="0" wrapText="false" indent="0" shrinkToFit="false"/>
      <protection locked="true" hidden="false"/>
    </xf>
    <xf numFmtId="164" fontId="9" fillId="7" borderId="2" xfId="0" applyFont="true" applyBorder="true" applyAlignment="true" applyProtection="false">
      <alignment horizontal="left" vertical="top" textRotation="0" wrapText="true" indent="0" shrinkToFit="false"/>
      <protection locked="true" hidden="false"/>
    </xf>
    <xf numFmtId="164" fontId="9" fillId="7"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5" fontId="8" fillId="4" borderId="2" xfId="0" applyFont="true" applyBorder="true" applyAlignment="true" applyProtection="false">
      <alignment horizontal="right" vertical="center" textRotation="0" wrapText="false" indent="0" shrinkToFit="false"/>
      <protection locked="true" hidden="false"/>
    </xf>
    <xf numFmtId="166" fontId="8" fillId="4" borderId="2" xfId="0" applyFont="true" applyBorder="true" applyAlignment="true" applyProtection="false">
      <alignment horizontal="right"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5" fontId="7" fillId="0" borderId="2"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4" fontId="9" fillId="7" borderId="4" xfId="0" applyFont="true" applyBorder="true" applyAlignment="true" applyProtection="false">
      <alignment horizontal="left" vertical="center" textRotation="0" wrapText="false" indent="0" shrinkToFit="false"/>
      <protection locked="true" hidden="false"/>
    </xf>
    <xf numFmtId="164" fontId="10" fillId="7" borderId="4" xfId="0" applyFont="true" applyBorder="true" applyAlignment="true" applyProtection="false">
      <alignment horizontal="center" vertical="center" textRotation="0" wrapText="false" indent="0" shrinkToFit="false"/>
      <protection locked="true" hidden="false"/>
    </xf>
    <xf numFmtId="164" fontId="9" fillId="7"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9" fillId="7" borderId="5"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6"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7" fontId="8" fillId="4" borderId="2"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5" fontId="7" fillId="5" borderId="2"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3"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5" fontId="7" fillId="5" borderId="7" xfId="0" applyFont="true" applyBorder="true" applyAlignment="true" applyProtection="false">
      <alignment horizontal="right" vertical="center" textRotation="0" wrapText="false" indent="0" shrinkToFit="false"/>
      <protection locked="true" hidden="false"/>
    </xf>
    <xf numFmtId="165" fontId="13" fillId="4" borderId="2" xfId="0" applyFont="true" applyBorder="true" applyAlignment="true" applyProtection="false">
      <alignment horizontal="right" vertical="center" textRotation="0" wrapText="false" indent="0" shrinkToFit="false"/>
      <protection locked="true" hidden="false"/>
    </xf>
    <xf numFmtId="166" fontId="13" fillId="4" borderId="2" xfId="0" applyFont="true" applyBorder="true" applyAlignment="true" applyProtection="false">
      <alignment horizontal="right" vertical="center" textRotation="0" wrapText="false" indent="0" shrinkToFit="false"/>
      <protection locked="true" hidden="false"/>
    </xf>
    <xf numFmtId="165" fontId="9" fillId="6" borderId="2" xfId="0" applyFont="true" applyBorder="true" applyAlignment="true" applyProtection="false">
      <alignment horizontal="right" vertical="center" textRotation="0" wrapText="false" indent="0" shrinkToFit="false"/>
      <protection locked="true" hidden="false"/>
    </xf>
    <xf numFmtId="164" fontId="9" fillId="6" borderId="2" xfId="0" applyFont="true" applyBorder="true" applyAlignment="true" applyProtection="false">
      <alignment horizontal="center" vertical="top" textRotation="0" wrapText="true" indent="0" shrinkToFit="false"/>
      <protection locked="true" hidden="false"/>
    </xf>
    <xf numFmtId="167" fontId="13" fillId="4" borderId="2" xfId="0" applyFont="true" applyBorder="true" applyAlignment="true" applyProtection="false">
      <alignment horizontal="right" vertical="center" textRotation="0" wrapText="fals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5" fontId="9" fillId="6" borderId="7"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B050"/>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EEF6E8"/>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2EFDA"/>
      <rgbColor rgb="FFFFF59D"/>
      <rgbColor rgb="FF99CCFF"/>
      <rgbColor rgb="FFFF99CC"/>
      <rgbColor rgb="FFCC99FF"/>
      <rgbColor rgb="FFFFCC99"/>
      <rgbColor rgb="FF3366FF"/>
      <rgbColor rgb="FF33CCCC"/>
      <rgbColor rgb="FF99CC00"/>
      <rgbColor rgb="FFFFCC00"/>
      <rgbColor rgb="FFFF9900"/>
      <rgbColor rgb="FFED7D31"/>
      <rgbColor rgb="FF595959"/>
      <rgbColor rgb="FF70AD47"/>
      <rgbColor rgb="FF1F3864"/>
      <rgbColor rgb="FF00B050"/>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AF34"/>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6.5" hidden="false" customHeight="true" outlineLevel="0" collapsed="false">
      <c r="B2" s="2" t="s">
        <v>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4" customFormat="false" ht="18.75" hidden="false" customHeight="true" outlineLevel="0" collapsed="false">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6.5" hidden="false" customHeight="true" outlineLevel="0" collapsed="false">
      <c r="B5" s="4" t="s">
        <v>3</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B6" s="4" t="s">
        <v>4</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B7" s="4" t="s">
        <v>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6.5" hidden="false" customHeight="true" outlineLevel="0" collapsed="false">
      <c r="B8" s="4" t="s">
        <v>6</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ustomFormat="false" ht="16.5" hidden="false" customHeight="true" outlineLevel="0" collapsed="false">
      <c r="B9" s="4" t="s">
        <v>7</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ustomFormat="false" ht="16.5" hidden="false" customHeight="true" outlineLevel="0" collapsed="false">
      <c r="B10" s="4" t="s">
        <v>8</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2" customFormat="false" ht="18.75" hidden="false" customHeight="true" outlineLevel="0" collapsed="false">
      <c r="B12" s="3" t="s">
        <v>9</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false" outlineLevel="0" collapsed="false">
      <c r="B13" s="5" t="n">
        <v>1000</v>
      </c>
      <c r="C13" s="5"/>
      <c r="D13" s="5"/>
      <c r="E13" s="5"/>
      <c r="F13" s="5"/>
      <c r="H13" s="6" t="s">
        <v>10</v>
      </c>
      <c r="I13" s="6"/>
      <c r="J13" s="6"/>
      <c r="K13" s="6"/>
      <c r="L13" s="6"/>
      <c r="M13" s="6"/>
      <c r="N13" s="6"/>
      <c r="O13" s="6"/>
      <c r="P13" s="6"/>
      <c r="Q13" s="6"/>
      <c r="R13" s="6"/>
      <c r="S13" s="6"/>
      <c r="T13" s="6"/>
      <c r="U13" s="6"/>
      <c r="V13" s="6"/>
      <c r="W13" s="6"/>
      <c r="X13" s="6"/>
      <c r="Y13" s="6"/>
      <c r="Z13" s="6"/>
      <c r="AA13" s="6"/>
      <c r="AB13" s="6"/>
      <c r="AC13" s="6"/>
      <c r="AD13" s="6"/>
      <c r="AE13" s="6"/>
      <c r="AF13" s="6"/>
    </row>
    <row r="14" customFormat="false" ht="15" hidden="false" customHeight="false" outlineLevel="0" collapsed="false">
      <c r="B14" s="7" t="n">
        <v>1000</v>
      </c>
      <c r="C14" s="7"/>
      <c r="D14" s="7"/>
      <c r="E14" s="7"/>
      <c r="F14" s="7"/>
      <c r="H14" s="6" t="s">
        <v>11</v>
      </c>
      <c r="I14" s="6"/>
      <c r="J14" s="6"/>
      <c r="K14" s="6"/>
      <c r="L14" s="6"/>
      <c r="M14" s="6"/>
      <c r="N14" s="6"/>
      <c r="O14" s="6"/>
      <c r="P14" s="6"/>
      <c r="Q14" s="6"/>
      <c r="R14" s="6"/>
      <c r="S14" s="6"/>
      <c r="T14" s="6"/>
      <c r="U14" s="6"/>
      <c r="V14" s="6"/>
      <c r="W14" s="6"/>
      <c r="X14" s="6"/>
      <c r="Y14" s="6"/>
      <c r="Z14" s="6"/>
      <c r="AA14" s="6"/>
      <c r="AB14" s="6"/>
      <c r="AC14" s="6"/>
      <c r="AD14" s="6"/>
      <c r="AE14" s="6"/>
      <c r="AF14" s="6"/>
    </row>
    <row r="15" customFormat="false" ht="15" hidden="false" customHeight="false" outlineLevel="0" collapsed="false">
      <c r="B15" s="8"/>
      <c r="C15" s="8"/>
      <c r="D15" s="8"/>
      <c r="E15" s="8"/>
      <c r="F15" s="8"/>
      <c r="H15" s="6" t="s">
        <v>12</v>
      </c>
      <c r="I15" s="6"/>
      <c r="J15" s="6"/>
      <c r="K15" s="6"/>
      <c r="L15" s="6"/>
      <c r="M15" s="6"/>
      <c r="N15" s="6"/>
      <c r="O15" s="6"/>
      <c r="P15" s="6"/>
      <c r="Q15" s="6"/>
      <c r="R15" s="6"/>
      <c r="S15" s="6"/>
      <c r="T15" s="6"/>
      <c r="U15" s="6"/>
      <c r="V15" s="6"/>
      <c r="W15" s="6"/>
      <c r="X15" s="6"/>
      <c r="Y15" s="6"/>
      <c r="Z15" s="6"/>
      <c r="AA15" s="6"/>
      <c r="AB15" s="6"/>
      <c r="AC15" s="6"/>
      <c r="AD15" s="6"/>
      <c r="AE15" s="6"/>
      <c r="AF15" s="6"/>
    </row>
    <row r="16" customFormat="false" ht="15" hidden="false" customHeight="false" outlineLevel="0" collapsed="false">
      <c r="B16" s="9" t="n">
        <v>1000</v>
      </c>
      <c r="C16" s="9"/>
      <c r="D16" s="9"/>
      <c r="E16" s="9"/>
      <c r="F16" s="9"/>
      <c r="H16" s="6" t="s">
        <v>13</v>
      </c>
      <c r="I16" s="6"/>
      <c r="J16" s="6"/>
      <c r="K16" s="6"/>
      <c r="L16" s="6"/>
      <c r="M16" s="6"/>
      <c r="N16" s="6"/>
      <c r="O16" s="6"/>
      <c r="P16" s="6"/>
      <c r="Q16" s="6"/>
      <c r="R16" s="6"/>
      <c r="S16" s="6"/>
      <c r="T16" s="6"/>
      <c r="U16" s="6"/>
      <c r="V16" s="6"/>
      <c r="W16" s="6"/>
      <c r="X16" s="6"/>
      <c r="Y16" s="6"/>
      <c r="Z16" s="6"/>
      <c r="AA16" s="6"/>
      <c r="AB16" s="6"/>
      <c r="AC16" s="6"/>
      <c r="AD16" s="6"/>
      <c r="AE16" s="6"/>
      <c r="AF16" s="6"/>
    </row>
    <row r="18" customFormat="false" ht="18.75" hidden="false" customHeight="true" outlineLevel="0" collapsed="false">
      <c r="B18" s="3" t="s">
        <v>14</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6.5" hidden="false" customHeight="true" outlineLevel="0" collapsed="false">
      <c r="B19" s="4" t="s">
        <v>15</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ustomFormat="false" ht="16.5" hidden="false" customHeight="true" outlineLevel="0" collapsed="false">
      <c r="B20" s="4" t="s">
        <v>16</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ustomFormat="false" ht="16.5" hidden="false" customHeight="true" outlineLevel="0" collapsed="false">
      <c r="B21" s="4" t="s">
        <v>17</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ustomFormat="false" ht="16.5" hidden="false" customHeight="true" outlineLevel="0" collapsed="false">
      <c r="B22" s="4" t="s">
        <v>18</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4" customFormat="false" ht="18.75" hidden="false" customHeight="true" outlineLevel="0" collapsed="false">
      <c r="B24" s="3" t="s">
        <v>19</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7.25" hidden="false" customHeight="true" outlineLevel="0" collapsed="false">
      <c r="B25" s="10" t="s">
        <v>20</v>
      </c>
      <c r="C25" s="10"/>
      <c r="D25" s="10"/>
      <c r="E25" s="10"/>
      <c r="F25" s="10"/>
      <c r="G25" s="10"/>
      <c r="H25" s="10"/>
      <c r="I25" s="11" t="s">
        <v>21</v>
      </c>
      <c r="J25" s="11"/>
      <c r="K25" s="11"/>
      <c r="L25" s="11"/>
      <c r="M25" s="11"/>
      <c r="N25" s="11"/>
      <c r="O25" s="11"/>
      <c r="P25" s="11"/>
      <c r="Q25" s="11"/>
      <c r="R25" s="11"/>
      <c r="S25" s="11"/>
      <c r="T25" s="11"/>
      <c r="U25" s="11"/>
      <c r="V25" s="11"/>
      <c r="W25" s="11"/>
      <c r="X25" s="11"/>
      <c r="Y25" s="11"/>
      <c r="Z25" s="11"/>
      <c r="AA25" s="11"/>
      <c r="AB25" s="11"/>
      <c r="AC25" s="11"/>
      <c r="AD25" s="11"/>
      <c r="AE25" s="11"/>
      <c r="AF25" s="11"/>
    </row>
    <row r="26" customFormat="false" ht="17.25" hidden="false" customHeight="true" outlineLevel="0" collapsed="false">
      <c r="B26" s="12" t="s">
        <v>22</v>
      </c>
      <c r="C26" s="12"/>
      <c r="D26" s="12"/>
      <c r="E26" s="12"/>
      <c r="F26" s="12"/>
      <c r="G26" s="12"/>
      <c r="H26" s="12"/>
      <c r="I26" s="13" t="s">
        <v>23</v>
      </c>
      <c r="J26" s="13"/>
      <c r="K26" s="13"/>
      <c r="L26" s="13"/>
      <c r="M26" s="13"/>
      <c r="N26" s="13"/>
      <c r="O26" s="13"/>
      <c r="P26" s="13"/>
      <c r="Q26" s="13"/>
      <c r="R26" s="13"/>
      <c r="S26" s="13"/>
      <c r="T26" s="13"/>
      <c r="U26" s="13"/>
      <c r="V26" s="13"/>
      <c r="W26" s="13"/>
      <c r="X26" s="13"/>
      <c r="Y26" s="13"/>
      <c r="Z26" s="13"/>
      <c r="AA26" s="13"/>
      <c r="AB26" s="13"/>
      <c r="AC26" s="13"/>
      <c r="AD26" s="13"/>
      <c r="AE26" s="13"/>
      <c r="AF26" s="13"/>
    </row>
    <row r="27" customFormat="false" ht="17.25" hidden="false" customHeight="true" outlineLevel="0" collapsed="false">
      <c r="B27" s="12" t="s">
        <v>24</v>
      </c>
      <c r="C27" s="12"/>
      <c r="D27" s="12"/>
      <c r="E27" s="12"/>
      <c r="F27" s="12"/>
      <c r="G27" s="12"/>
      <c r="H27" s="12"/>
      <c r="I27" s="13" t="s">
        <v>23</v>
      </c>
      <c r="J27" s="13"/>
      <c r="K27" s="13"/>
      <c r="L27" s="13"/>
      <c r="M27" s="13"/>
      <c r="N27" s="13"/>
      <c r="O27" s="13"/>
      <c r="P27" s="13"/>
      <c r="Q27" s="13"/>
      <c r="R27" s="13"/>
      <c r="S27" s="13"/>
      <c r="T27" s="13"/>
      <c r="U27" s="13"/>
      <c r="V27" s="13"/>
      <c r="W27" s="13"/>
      <c r="X27" s="13"/>
      <c r="Y27" s="13"/>
      <c r="Z27" s="13"/>
      <c r="AA27" s="13"/>
      <c r="AB27" s="13"/>
      <c r="AC27" s="13"/>
      <c r="AD27" s="13"/>
      <c r="AE27" s="13"/>
      <c r="AF27" s="13"/>
    </row>
    <row r="28" customFormat="false" ht="17.25" hidden="false" customHeight="true" outlineLevel="0" collapsed="false">
      <c r="B28" s="12" t="s">
        <v>25</v>
      </c>
      <c r="C28" s="12"/>
      <c r="D28" s="12"/>
      <c r="E28" s="12"/>
      <c r="F28" s="12"/>
      <c r="G28" s="12"/>
      <c r="H28" s="12"/>
      <c r="I28" s="13" t="s">
        <v>23</v>
      </c>
      <c r="J28" s="13"/>
      <c r="K28" s="13"/>
      <c r="L28" s="13"/>
      <c r="M28" s="13"/>
      <c r="N28" s="13"/>
      <c r="O28" s="13"/>
      <c r="P28" s="13"/>
      <c r="Q28" s="13"/>
      <c r="R28" s="13"/>
      <c r="S28" s="13"/>
      <c r="T28" s="13"/>
      <c r="U28" s="13"/>
      <c r="V28" s="13"/>
      <c r="W28" s="13"/>
      <c r="X28" s="13"/>
      <c r="Y28" s="13"/>
      <c r="Z28" s="13"/>
      <c r="AA28" s="13"/>
      <c r="AB28" s="13"/>
      <c r="AC28" s="13"/>
      <c r="AD28" s="13"/>
      <c r="AE28" s="13"/>
      <c r="AF28" s="13"/>
    </row>
    <row r="29" customFormat="false" ht="17.25" hidden="false" customHeight="true" outlineLevel="0" collapsed="false">
      <c r="B29" s="12" t="s">
        <v>26</v>
      </c>
      <c r="C29" s="12"/>
      <c r="D29" s="12"/>
      <c r="E29" s="12"/>
      <c r="F29" s="12"/>
      <c r="G29" s="12"/>
      <c r="H29" s="12"/>
      <c r="I29" s="13" t="s">
        <v>23</v>
      </c>
      <c r="J29" s="13"/>
      <c r="K29" s="13"/>
      <c r="L29" s="13"/>
      <c r="M29" s="13"/>
      <c r="N29" s="13"/>
      <c r="O29" s="13"/>
      <c r="P29" s="13"/>
      <c r="Q29" s="13"/>
      <c r="R29" s="13"/>
      <c r="S29" s="13"/>
      <c r="T29" s="13"/>
      <c r="U29" s="13"/>
      <c r="V29" s="13"/>
      <c r="W29" s="13"/>
      <c r="X29" s="13"/>
      <c r="Y29" s="13"/>
      <c r="Z29" s="13"/>
      <c r="AA29" s="13"/>
      <c r="AB29" s="13"/>
      <c r="AC29" s="13"/>
      <c r="AD29" s="13"/>
      <c r="AE29" s="13"/>
      <c r="AF29" s="13"/>
    </row>
    <row r="30" customFormat="false" ht="17.25" hidden="false" customHeight="true" outlineLevel="0" collapsed="false">
      <c r="B30" s="12" t="s">
        <v>27</v>
      </c>
      <c r="C30" s="12"/>
      <c r="D30" s="12"/>
      <c r="E30" s="12"/>
      <c r="F30" s="12"/>
      <c r="G30" s="12"/>
      <c r="H30" s="12"/>
      <c r="I30" s="13" t="s">
        <v>28</v>
      </c>
      <c r="J30" s="13"/>
      <c r="K30" s="13"/>
      <c r="L30" s="13"/>
      <c r="M30" s="13"/>
      <c r="N30" s="13"/>
      <c r="O30" s="13"/>
      <c r="P30" s="13"/>
      <c r="Q30" s="13"/>
      <c r="R30" s="13"/>
      <c r="S30" s="13"/>
      <c r="T30" s="13"/>
      <c r="U30" s="13"/>
      <c r="V30" s="13"/>
      <c r="W30" s="13"/>
      <c r="X30" s="13"/>
      <c r="Y30" s="13"/>
      <c r="Z30" s="13"/>
      <c r="AA30" s="13"/>
      <c r="AB30" s="13"/>
      <c r="AC30" s="13"/>
      <c r="AD30" s="13"/>
      <c r="AE30" s="13"/>
      <c r="AF30" s="13"/>
    </row>
    <row r="31" customFormat="false" ht="17.25" hidden="false" customHeight="true" outlineLevel="0" collapsed="false">
      <c r="B31" s="12" t="s">
        <v>29</v>
      </c>
      <c r="C31" s="12"/>
      <c r="D31" s="12"/>
      <c r="E31" s="12"/>
      <c r="F31" s="12"/>
      <c r="G31" s="12"/>
      <c r="H31" s="12"/>
      <c r="I31" s="13" t="s">
        <v>30</v>
      </c>
      <c r="J31" s="13"/>
      <c r="K31" s="13"/>
      <c r="L31" s="13"/>
      <c r="M31" s="13"/>
      <c r="N31" s="13"/>
      <c r="O31" s="13"/>
      <c r="P31" s="13"/>
      <c r="Q31" s="13"/>
      <c r="R31" s="13"/>
      <c r="S31" s="13"/>
      <c r="T31" s="13"/>
      <c r="U31" s="13"/>
      <c r="V31" s="13"/>
      <c r="W31" s="13"/>
      <c r="X31" s="13"/>
      <c r="Y31" s="13"/>
      <c r="Z31" s="13"/>
      <c r="AA31" s="13"/>
      <c r="AB31" s="13"/>
      <c r="AC31" s="13"/>
      <c r="AD31" s="13"/>
      <c r="AE31" s="13"/>
      <c r="AF31" s="13"/>
    </row>
    <row r="32" customFormat="false" ht="17.25" hidden="false" customHeight="true" outlineLevel="0" collapsed="false">
      <c r="B32" s="12" t="s">
        <v>31</v>
      </c>
      <c r="C32" s="12"/>
      <c r="D32" s="12"/>
      <c r="E32" s="12"/>
      <c r="F32" s="12"/>
      <c r="G32" s="12"/>
      <c r="H32" s="12"/>
      <c r="I32" s="13" t="s">
        <v>32</v>
      </c>
      <c r="J32" s="13"/>
      <c r="K32" s="13"/>
      <c r="L32" s="13"/>
      <c r="M32" s="13"/>
      <c r="N32" s="13"/>
      <c r="O32" s="13"/>
      <c r="P32" s="13"/>
      <c r="Q32" s="13"/>
      <c r="R32" s="13"/>
      <c r="S32" s="13"/>
      <c r="T32" s="13"/>
      <c r="U32" s="13"/>
      <c r="V32" s="13"/>
      <c r="W32" s="13"/>
      <c r="X32" s="13"/>
      <c r="Y32" s="13"/>
      <c r="Z32" s="13"/>
      <c r="AA32" s="13"/>
      <c r="AB32" s="13"/>
      <c r="AC32" s="13"/>
      <c r="AD32" s="13"/>
      <c r="AE32" s="13"/>
      <c r="AF32" s="13"/>
    </row>
    <row r="33" customFormat="false" ht="17.25" hidden="false" customHeight="true" outlineLevel="0" collapsed="false">
      <c r="B33" s="12" t="s">
        <v>33</v>
      </c>
      <c r="C33" s="12"/>
      <c r="D33" s="12"/>
      <c r="E33" s="12"/>
      <c r="F33" s="12"/>
      <c r="G33" s="12"/>
      <c r="H33" s="12"/>
      <c r="I33" s="13" t="s">
        <v>34</v>
      </c>
      <c r="J33" s="13"/>
      <c r="K33" s="13"/>
      <c r="L33" s="13"/>
      <c r="M33" s="13"/>
      <c r="N33" s="13"/>
      <c r="O33" s="13"/>
      <c r="P33" s="13"/>
      <c r="Q33" s="13"/>
      <c r="R33" s="13"/>
      <c r="S33" s="13"/>
      <c r="T33" s="13"/>
      <c r="U33" s="13"/>
      <c r="V33" s="13"/>
      <c r="W33" s="13"/>
      <c r="X33" s="13"/>
      <c r="Y33" s="13"/>
      <c r="Z33" s="13"/>
      <c r="AA33" s="13"/>
      <c r="AB33" s="13"/>
      <c r="AC33" s="13"/>
      <c r="AD33" s="13"/>
      <c r="AE33" s="13"/>
      <c r="AF33" s="13"/>
    </row>
    <row r="34" customFormat="false" ht="17.25" hidden="false" customHeight="true" outlineLevel="0" collapsed="false">
      <c r="B34" s="12" t="s">
        <v>35</v>
      </c>
      <c r="C34" s="12"/>
      <c r="D34" s="12"/>
      <c r="E34" s="12"/>
      <c r="F34" s="12"/>
      <c r="G34" s="12"/>
      <c r="H34" s="12"/>
      <c r="I34" s="13" t="s">
        <v>36</v>
      </c>
      <c r="J34" s="13"/>
      <c r="K34" s="13"/>
      <c r="L34" s="13"/>
      <c r="M34" s="13"/>
      <c r="N34" s="13"/>
      <c r="O34" s="13"/>
      <c r="P34" s="13"/>
      <c r="Q34" s="13"/>
      <c r="R34" s="13"/>
      <c r="S34" s="13"/>
      <c r="T34" s="13"/>
      <c r="U34" s="13"/>
      <c r="V34" s="13"/>
      <c r="W34" s="13"/>
      <c r="X34" s="13"/>
      <c r="Y34" s="13"/>
      <c r="Z34" s="13"/>
      <c r="AA34" s="13"/>
      <c r="AB34" s="13"/>
      <c r="AC34" s="13"/>
      <c r="AD34" s="13"/>
      <c r="AE34" s="13"/>
      <c r="AF34" s="13"/>
    </row>
  </sheetData>
  <mergeCells count="44">
    <mergeCell ref="B1:AF1"/>
    <mergeCell ref="B2:AF2"/>
    <mergeCell ref="B4:AF4"/>
    <mergeCell ref="B5:AF5"/>
    <mergeCell ref="B6:AF6"/>
    <mergeCell ref="B7:AF7"/>
    <mergeCell ref="B8:AF8"/>
    <mergeCell ref="B9:AF9"/>
    <mergeCell ref="B10:AF10"/>
    <mergeCell ref="B12:AF12"/>
    <mergeCell ref="B13:F13"/>
    <mergeCell ref="H13:AF13"/>
    <mergeCell ref="B14:F14"/>
    <mergeCell ref="H14:AF14"/>
    <mergeCell ref="B15:F15"/>
    <mergeCell ref="H15:AF15"/>
    <mergeCell ref="B16:F16"/>
    <mergeCell ref="H16:AF16"/>
    <mergeCell ref="B18:AF18"/>
    <mergeCell ref="B19:AF19"/>
    <mergeCell ref="B20:AF20"/>
    <mergeCell ref="B21:AF21"/>
    <mergeCell ref="B22:AF22"/>
    <mergeCell ref="B24:AF24"/>
    <mergeCell ref="B25:H25"/>
    <mergeCell ref="I25:AF25"/>
    <mergeCell ref="B26:H26"/>
    <mergeCell ref="I26:AF26"/>
    <mergeCell ref="B27:H27"/>
    <mergeCell ref="I27:AF27"/>
    <mergeCell ref="B28:H28"/>
    <mergeCell ref="I28:AF28"/>
    <mergeCell ref="B29:H29"/>
    <mergeCell ref="I29:AF29"/>
    <mergeCell ref="B30:H30"/>
    <mergeCell ref="I30:AF30"/>
    <mergeCell ref="B31:H31"/>
    <mergeCell ref="I31:AF31"/>
    <mergeCell ref="B32:H32"/>
    <mergeCell ref="I32:AF32"/>
    <mergeCell ref="B33:H33"/>
    <mergeCell ref="I33:AF33"/>
    <mergeCell ref="B34:H34"/>
    <mergeCell ref="I34:AF34"/>
  </mergeCells>
  <conditionalFormatting sqref="B1:AG35">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B1:AF4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37</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38</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16.5" hidden="false" customHeight="true" outlineLevel="0" collapsed="false">
      <c r="B5" s="4" t="s">
        <v>39</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40</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42</v>
      </c>
      <c r="C7" s="12"/>
      <c r="D7" s="12"/>
      <c r="E7" s="12"/>
      <c r="F7" s="12"/>
      <c r="G7" s="12"/>
      <c r="H7" s="12"/>
      <c r="I7" s="12"/>
      <c r="J7" s="12"/>
      <c r="K7" s="12"/>
      <c r="L7" s="12"/>
      <c r="M7" s="12"/>
      <c r="N7" s="12"/>
      <c r="O7" s="12"/>
      <c r="P7" s="12"/>
      <c r="Q7" s="12"/>
      <c r="R7" s="12"/>
      <c r="S7" s="12"/>
      <c r="T7" s="12"/>
      <c r="U7" s="12"/>
      <c r="V7" s="12"/>
      <c r="W7" s="12"/>
      <c r="X7" s="17" t="n">
        <v>20000</v>
      </c>
      <c r="Y7" s="17"/>
      <c r="Z7" s="17"/>
      <c r="AA7" s="17"/>
      <c r="AB7" s="17"/>
      <c r="AC7" s="17"/>
    </row>
    <row r="8" customFormat="false" ht="16.5" hidden="false" customHeight="true" outlineLevel="0" collapsed="false">
      <c r="B8" s="12" t="s">
        <v>43</v>
      </c>
      <c r="C8" s="12"/>
      <c r="D8" s="12"/>
      <c r="E8" s="12"/>
      <c r="F8" s="12"/>
      <c r="G8" s="12"/>
      <c r="H8" s="12"/>
      <c r="I8" s="12"/>
      <c r="J8" s="12"/>
      <c r="K8" s="12"/>
      <c r="L8" s="12"/>
      <c r="M8" s="12"/>
      <c r="N8" s="12"/>
      <c r="O8" s="12"/>
      <c r="P8" s="12"/>
      <c r="Q8" s="12"/>
      <c r="R8" s="12"/>
      <c r="S8" s="12"/>
      <c r="T8" s="12"/>
      <c r="U8" s="12"/>
      <c r="V8" s="12"/>
      <c r="W8" s="12"/>
      <c r="X8" s="17" t="n">
        <v>2000</v>
      </c>
      <c r="Y8" s="17"/>
      <c r="Z8" s="17"/>
      <c r="AA8" s="17"/>
      <c r="AB8" s="17"/>
      <c r="AC8" s="17"/>
    </row>
    <row r="9" customFormat="false" ht="16.5" hidden="false" customHeight="true" outlineLevel="0" collapsed="false">
      <c r="B9" s="12" t="s">
        <v>44</v>
      </c>
      <c r="C9" s="12"/>
      <c r="D9" s="12"/>
      <c r="E9" s="12"/>
      <c r="F9" s="12"/>
      <c r="G9" s="12"/>
      <c r="H9" s="12"/>
      <c r="I9" s="12"/>
      <c r="J9" s="12"/>
      <c r="K9" s="12"/>
      <c r="L9" s="12"/>
      <c r="M9" s="12"/>
      <c r="N9" s="12"/>
      <c r="O9" s="12"/>
      <c r="P9" s="12"/>
      <c r="Q9" s="12"/>
      <c r="R9" s="12"/>
      <c r="S9" s="12"/>
      <c r="T9" s="12"/>
      <c r="U9" s="12"/>
      <c r="V9" s="12"/>
      <c r="W9" s="12"/>
      <c r="X9" s="18" t="n">
        <v>4</v>
      </c>
      <c r="Y9" s="18"/>
      <c r="Z9" s="18"/>
      <c r="AA9" s="18"/>
      <c r="AB9" s="18"/>
      <c r="AC9" s="18"/>
    </row>
    <row r="11" customFormat="false" ht="17.25" hidden="false" customHeight="true" outlineLevel="0" collapsed="false">
      <c r="B11" s="19" t="s">
        <v>45</v>
      </c>
      <c r="C11" s="19"/>
      <c r="D11" s="19"/>
      <c r="E11" s="19"/>
      <c r="F11" s="19"/>
      <c r="G11" s="19"/>
      <c r="H11" s="19"/>
      <c r="I11" s="19"/>
      <c r="J11" s="19"/>
      <c r="K11" s="19"/>
      <c r="L11" s="19"/>
      <c r="M11" s="19"/>
      <c r="N11" s="19"/>
      <c r="O11" s="19"/>
      <c r="P11" s="19"/>
      <c r="Q11" s="19"/>
      <c r="R11" s="19"/>
      <c r="S11" s="19"/>
      <c r="T11" s="19"/>
      <c r="U11" s="19"/>
      <c r="V11" s="19"/>
      <c r="W11" s="19"/>
      <c r="X11" s="7" t="n">
        <f aca="false">($X$7-$X$8)/$X$9</f>
        <v>4500</v>
      </c>
      <c r="Y11" s="7"/>
      <c r="Z11" s="7"/>
      <c r="AA11" s="7"/>
      <c r="AB11" s="7"/>
    </row>
    <row r="13" customFormat="false" ht="17.25" hidden="false" customHeight="true" outlineLevel="0" collapsed="false">
      <c r="B13" s="10" t="s">
        <v>46</v>
      </c>
      <c r="C13" s="10"/>
      <c r="D13" s="10"/>
      <c r="E13" s="10"/>
      <c r="F13" s="10"/>
      <c r="G13" s="10"/>
      <c r="H13" s="10"/>
      <c r="I13" s="11" t="s">
        <v>47</v>
      </c>
      <c r="J13" s="11"/>
      <c r="K13" s="11"/>
      <c r="L13" s="11"/>
      <c r="M13" s="11"/>
      <c r="N13" s="11"/>
      <c r="O13" s="11"/>
      <c r="P13" s="11"/>
      <c r="Q13" s="11" t="s">
        <v>48</v>
      </c>
      <c r="R13" s="11"/>
      <c r="S13" s="11"/>
      <c r="T13" s="11"/>
      <c r="U13" s="11"/>
      <c r="V13" s="11"/>
      <c r="W13" s="11"/>
      <c r="X13" s="11"/>
      <c r="Y13" s="11" t="s">
        <v>49</v>
      </c>
      <c r="Z13" s="11"/>
      <c r="AA13" s="11"/>
      <c r="AB13" s="11"/>
      <c r="AC13" s="11"/>
      <c r="AD13" s="11"/>
      <c r="AE13" s="11"/>
      <c r="AF13" s="11"/>
    </row>
    <row r="14" customFormat="false" ht="17.25" hidden="false" customHeight="true" outlineLevel="0" collapsed="false">
      <c r="B14" s="12" t="s">
        <v>50</v>
      </c>
      <c r="C14" s="12"/>
      <c r="D14" s="12"/>
      <c r="E14" s="12"/>
      <c r="F14" s="12"/>
      <c r="G14" s="12"/>
      <c r="H14" s="12"/>
      <c r="I14" s="20" t="n">
        <f aca="false">IF(1&gt;$X$9,"",$X$11)</f>
        <v>4500</v>
      </c>
      <c r="J14" s="20"/>
      <c r="K14" s="20"/>
      <c r="L14" s="20"/>
      <c r="M14" s="20"/>
      <c r="N14" s="20"/>
      <c r="O14" s="20"/>
      <c r="P14" s="20"/>
      <c r="Q14" s="20" t="n">
        <f aca="false">IF(1&gt;$X$9,"",$I$14)</f>
        <v>4500</v>
      </c>
      <c r="R14" s="20"/>
      <c r="S14" s="20"/>
      <c r="T14" s="20"/>
      <c r="U14" s="20"/>
      <c r="V14" s="20"/>
      <c r="W14" s="20"/>
      <c r="X14" s="20"/>
      <c r="Y14" s="20" t="n">
        <f aca="false">IF(1&gt;$X$9,"",$X$7-$Q$14)</f>
        <v>15500</v>
      </c>
      <c r="Z14" s="20"/>
      <c r="AA14" s="20"/>
      <c r="AB14" s="20"/>
      <c r="AC14" s="20"/>
      <c r="AD14" s="20"/>
      <c r="AE14" s="20"/>
      <c r="AF14" s="20"/>
    </row>
    <row r="15" customFormat="false" ht="17.25" hidden="false" customHeight="true" outlineLevel="0" collapsed="false">
      <c r="B15" s="12" t="s">
        <v>51</v>
      </c>
      <c r="C15" s="12"/>
      <c r="D15" s="12"/>
      <c r="E15" s="12"/>
      <c r="F15" s="12"/>
      <c r="G15" s="12"/>
      <c r="H15" s="12"/>
      <c r="I15" s="20" t="n">
        <f aca="false">IF(2&gt;$X$9,"",$X$11)</f>
        <v>4500</v>
      </c>
      <c r="J15" s="20"/>
      <c r="K15" s="20"/>
      <c r="L15" s="20"/>
      <c r="M15" s="20"/>
      <c r="N15" s="20"/>
      <c r="O15" s="20"/>
      <c r="P15" s="20"/>
      <c r="Q15" s="20" t="n">
        <f aca="false">IF(2&gt;$X$9,"",$Q$14+$I$15)</f>
        <v>9000</v>
      </c>
      <c r="R15" s="20"/>
      <c r="S15" s="20"/>
      <c r="T15" s="20"/>
      <c r="U15" s="20"/>
      <c r="V15" s="20"/>
      <c r="W15" s="20"/>
      <c r="X15" s="20"/>
      <c r="Y15" s="20" t="n">
        <f aca="false">IF(2&gt;$X$9,"",$X$7-$Q$15)</f>
        <v>11000</v>
      </c>
      <c r="Z15" s="20"/>
      <c r="AA15" s="20"/>
      <c r="AB15" s="20"/>
      <c r="AC15" s="20"/>
      <c r="AD15" s="20"/>
      <c r="AE15" s="20"/>
      <c r="AF15" s="20"/>
    </row>
    <row r="16" customFormat="false" ht="17.25" hidden="false" customHeight="true" outlineLevel="0" collapsed="false">
      <c r="B16" s="12" t="s">
        <v>52</v>
      </c>
      <c r="C16" s="12"/>
      <c r="D16" s="12"/>
      <c r="E16" s="12"/>
      <c r="F16" s="12"/>
      <c r="G16" s="12"/>
      <c r="H16" s="12"/>
      <c r="I16" s="20" t="n">
        <f aca="false">IF(3&gt;$X$9,"",$X$11)</f>
        <v>4500</v>
      </c>
      <c r="J16" s="20"/>
      <c r="K16" s="20"/>
      <c r="L16" s="20"/>
      <c r="M16" s="20"/>
      <c r="N16" s="20"/>
      <c r="O16" s="20"/>
      <c r="P16" s="20"/>
      <c r="Q16" s="20" t="n">
        <f aca="false">IF(3&gt;$X$9,"",$Q$15+$I$16)</f>
        <v>13500</v>
      </c>
      <c r="R16" s="20"/>
      <c r="S16" s="20"/>
      <c r="T16" s="20"/>
      <c r="U16" s="20"/>
      <c r="V16" s="20"/>
      <c r="W16" s="20"/>
      <c r="X16" s="20"/>
      <c r="Y16" s="20" t="n">
        <f aca="false">IF(3&gt;$X$9,"",$X$7-$Q$16)</f>
        <v>6500</v>
      </c>
      <c r="Z16" s="20"/>
      <c r="AA16" s="20"/>
      <c r="AB16" s="20"/>
      <c r="AC16" s="20"/>
      <c r="AD16" s="20"/>
      <c r="AE16" s="20"/>
      <c r="AF16" s="20"/>
    </row>
    <row r="17" customFormat="false" ht="17.25" hidden="false" customHeight="true" outlineLevel="0" collapsed="false">
      <c r="B17" s="12" t="s">
        <v>53</v>
      </c>
      <c r="C17" s="12"/>
      <c r="D17" s="12"/>
      <c r="E17" s="12"/>
      <c r="F17" s="12"/>
      <c r="G17" s="12"/>
      <c r="H17" s="12"/>
      <c r="I17" s="20" t="n">
        <f aca="false">IF(4&gt;$X$9,"",$X$11)</f>
        <v>4500</v>
      </c>
      <c r="J17" s="20"/>
      <c r="K17" s="20"/>
      <c r="L17" s="20"/>
      <c r="M17" s="20"/>
      <c r="N17" s="20"/>
      <c r="O17" s="20"/>
      <c r="P17" s="20"/>
      <c r="Q17" s="20" t="n">
        <f aca="false">IF(4&gt;$X$9,"",$Q$16+$I$17)</f>
        <v>18000</v>
      </c>
      <c r="R17" s="20"/>
      <c r="S17" s="20"/>
      <c r="T17" s="20"/>
      <c r="U17" s="20"/>
      <c r="V17" s="20"/>
      <c r="W17" s="20"/>
      <c r="X17" s="20"/>
      <c r="Y17" s="20" t="n">
        <f aca="false">IF(4&gt;$X$9,"",$X$7-$Q$17)</f>
        <v>2000</v>
      </c>
      <c r="Z17" s="20"/>
      <c r="AA17" s="20"/>
      <c r="AB17" s="20"/>
      <c r="AC17" s="20"/>
      <c r="AD17" s="20"/>
      <c r="AE17" s="20"/>
      <c r="AF17" s="20"/>
    </row>
    <row r="18" customFormat="false" ht="17.25" hidden="false" customHeight="true" outlineLevel="0" collapsed="false">
      <c r="B18" s="12" t="s">
        <v>54</v>
      </c>
      <c r="C18" s="12"/>
      <c r="D18" s="12"/>
      <c r="E18" s="12"/>
      <c r="F18" s="12"/>
      <c r="G18" s="12"/>
      <c r="H18" s="12"/>
      <c r="I18" s="20" t="str">
        <f aca="false">IF(5&gt;$X$9,"",$X$11)</f>
        <v/>
      </c>
      <c r="J18" s="20"/>
      <c r="K18" s="20"/>
      <c r="L18" s="20"/>
      <c r="M18" s="20"/>
      <c r="N18" s="20"/>
      <c r="O18" s="20"/>
      <c r="P18" s="20"/>
      <c r="Q18" s="20" t="str">
        <f aca="false">IF(5&gt;$X$9,"",$Q$17+$I$18)</f>
        <v/>
      </c>
      <c r="R18" s="20"/>
      <c r="S18" s="20"/>
      <c r="T18" s="20"/>
      <c r="U18" s="20"/>
      <c r="V18" s="20"/>
      <c r="W18" s="20"/>
      <c r="X18" s="20"/>
      <c r="Y18" s="20" t="str">
        <f aca="false">IF(5&gt;$X$9,"",$X$7-$Q$18)</f>
        <v/>
      </c>
      <c r="Z18" s="20"/>
      <c r="AA18" s="20"/>
      <c r="AB18" s="20"/>
      <c r="AC18" s="20"/>
      <c r="AD18" s="20"/>
      <c r="AE18" s="20"/>
      <c r="AF18" s="20"/>
    </row>
    <row r="19" customFormat="false" ht="17.25" hidden="false" customHeight="true" outlineLevel="0" collapsed="false">
      <c r="B19" s="12" t="s">
        <v>55</v>
      </c>
      <c r="C19" s="12"/>
      <c r="D19" s="12"/>
      <c r="E19" s="12"/>
      <c r="F19" s="12"/>
      <c r="G19" s="12"/>
      <c r="H19" s="12"/>
      <c r="I19" s="20" t="str">
        <f aca="false">IF(6&gt;$X$9,"",$X$11)</f>
        <v/>
      </c>
      <c r="J19" s="20"/>
      <c r="K19" s="20"/>
      <c r="L19" s="20"/>
      <c r="M19" s="20"/>
      <c r="N19" s="20"/>
      <c r="O19" s="20"/>
      <c r="P19" s="20"/>
      <c r="Q19" s="20" t="str">
        <f aca="false">IF(6&gt;$X$9,"",$Q$18+$I$19)</f>
        <v/>
      </c>
      <c r="R19" s="20"/>
      <c r="S19" s="20"/>
      <c r="T19" s="20"/>
      <c r="U19" s="20"/>
      <c r="V19" s="20"/>
      <c r="W19" s="20"/>
      <c r="X19" s="20"/>
      <c r="Y19" s="20" t="str">
        <f aca="false">IF(6&gt;$X$9,"",$X$7-$Q$19)</f>
        <v/>
      </c>
      <c r="Z19" s="20"/>
      <c r="AA19" s="20"/>
      <c r="AB19" s="20"/>
      <c r="AC19" s="20"/>
      <c r="AD19" s="20"/>
      <c r="AE19" s="20"/>
      <c r="AF19" s="20"/>
    </row>
    <row r="20" customFormat="false" ht="17.25" hidden="false" customHeight="true" outlineLevel="0" collapsed="false">
      <c r="B20" s="12" t="s">
        <v>56</v>
      </c>
      <c r="C20" s="12"/>
      <c r="D20" s="12"/>
      <c r="E20" s="12"/>
      <c r="F20" s="12"/>
      <c r="G20" s="12"/>
      <c r="H20" s="12"/>
      <c r="I20" s="20" t="str">
        <f aca="false">IF(7&gt;$X$9,"",$X$11)</f>
        <v/>
      </c>
      <c r="J20" s="20"/>
      <c r="K20" s="20"/>
      <c r="L20" s="20"/>
      <c r="M20" s="20"/>
      <c r="N20" s="20"/>
      <c r="O20" s="20"/>
      <c r="P20" s="20"/>
      <c r="Q20" s="20" t="str">
        <f aca="false">IF(7&gt;$X$9,"",$Q$19+$I$20)</f>
        <v/>
      </c>
      <c r="R20" s="20"/>
      <c r="S20" s="20"/>
      <c r="T20" s="20"/>
      <c r="U20" s="20"/>
      <c r="V20" s="20"/>
      <c r="W20" s="20"/>
      <c r="X20" s="20"/>
      <c r="Y20" s="20" t="str">
        <f aca="false">IF(7&gt;$X$9,"",$X$7-$Q$20)</f>
        <v/>
      </c>
      <c r="Z20" s="20"/>
      <c r="AA20" s="20"/>
      <c r="AB20" s="20"/>
      <c r="AC20" s="20"/>
      <c r="AD20" s="20"/>
      <c r="AE20" s="20"/>
      <c r="AF20" s="20"/>
    </row>
    <row r="21" customFormat="false" ht="17.25" hidden="false" customHeight="true" outlineLevel="0" collapsed="false">
      <c r="B21" s="12" t="s">
        <v>57</v>
      </c>
      <c r="C21" s="12"/>
      <c r="D21" s="12"/>
      <c r="E21" s="12"/>
      <c r="F21" s="12"/>
      <c r="G21" s="12"/>
      <c r="H21" s="12"/>
      <c r="I21" s="20" t="str">
        <f aca="false">IF(8&gt;$X$9,"",$X$11)</f>
        <v/>
      </c>
      <c r="J21" s="20"/>
      <c r="K21" s="20"/>
      <c r="L21" s="20"/>
      <c r="M21" s="20"/>
      <c r="N21" s="20"/>
      <c r="O21" s="20"/>
      <c r="P21" s="20"/>
      <c r="Q21" s="20" t="str">
        <f aca="false">IF(8&gt;$X$9,"",$Q$20+$I$21)</f>
        <v/>
      </c>
      <c r="R21" s="20"/>
      <c r="S21" s="20"/>
      <c r="T21" s="20"/>
      <c r="U21" s="20"/>
      <c r="V21" s="20"/>
      <c r="W21" s="20"/>
      <c r="X21" s="20"/>
      <c r="Y21" s="20" t="str">
        <f aca="false">IF(8&gt;$X$9,"",$X$7-$Q$21)</f>
        <v/>
      </c>
      <c r="Z21" s="20"/>
      <c r="AA21" s="20"/>
      <c r="AB21" s="20"/>
      <c r="AC21" s="20"/>
      <c r="AD21" s="20"/>
      <c r="AE21" s="20"/>
      <c r="AF21" s="20"/>
    </row>
    <row r="22" customFormat="false" ht="16.5" hidden="false" customHeight="true" outlineLevel="0" collapsed="false">
      <c r="B22" s="2" t="s">
        <v>58</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4" customFormat="false" ht="18.75" hidden="false" customHeight="true" outlineLevel="0" collapsed="false">
      <c r="B24" s="3" t="s">
        <v>59</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false" outlineLevel="0" collapsed="false">
      <c r="B25" s="21" t="s">
        <v>60</v>
      </c>
      <c r="C25" s="21"/>
      <c r="D25" s="21"/>
      <c r="E25" s="22" t="s">
        <v>61</v>
      </c>
      <c r="F25" s="22"/>
      <c r="G25" s="22"/>
      <c r="H25" s="22"/>
      <c r="I25" s="22"/>
      <c r="J25" s="22"/>
      <c r="K25" s="22"/>
      <c r="L25" s="22"/>
      <c r="M25" s="22"/>
      <c r="N25" s="22"/>
      <c r="O25" s="22"/>
      <c r="P25" s="22"/>
      <c r="Q25" s="22"/>
      <c r="R25" s="22"/>
      <c r="S25" s="22"/>
      <c r="T25" s="22"/>
      <c r="U25" s="22"/>
      <c r="V25" s="22"/>
      <c r="W25" s="22"/>
      <c r="X25" s="22"/>
      <c r="Y25" s="22"/>
      <c r="Z25" s="22"/>
      <c r="AA25" s="22"/>
      <c r="AB25" s="22"/>
      <c r="AC25" s="22"/>
      <c r="AD25" s="23" t="s">
        <v>62</v>
      </c>
      <c r="AE25" s="23"/>
      <c r="AF25" s="23"/>
    </row>
    <row r="26" customFormat="false" ht="15" hidden="false" customHeight="false" outlineLevel="0" collapsed="false">
      <c r="B26" s="24" t="s">
        <v>63</v>
      </c>
      <c r="C26" s="24"/>
      <c r="D26" s="24"/>
      <c r="E26" s="24" t="s">
        <v>64</v>
      </c>
      <c r="F26" s="24"/>
      <c r="G26" s="24"/>
      <c r="H26" s="24"/>
      <c r="I26" s="24"/>
      <c r="J26" s="24"/>
      <c r="K26" s="24"/>
      <c r="L26" s="25" t="s">
        <v>65</v>
      </c>
      <c r="M26" s="26" t="s">
        <v>66</v>
      </c>
      <c r="N26" s="26"/>
      <c r="O26" s="26"/>
      <c r="P26" s="26"/>
      <c r="Q26" s="27"/>
      <c r="R26" s="28" t="s">
        <v>63</v>
      </c>
      <c r="S26" s="28"/>
      <c r="T26" s="28"/>
      <c r="U26" s="24" t="s">
        <v>64</v>
      </c>
      <c r="V26" s="24"/>
      <c r="W26" s="24"/>
      <c r="X26" s="24"/>
      <c r="Y26" s="24"/>
      <c r="Z26" s="24"/>
      <c r="AA26" s="24"/>
      <c r="AB26" s="25" t="s">
        <v>65</v>
      </c>
      <c r="AC26" s="26" t="s">
        <v>66</v>
      </c>
      <c r="AD26" s="26"/>
      <c r="AE26" s="26"/>
      <c r="AF26" s="26"/>
    </row>
    <row r="27" customFormat="false" ht="17.25" hidden="false" customHeight="true" outlineLevel="0" collapsed="false">
      <c r="B27" s="6" t="s">
        <v>67</v>
      </c>
      <c r="C27" s="6"/>
      <c r="D27" s="6"/>
      <c r="E27" s="29" t="s">
        <v>68</v>
      </c>
      <c r="F27" s="29"/>
      <c r="G27" s="29"/>
      <c r="H27" s="29"/>
      <c r="I27" s="29"/>
      <c r="J27" s="29"/>
      <c r="K27" s="29"/>
      <c r="L27" s="30" t="s">
        <v>69</v>
      </c>
      <c r="M27" s="7" t="n">
        <f aca="false">$X$7</f>
        <v>20000</v>
      </c>
      <c r="N27" s="7"/>
      <c r="O27" s="7"/>
      <c r="R27" s="31" t="s">
        <v>70</v>
      </c>
      <c r="S27" s="31"/>
      <c r="T27" s="31"/>
      <c r="U27" s="29" t="s">
        <v>71</v>
      </c>
      <c r="V27" s="29"/>
      <c r="W27" s="29"/>
      <c r="X27" s="29"/>
      <c r="Y27" s="29"/>
      <c r="Z27" s="29"/>
      <c r="AA27" s="29"/>
      <c r="AB27" s="30"/>
      <c r="AC27" s="7" t="n">
        <f aca="false">$X$7</f>
        <v>20000</v>
      </c>
      <c r="AD27" s="7"/>
      <c r="AE27" s="7"/>
    </row>
    <row r="28" customFormat="false" ht="16.5" hidden="false" customHeight="true" outlineLevel="0" collapsed="false">
      <c r="M28" s="32" t="n">
        <f aca="false">SUM(M27:M27)</f>
        <v>20000</v>
      </c>
      <c r="N28" s="32"/>
      <c r="O28" s="32"/>
      <c r="R28" s="33"/>
      <c r="AC28" s="32" t="n">
        <f aca="false">SUM(AC27:AC27)</f>
        <v>20000</v>
      </c>
      <c r="AD28" s="32"/>
      <c r="AE28" s="32"/>
    </row>
    <row r="29" customFormat="false" ht="17.25" hidden="false" customHeight="true" outlineLevel="0" collapsed="false">
      <c r="B29" s="6" t="s">
        <v>72</v>
      </c>
      <c r="C29" s="6"/>
      <c r="D29" s="6"/>
      <c r="E29" s="29" t="s">
        <v>73</v>
      </c>
      <c r="F29" s="29"/>
      <c r="G29" s="29"/>
      <c r="H29" s="29"/>
      <c r="I29" s="29"/>
      <c r="J29" s="29"/>
      <c r="K29" s="29"/>
      <c r="L29" s="30"/>
      <c r="M29" s="7" t="n">
        <f aca="false">$X$7</f>
        <v>20000</v>
      </c>
      <c r="N29" s="7"/>
      <c r="O29" s="7"/>
      <c r="R29" s="33"/>
    </row>
    <row r="31" customFormat="false" ht="15" hidden="false" customHeight="false" outlineLevel="0" collapsed="false">
      <c r="B31" s="21" t="s">
        <v>60</v>
      </c>
      <c r="C31" s="21"/>
      <c r="D31" s="21"/>
      <c r="E31" s="22" t="s">
        <v>74</v>
      </c>
      <c r="F31" s="22"/>
      <c r="G31" s="22"/>
      <c r="H31" s="22"/>
      <c r="I31" s="22"/>
      <c r="J31" s="22"/>
      <c r="K31" s="22"/>
      <c r="L31" s="22"/>
      <c r="M31" s="22"/>
      <c r="N31" s="22"/>
      <c r="O31" s="22"/>
      <c r="P31" s="22"/>
      <c r="Q31" s="22"/>
      <c r="R31" s="22"/>
      <c r="S31" s="22"/>
      <c r="T31" s="22"/>
      <c r="U31" s="22"/>
      <c r="V31" s="22"/>
      <c r="W31" s="22"/>
      <c r="X31" s="22"/>
      <c r="Y31" s="22"/>
      <c r="Z31" s="22"/>
      <c r="AA31" s="22"/>
      <c r="AB31" s="22"/>
      <c r="AC31" s="22"/>
      <c r="AD31" s="23" t="s">
        <v>62</v>
      </c>
      <c r="AE31" s="23"/>
      <c r="AF31" s="23"/>
    </row>
    <row r="32" customFormat="false" ht="15" hidden="false" customHeight="false" outlineLevel="0" collapsed="false">
      <c r="B32" s="24" t="s">
        <v>63</v>
      </c>
      <c r="C32" s="24"/>
      <c r="D32" s="24"/>
      <c r="E32" s="24" t="s">
        <v>64</v>
      </c>
      <c r="F32" s="24"/>
      <c r="G32" s="24"/>
      <c r="H32" s="24"/>
      <c r="I32" s="24"/>
      <c r="J32" s="24"/>
      <c r="K32" s="24"/>
      <c r="L32" s="25" t="s">
        <v>65</v>
      </c>
      <c r="M32" s="26" t="s">
        <v>66</v>
      </c>
      <c r="N32" s="26"/>
      <c r="O32" s="26"/>
      <c r="P32" s="26"/>
      <c r="Q32" s="27"/>
      <c r="R32" s="28" t="s">
        <v>63</v>
      </c>
      <c r="S32" s="28"/>
      <c r="T32" s="28"/>
      <c r="U32" s="24" t="s">
        <v>64</v>
      </c>
      <c r="V32" s="24"/>
      <c r="W32" s="24"/>
      <c r="X32" s="24"/>
      <c r="Y32" s="24"/>
      <c r="Z32" s="24"/>
      <c r="AA32" s="24"/>
      <c r="AB32" s="25" t="s">
        <v>65</v>
      </c>
      <c r="AC32" s="26" t="s">
        <v>66</v>
      </c>
      <c r="AD32" s="26"/>
      <c r="AE32" s="26"/>
      <c r="AF32" s="26"/>
    </row>
    <row r="33" customFormat="false" ht="17.25" hidden="false" customHeight="true" outlineLevel="0" collapsed="false">
      <c r="B33" s="6" t="s">
        <v>70</v>
      </c>
      <c r="C33" s="6"/>
      <c r="D33" s="6"/>
      <c r="E33" s="29" t="s">
        <v>71</v>
      </c>
      <c r="F33" s="29"/>
      <c r="G33" s="29"/>
      <c r="H33" s="29"/>
      <c r="I33" s="29"/>
      <c r="J33" s="29"/>
      <c r="K33" s="29"/>
      <c r="L33" s="30"/>
      <c r="M33" s="7" t="n">
        <f aca="false">$X$11</f>
        <v>4500</v>
      </c>
      <c r="N33" s="7"/>
      <c r="O33" s="7"/>
      <c r="R33" s="31" t="s">
        <v>70</v>
      </c>
      <c r="S33" s="31"/>
      <c r="T33" s="31"/>
      <c r="U33" s="29" t="s">
        <v>75</v>
      </c>
      <c r="V33" s="29"/>
      <c r="W33" s="29"/>
      <c r="X33" s="29"/>
      <c r="Y33" s="29"/>
      <c r="Z33" s="29"/>
      <c r="AA33" s="29"/>
      <c r="AB33" s="30" t="s">
        <v>76</v>
      </c>
      <c r="AC33" s="7" t="n">
        <f aca="false">$X$11</f>
        <v>4500</v>
      </c>
      <c r="AD33" s="7"/>
      <c r="AE33" s="7"/>
    </row>
    <row r="34" customFormat="false" ht="16.5" hidden="false" customHeight="true" outlineLevel="0" collapsed="false">
      <c r="M34" s="32" t="n">
        <f aca="false">SUM(M33:M33)</f>
        <v>4500</v>
      </c>
      <c r="N34" s="32"/>
      <c r="O34" s="32"/>
      <c r="R34" s="33"/>
      <c r="AC34" s="32" t="n">
        <f aca="false">SUM(AC33:AC33)</f>
        <v>4500</v>
      </c>
      <c r="AD34" s="32"/>
      <c r="AE34" s="32"/>
    </row>
    <row r="35" customFormat="false" ht="17.25" hidden="false" customHeight="true" outlineLevel="0" collapsed="false">
      <c r="B35" s="6" t="s">
        <v>77</v>
      </c>
      <c r="C35" s="6"/>
      <c r="D35" s="6"/>
      <c r="E35" s="29" t="s">
        <v>71</v>
      </c>
      <c r="F35" s="29"/>
      <c r="G35" s="29"/>
      <c r="H35" s="29"/>
      <c r="I35" s="29"/>
      <c r="J35" s="29"/>
      <c r="K35" s="29"/>
      <c r="L35" s="30"/>
      <c r="M35" s="7" t="n">
        <f aca="false">2*$X$11</f>
        <v>9000</v>
      </c>
      <c r="N35" s="7"/>
      <c r="O35" s="7"/>
      <c r="R35" s="31" t="s">
        <v>72</v>
      </c>
      <c r="S35" s="31"/>
      <c r="T35" s="31"/>
      <c r="U35" s="29" t="s">
        <v>73</v>
      </c>
      <c r="V35" s="29"/>
      <c r="W35" s="29"/>
      <c r="X35" s="29"/>
      <c r="Y35" s="29"/>
      <c r="Z35" s="29"/>
      <c r="AA35" s="29"/>
      <c r="AB35" s="30"/>
      <c r="AC35" s="7" t="n">
        <f aca="false">$X$11</f>
        <v>4500</v>
      </c>
      <c r="AD35" s="7"/>
      <c r="AE35" s="7"/>
    </row>
    <row r="36" customFormat="false" ht="17.25" hidden="false" customHeight="true" outlineLevel="0" collapsed="false">
      <c r="R36" s="31" t="s">
        <v>77</v>
      </c>
      <c r="S36" s="31"/>
      <c r="T36" s="31"/>
      <c r="U36" s="29" t="s">
        <v>75</v>
      </c>
      <c r="V36" s="29"/>
      <c r="W36" s="29"/>
      <c r="X36" s="29"/>
      <c r="Y36" s="29"/>
      <c r="Z36" s="29"/>
      <c r="AA36" s="29"/>
      <c r="AB36" s="30" t="s">
        <v>78</v>
      </c>
      <c r="AC36" s="7" t="n">
        <f aca="false">$X$11</f>
        <v>4500</v>
      </c>
      <c r="AD36" s="7"/>
      <c r="AE36" s="7"/>
    </row>
    <row r="37" customFormat="false" ht="16.5" hidden="false" customHeight="true" outlineLevel="0" collapsed="false">
      <c r="M37" s="32" t="n">
        <f aca="false">SUM(M35:M36)</f>
        <v>9000</v>
      </c>
      <c r="N37" s="32"/>
      <c r="O37" s="32"/>
      <c r="R37" s="33"/>
      <c r="AC37" s="32" t="n">
        <f aca="false">SUM(AC35:AC36)</f>
        <v>9000</v>
      </c>
      <c r="AD37" s="32"/>
      <c r="AE37" s="32"/>
    </row>
    <row r="38" customFormat="false" ht="17.25" hidden="false" customHeight="true" outlineLevel="0" collapsed="false">
      <c r="R38" s="31" t="s">
        <v>79</v>
      </c>
      <c r="S38" s="31"/>
      <c r="T38" s="31"/>
      <c r="U38" s="29" t="s">
        <v>73</v>
      </c>
      <c r="V38" s="29"/>
      <c r="W38" s="29"/>
      <c r="X38" s="29"/>
      <c r="Y38" s="29"/>
      <c r="Z38" s="29"/>
      <c r="AA38" s="29"/>
      <c r="AB38" s="30"/>
      <c r="AC38" s="7" t="n">
        <f aca="false">2*$X$11</f>
        <v>9000</v>
      </c>
      <c r="AD38" s="7"/>
      <c r="AE38" s="7"/>
    </row>
    <row r="40" customFormat="false" ht="15" hidden="false" customHeight="false" outlineLevel="0" collapsed="false">
      <c r="B40" s="22" t="s">
        <v>80</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row>
    <row r="41" customFormat="false" ht="15" hidden="false" customHeight="false" outlineLevel="0" collapsed="false">
      <c r="B41" s="34"/>
      <c r="C41" s="34"/>
      <c r="D41" s="34"/>
      <c r="E41" s="15" t="s">
        <v>64</v>
      </c>
      <c r="F41" s="15"/>
      <c r="G41" s="15"/>
      <c r="H41" s="15"/>
      <c r="I41" s="15"/>
      <c r="J41" s="15"/>
      <c r="K41" s="15"/>
      <c r="L41" s="15"/>
      <c r="M41" s="15"/>
      <c r="N41" s="15"/>
      <c r="O41" s="15"/>
      <c r="P41" s="15"/>
      <c r="Q41" s="15"/>
      <c r="R41" s="16" t="s">
        <v>81</v>
      </c>
      <c r="S41" s="16"/>
      <c r="T41" s="16"/>
      <c r="U41" s="16"/>
      <c r="V41" s="16"/>
      <c r="W41" s="16" t="s">
        <v>81</v>
      </c>
      <c r="X41" s="16"/>
      <c r="Y41" s="16"/>
      <c r="Z41" s="16"/>
      <c r="AA41" s="16"/>
      <c r="AB41" s="16" t="s">
        <v>81</v>
      </c>
      <c r="AC41" s="16"/>
      <c r="AD41" s="16"/>
      <c r="AE41" s="16"/>
      <c r="AF41" s="16"/>
    </row>
    <row r="42" customFormat="false" ht="30" hidden="false" customHeight="true" outlineLevel="0" collapsed="false">
      <c r="B42" s="34"/>
      <c r="C42" s="34"/>
      <c r="D42" s="34"/>
      <c r="E42" s="34"/>
      <c r="F42" s="34"/>
      <c r="G42" s="34"/>
      <c r="H42" s="34"/>
      <c r="I42" s="34"/>
      <c r="J42" s="34"/>
      <c r="K42" s="34"/>
      <c r="L42" s="34"/>
      <c r="M42" s="34"/>
      <c r="N42" s="34"/>
      <c r="O42" s="34"/>
      <c r="P42" s="34"/>
      <c r="Q42" s="34"/>
      <c r="R42" s="11" t="s">
        <v>82</v>
      </c>
      <c r="S42" s="11"/>
      <c r="T42" s="11"/>
      <c r="U42" s="11"/>
      <c r="V42" s="11"/>
      <c r="W42" s="11" t="s">
        <v>83</v>
      </c>
      <c r="X42" s="11"/>
      <c r="Y42" s="11"/>
      <c r="Z42" s="11"/>
      <c r="AA42" s="11"/>
      <c r="AB42" s="11" t="s">
        <v>84</v>
      </c>
      <c r="AC42" s="11"/>
      <c r="AD42" s="11"/>
      <c r="AE42" s="11"/>
      <c r="AF42" s="11"/>
    </row>
    <row r="43" customFormat="false" ht="17.25" hidden="false" customHeight="true" outlineLevel="0" collapsed="false">
      <c r="B43" s="35"/>
      <c r="C43" s="35"/>
      <c r="D43" s="35"/>
      <c r="E43" s="36" t="s">
        <v>85</v>
      </c>
      <c r="F43" s="36"/>
      <c r="G43" s="36"/>
      <c r="H43" s="36"/>
      <c r="I43" s="36"/>
      <c r="J43" s="36"/>
      <c r="K43" s="36"/>
      <c r="L43" s="36"/>
      <c r="M43" s="36"/>
      <c r="N43" s="36"/>
      <c r="O43" s="36"/>
      <c r="P43" s="36"/>
      <c r="Q43" s="36"/>
    </row>
    <row r="44" customFormat="false" ht="17.25" hidden="false" customHeight="true" outlineLevel="0" collapsed="false">
      <c r="B44" s="35"/>
      <c r="C44" s="35"/>
      <c r="D44" s="35"/>
      <c r="E44" s="29" t="s">
        <v>86</v>
      </c>
      <c r="F44" s="29"/>
      <c r="G44" s="29"/>
      <c r="H44" s="29"/>
      <c r="I44" s="29"/>
      <c r="J44" s="29"/>
      <c r="K44" s="29"/>
      <c r="L44" s="29"/>
      <c r="M44" s="29"/>
      <c r="N44" s="29"/>
      <c r="O44" s="29"/>
      <c r="P44" s="29"/>
      <c r="Q44" s="29"/>
      <c r="R44" s="7" t="n">
        <f aca="false">$X$7</f>
        <v>20000</v>
      </c>
      <c r="S44" s="7"/>
      <c r="T44" s="7"/>
      <c r="U44" s="7"/>
      <c r="W44" s="7" t="n">
        <f aca="false">2*$X$11</f>
        <v>9000</v>
      </c>
      <c r="X44" s="7"/>
      <c r="Y44" s="7"/>
      <c r="Z44" s="7"/>
      <c r="AB44" s="7" t="n">
        <f aca="false">$X$7-2*$X$11</f>
        <v>11000</v>
      </c>
      <c r="AC44" s="7"/>
      <c r="AD44" s="7"/>
      <c r="AE44" s="7"/>
    </row>
  </sheetData>
  <mergeCells count="121">
    <mergeCell ref="B1:AF1"/>
    <mergeCell ref="B2:AF2"/>
    <mergeCell ref="B3:AF3"/>
    <mergeCell ref="B5:AF5"/>
    <mergeCell ref="B6:W6"/>
    <mergeCell ref="X6:AC6"/>
    <mergeCell ref="B7:W7"/>
    <mergeCell ref="X7:AC7"/>
    <mergeCell ref="B8:W8"/>
    <mergeCell ref="X8:AC8"/>
    <mergeCell ref="B9:W9"/>
    <mergeCell ref="X9:AC9"/>
    <mergeCell ref="B11:W11"/>
    <mergeCell ref="X11:AB11"/>
    <mergeCell ref="B13:H13"/>
    <mergeCell ref="I13:P13"/>
    <mergeCell ref="Q13:X13"/>
    <mergeCell ref="Y13:AF13"/>
    <mergeCell ref="B14:H14"/>
    <mergeCell ref="I14:P14"/>
    <mergeCell ref="Q14:X14"/>
    <mergeCell ref="Y14:AF14"/>
    <mergeCell ref="B15:H15"/>
    <mergeCell ref="I15:P15"/>
    <mergeCell ref="Q15:X15"/>
    <mergeCell ref="Y15:AF15"/>
    <mergeCell ref="B16:H16"/>
    <mergeCell ref="I16:P16"/>
    <mergeCell ref="Q16:X16"/>
    <mergeCell ref="Y16:AF16"/>
    <mergeCell ref="B17:H17"/>
    <mergeCell ref="I17:P17"/>
    <mergeCell ref="Q17:X17"/>
    <mergeCell ref="Y17:AF17"/>
    <mergeCell ref="B18:H18"/>
    <mergeCell ref="I18:P18"/>
    <mergeCell ref="Q18:X18"/>
    <mergeCell ref="Y18:AF18"/>
    <mergeCell ref="B19:H19"/>
    <mergeCell ref="I19:P19"/>
    <mergeCell ref="Q19:X19"/>
    <mergeCell ref="Y19:AF19"/>
    <mergeCell ref="B20:H20"/>
    <mergeCell ref="I20:P20"/>
    <mergeCell ref="Q20:X20"/>
    <mergeCell ref="Y20:AF20"/>
    <mergeCell ref="B21:H21"/>
    <mergeCell ref="I21:P21"/>
    <mergeCell ref="Q21:X21"/>
    <mergeCell ref="Y21:AF21"/>
    <mergeCell ref="B22:AF22"/>
    <mergeCell ref="B24:AF24"/>
    <mergeCell ref="B25:D25"/>
    <mergeCell ref="E25:AC25"/>
    <mergeCell ref="AD25:AF25"/>
    <mergeCell ref="B26:D26"/>
    <mergeCell ref="E26:K26"/>
    <mergeCell ref="M26:P26"/>
    <mergeCell ref="R26:T26"/>
    <mergeCell ref="U26:AA26"/>
    <mergeCell ref="AC26:AF26"/>
    <mergeCell ref="B27:D27"/>
    <mergeCell ref="E27:K27"/>
    <mergeCell ref="M27:O27"/>
    <mergeCell ref="R27:T27"/>
    <mergeCell ref="U27:AA27"/>
    <mergeCell ref="AC27:AE27"/>
    <mergeCell ref="M28:O28"/>
    <mergeCell ref="AC28:AE28"/>
    <mergeCell ref="B29:D29"/>
    <mergeCell ref="E29:K29"/>
    <mergeCell ref="M29:O29"/>
    <mergeCell ref="B31:D31"/>
    <mergeCell ref="E31:AC31"/>
    <mergeCell ref="AD31:AF31"/>
    <mergeCell ref="B32:D32"/>
    <mergeCell ref="E32:K32"/>
    <mergeCell ref="M32:P32"/>
    <mergeCell ref="R32:T32"/>
    <mergeCell ref="U32:AA32"/>
    <mergeCell ref="AC32:AF32"/>
    <mergeCell ref="B33:D33"/>
    <mergeCell ref="E33:K33"/>
    <mergeCell ref="M33:O33"/>
    <mergeCell ref="R33:T33"/>
    <mergeCell ref="U33:AA33"/>
    <mergeCell ref="AC33:AE33"/>
    <mergeCell ref="M34:O34"/>
    <mergeCell ref="AC34:AE34"/>
    <mergeCell ref="B35:D35"/>
    <mergeCell ref="E35:K35"/>
    <mergeCell ref="M35:O35"/>
    <mergeCell ref="R35:T35"/>
    <mergeCell ref="U35:AA35"/>
    <mergeCell ref="AC35:AE35"/>
    <mergeCell ref="R36:T36"/>
    <mergeCell ref="U36:AA36"/>
    <mergeCell ref="AC36:AE36"/>
    <mergeCell ref="M37:O37"/>
    <mergeCell ref="AC37:AE37"/>
    <mergeCell ref="R38:T38"/>
    <mergeCell ref="U38:AA38"/>
    <mergeCell ref="AC38:AE38"/>
    <mergeCell ref="B40:AF40"/>
    <mergeCell ref="B41:D41"/>
    <mergeCell ref="E41:Q41"/>
    <mergeCell ref="R41:V41"/>
    <mergeCell ref="W41:AA41"/>
    <mergeCell ref="AB41:AF41"/>
    <mergeCell ref="B42:D42"/>
    <mergeCell ref="E42:Q42"/>
    <mergeCell ref="R42:V42"/>
    <mergeCell ref="W42:AA42"/>
    <mergeCell ref="AB42:AF42"/>
    <mergeCell ref="B43:D43"/>
    <mergeCell ref="E43:Q43"/>
    <mergeCell ref="B44:D44"/>
    <mergeCell ref="E44:Q44"/>
    <mergeCell ref="R44:U44"/>
    <mergeCell ref="W44:Z44"/>
    <mergeCell ref="AB44:AE44"/>
  </mergeCells>
  <conditionalFormatting sqref="B1:AG45">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B1:AF1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24</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37</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38</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16.5" hidden="false" customHeight="true" outlineLevel="0" collapsed="false">
      <c r="B5" s="4" t="s">
        <v>87</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40</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88</v>
      </c>
      <c r="C7" s="12"/>
      <c r="D7" s="12"/>
      <c r="E7" s="12"/>
      <c r="F7" s="12"/>
      <c r="G7" s="12"/>
      <c r="H7" s="12"/>
      <c r="I7" s="12"/>
      <c r="J7" s="12"/>
      <c r="K7" s="12"/>
      <c r="L7" s="12"/>
      <c r="M7" s="12"/>
      <c r="N7" s="12"/>
      <c r="O7" s="12"/>
      <c r="P7" s="12"/>
      <c r="Q7" s="12"/>
      <c r="R7" s="12"/>
      <c r="S7" s="12"/>
      <c r="T7" s="12"/>
      <c r="U7" s="12"/>
      <c r="V7" s="12"/>
      <c r="W7" s="12"/>
      <c r="X7" s="17" t="n">
        <v>10000</v>
      </c>
      <c r="Y7" s="17"/>
      <c r="Z7" s="17"/>
      <c r="AA7" s="17"/>
      <c r="AB7" s="17"/>
      <c r="AC7" s="17"/>
    </row>
    <row r="8" customFormat="false" ht="16.5" hidden="false" customHeight="true" outlineLevel="0" collapsed="false">
      <c r="B8" s="12" t="s">
        <v>89</v>
      </c>
      <c r="C8" s="12"/>
      <c r="D8" s="12"/>
      <c r="E8" s="12"/>
      <c r="F8" s="12"/>
      <c r="G8" s="12"/>
      <c r="H8" s="12"/>
      <c r="I8" s="12"/>
      <c r="J8" s="12"/>
      <c r="K8" s="12"/>
      <c r="L8" s="12"/>
      <c r="M8" s="12"/>
      <c r="N8" s="12"/>
      <c r="O8" s="12"/>
      <c r="P8" s="12"/>
      <c r="Q8" s="12"/>
      <c r="R8" s="12"/>
      <c r="S8" s="12"/>
      <c r="T8" s="12"/>
      <c r="U8" s="12"/>
      <c r="V8" s="12"/>
      <c r="W8" s="12"/>
      <c r="X8" s="37" t="n">
        <v>0.2</v>
      </c>
      <c r="Y8" s="37"/>
      <c r="Z8" s="37"/>
      <c r="AA8" s="37"/>
      <c r="AB8" s="37"/>
      <c r="AC8" s="37"/>
    </row>
    <row r="10" customFormat="false" ht="17.25" hidden="false" customHeight="true" outlineLevel="0" collapsed="false">
      <c r="B10" s="10" t="s">
        <v>46</v>
      </c>
      <c r="C10" s="10"/>
      <c r="D10" s="10"/>
      <c r="E10" s="11" t="s">
        <v>90</v>
      </c>
      <c r="F10" s="11"/>
      <c r="G10" s="11"/>
      <c r="H10" s="11"/>
      <c r="I10" s="11"/>
      <c r="J10" s="11"/>
      <c r="K10" s="11"/>
      <c r="L10" s="11" t="s">
        <v>91</v>
      </c>
      <c r="M10" s="11"/>
      <c r="N10" s="11"/>
      <c r="O10" s="11"/>
      <c r="P10" s="11"/>
      <c r="Q10" s="11"/>
      <c r="R10" s="11"/>
      <c r="S10" s="11" t="s">
        <v>48</v>
      </c>
      <c r="T10" s="11"/>
      <c r="U10" s="11"/>
      <c r="V10" s="11"/>
      <c r="W10" s="11"/>
      <c r="X10" s="11"/>
      <c r="Y10" s="11"/>
      <c r="Z10" s="11" t="s">
        <v>49</v>
      </c>
      <c r="AA10" s="11"/>
      <c r="AB10" s="11"/>
      <c r="AC10" s="11"/>
      <c r="AD10" s="11"/>
      <c r="AE10" s="11"/>
      <c r="AF10" s="11"/>
    </row>
    <row r="11" customFormat="false" ht="17.25" hidden="false" customHeight="true" outlineLevel="0" collapsed="false">
      <c r="B11" s="12" t="s">
        <v>50</v>
      </c>
      <c r="C11" s="12"/>
      <c r="D11" s="12"/>
      <c r="E11" s="20" t="n">
        <f aca="false">$X$7</f>
        <v>10000</v>
      </c>
      <c r="F11" s="20"/>
      <c r="G11" s="20"/>
      <c r="H11" s="20"/>
      <c r="I11" s="20"/>
      <c r="J11" s="20"/>
      <c r="K11" s="20"/>
      <c r="L11" s="20" t="n">
        <f aca="false">ROUND($E$11*$X$8,2)</f>
        <v>2000</v>
      </c>
      <c r="M11" s="20"/>
      <c r="N11" s="20"/>
      <c r="O11" s="20"/>
      <c r="P11" s="20"/>
      <c r="Q11" s="20"/>
      <c r="R11" s="20"/>
      <c r="S11" s="20" t="n">
        <f aca="false">$L$11</f>
        <v>2000</v>
      </c>
      <c r="T11" s="20"/>
      <c r="U11" s="20"/>
      <c r="V11" s="20"/>
      <c r="W11" s="20"/>
      <c r="X11" s="20"/>
      <c r="Y11" s="20"/>
      <c r="Z11" s="20" t="n">
        <f aca="false">$E$11-$L$11</f>
        <v>8000</v>
      </c>
      <c r="AA11" s="20"/>
      <c r="AB11" s="20"/>
      <c r="AC11" s="20"/>
      <c r="AD11" s="20"/>
      <c r="AE11" s="20"/>
      <c r="AF11" s="20"/>
    </row>
    <row r="12" customFormat="false" ht="17.25" hidden="false" customHeight="true" outlineLevel="0" collapsed="false">
      <c r="B12" s="12" t="s">
        <v>51</v>
      </c>
      <c r="C12" s="12"/>
      <c r="D12" s="12"/>
      <c r="E12" s="20" t="n">
        <f aca="false">$Z$11</f>
        <v>8000</v>
      </c>
      <c r="F12" s="20"/>
      <c r="G12" s="20"/>
      <c r="H12" s="20"/>
      <c r="I12" s="20"/>
      <c r="J12" s="20"/>
      <c r="K12" s="20"/>
      <c r="L12" s="20" t="n">
        <f aca="false">ROUND($E$12*$X$8,2)</f>
        <v>1600</v>
      </c>
      <c r="M12" s="20"/>
      <c r="N12" s="20"/>
      <c r="O12" s="20"/>
      <c r="P12" s="20"/>
      <c r="Q12" s="20"/>
      <c r="R12" s="20"/>
      <c r="S12" s="20" t="n">
        <f aca="false">$S$11+$L$12</f>
        <v>3600</v>
      </c>
      <c r="T12" s="20"/>
      <c r="U12" s="20"/>
      <c r="V12" s="20"/>
      <c r="W12" s="20"/>
      <c r="X12" s="20"/>
      <c r="Y12" s="20"/>
      <c r="Z12" s="20" t="n">
        <f aca="false">$E$12-$L$12</f>
        <v>6400</v>
      </c>
      <c r="AA12" s="20"/>
      <c r="AB12" s="20"/>
      <c r="AC12" s="20"/>
      <c r="AD12" s="20"/>
      <c r="AE12" s="20"/>
      <c r="AF12" s="20"/>
    </row>
    <row r="13" customFormat="false" ht="17.25" hidden="false" customHeight="true" outlineLevel="0" collapsed="false">
      <c r="B13" s="12" t="s">
        <v>52</v>
      </c>
      <c r="C13" s="12"/>
      <c r="D13" s="12"/>
      <c r="E13" s="20" t="n">
        <f aca="false">$Z$12</f>
        <v>6400</v>
      </c>
      <c r="F13" s="20"/>
      <c r="G13" s="20"/>
      <c r="H13" s="20"/>
      <c r="I13" s="20"/>
      <c r="J13" s="20"/>
      <c r="K13" s="20"/>
      <c r="L13" s="20" t="n">
        <f aca="false">ROUND($E$13*$X$8,2)</f>
        <v>1280</v>
      </c>
      <c r="M13" s="20"/>
      <c r="N13" s="20"/>
      <c r="O13" s="20"/>
      <c r="P13" s="20"/>
      <c r="Q13" s="20"/>
      <c r="R13" s="20"/>
      <c r="S13" s="20" t="n">
        <f aca="false">$S$12+$L$13</f>
        <v>4880</v>
      </c>
      <c r="T13" s="20"/>
      <c r="U13" s="20"/>
      <c r="V13" s="20"/>
      <c r="W13" s="20"/>
      <c r="X13" s="20"/>
      <c r="Y13" s="20"/>
      <c r="Z13" s="20" t="n">
        <f aca="false">$E$13-$L$13</f>
        <v>5120</v>
      </c>
      <c r="AA13" s="20"/>
      <c r="AB13" s="20"/>
      <c r="AC13" s="20"/>
      <c r="AD13" s="20"/>
      <c r="AE13" s="20"/>
      <c r="AF13" s="20"/>
    </row>
    <row r="14" customFormat="false" ht="17.25" hidden="false" customHeight="true" outlineLevel="0" collapsed="false">
      <c r="B14" s="12" t="s">
        <v>53</v>
      </c>
      <c r="C14" s="12"/>
      <c r="D14" s="12"/>
      <c r="E14" s="20" t="n">
        <f aca="false">$Z$13</f>
        <v>5120</v>
      </c>
      <c r="F14" s="20"/>
      <c r="G14" s="20"/>
      <c r="H14" s="20"/>
      <c r="I14" s="20"/>
      <c r="J14" s="20"/>
      <c r="K14" s="20"/>
      <c r="L14" s="20" t="n">
        <f aca="false">ROUND($E$14*$X$8,2)</f>
        <v>1024</v>
      </c>
      <c r="M14" s="20"/>
      <c r="N14" s="20"/>
      <c r="O14" s="20"/>
      <c r="P14" s="20"/>
      <c r="Q14" s="20"/>
      <c r="R14" s="20"/>
      <c r="S14" s="20" t="n">
        <f aca="false">$S$13+$L$14</f>
        <v>5904</v>
      </c>
      <c r="T14" s="20"/>
      <c r="U14" s="20"/>
      <c r="V14" s="20"/>
      <c r="W14" s="20"/>
      <c r="X14" s="20"/>
      <c r="Y14" s="20"/>
      <c r="Z14" s="20" t="n">
        <f aca="false">$E$14-$L$14</f>
        <v>4096</v>
      </c>
      <c r="AA14" s="20"/>
      <c r="AB14" s="20"/>
      <c r="AC14" s="20"/>
      <c r="AD14" s="20"/>
      <c r="AE14" s="20"/>
      <c r="AF14" s="20"/>
    </row>
    <row r="15" customFormat="false" ht="16.5" hidden="false" customHeight="true" outlineLevel="0" collapsed="false">
      <c r="B15" s="2" t="s">
        <v>92</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sheetData>
  <mergeCells count="36">
    <mergeCell ref="B1:AF1"/>
    <mergeCell ref="B2:AF2"/>
    <mergeCell ref="B3:AF3"/>
    <mergeCell ref="B5:AF5"/>
    <mergeCell ref="B6:W6"/>
    <mergeCell ref="X6:AC6"/>
    <mergeCell ref="B7:W7"/>
    <mergeCell ref="X7:AC7"/>
    <mergeCell ref="B8:W8"/>
    <mergeCell ref="X8:AC8"/>
    <mergeCell ref="B10:D10"/>
    <mergeCell ref="E10:K10"/>
    <mergeCell ref="L10:R10"/>
    <mergeCell ref="S10:Y10"/>
    <mergeCell ref="Z10:AF10"/>
    <mergeCell ref="B11:D11"/>
    <mergeCell ref="E11:K11"/>
    <mergeCell ref="L11:R11"/>
    <mergeCell ref="S11:Y11"/>
    <mergeCell ref="Z11:AF11"/>
    <mergeCell ref="B12:D12"/>
    <mergeCell ref="E12:K12"/>
    <mergeCell ref="L12:R12"/>
    <mergeCell ref="S12:Y12"/>
    <mergeCell ref="Z12:AF12"/>
    <mergeCell ref="B13:D13"/>
    <mergeCell ref="E13:K13"/>
    <mergeCell ref="L13:R13"/>
    <mergeCell ref="S13:Y13"/>
    <mergeCell ref="Z13:AF13"/>
    <mergeCell ref="B14:D14"/>
    <mergeCell ref="E14:K14"/>
    <mergeCell ref="L14:R14"/>
    <mergeCell ref="S14:Y14"/>
    <mergeCell ref="Z14:AF14"/>
    <mergeCell ref="B15:AF15"/>
  </mergeCells>
  <conditionalFormatting sqref="B1:AG16">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B1:AF3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37</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38</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16.5" hidden="false" customHeight="true" outlineLevel="0" collapsed="false">
      <c r="B5" s="4" t="s">
        <v>93</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94</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95</v>
      </c>
      <c r="C7" s="12"/>
      <c r="D7" s="12"/>
      <c r="E7" s="12"/>
      <c r="F7" s="12"/>
      <c r="G7" s="12"/>
      <c r="H7" s="12"/>
      <c r="I7" s="12"/>
      <c r="J7" s="12"/>
      <c r="K7" s="12"/>
      <c r="L7" s="12"/>
      <c r="M7" s="12"/>
      <c r="N7" s="12"/>
      <c r="O7" s="12"/>
      <c r="P7" s="12"/>
      <c r="Q7" s="12"/>
      <c r="R7" s="12"/>
      <c r="S7" s="12"/>
      <c r="T7" s="12"/>
      <c r="U7" s="12"/>
      <c r="V7" s="12"/>
      <c r="W7" s="12"/>
      <c r="X7" s="17" t="n">
        <v>16000</v>
      </c>
      <c r="Y7" s="17"/>
      <c r="Z7" s="17"/>
      <c r="AA7" s="17"/>
      <c r="AB7" s="17"/>
      <c r="AC7" s="17"/>
    </row>
    <row r="8" customFormat="false" ht="16.5" hidden="false" customHeight="true" outlineLevel="0" collapsed="false">
      <c r="B8" s="12" t="s">
        <v>96</v>
      </c>
      <c r="C8" s="12"/>
      <c r="D8" s="12"/>
      <c r="E8" s="12"/>
      <c r="F8" s="12"/>
      <c r="G8" s="12"/>
      <c r="H8" s="12"/>
      <c r="I8" s="12"/>
      <c r="J8" s="12"/>
      <c r="K8" s="12"/>
      <c r="L8" s="12"/>
      <c r="M8" s="12"/>
      <c r="N8" s="12"/>
      <c r="O8" s="12"/>
      <c r="P8" s="12"/>
      <c r="Q8" s="12"/>
      <c r="R8" s="12"/>
      <c r="S8" s="12"/>
      <c r="T8" s="12"/>
      <c r="U8" s="12"/>
      <c r="V8" s="12"/>
      <c r="W8" s="12"/>
      <c r="X8" s="37" t="n">
        <v>0.25</v>
      </c>
      <c r="Y8" s="37"/>
      <c r="Z8" s="37"/>
      <c r="AA8" s="37"/>
      <c r="AB8" s="37"/>
      <c r="AC8" s="37"/>
    </row>
    <row r="10" customFormat="false" ht="17.25" hidden="false" customHeight="true" outlineLevel="0" collapsed="false">
      <c r="B10" s="10" t="s">
        <v>46</v>
      </c>
      <c r="C10" s="10"/>
      <c r="D10" s="10"/>
      <c r="E10" s="11" t="s">
        <v>97</v>
      </c>
      <c r="F10" s="11"/>
      <c r="G10" s="11"/>
      <c r="H10" s="11"/>
      <c r="I10" s="11"/>
      <c r="J10" s="11"/>
      <c r="K10" s="11"/>
      <c r="L10" s="11" t="s">
        <v>98</v>
      </c>
      <c r="M10" s="11"/>
      <c r="N10" s="11"/>
      <c r="O10" s="11"/>
      <c r="P10" s="11"/>
      <c r="Q10" s="11"/>
      <c r="R10" s="11"/>
      <c r="S10" s="11" t="s">
        <v>99</v>
      </c>
      <c r="T10" s="11"/>
      <c r="U10" s="11"/>
      <c r="V10" s="11"/>
      <c r="W10" s="11"/>
      <c r="X10" s="11"/>
      <c r="Y10" s="11"/>
      <c r="Z10" s="11" t="s">
        <v>100</v>
      </c>
      <c r="AA10" s="11"/>
      <c r="AB10" s="11"/>
      <c r="AC10" s="11"/>
      <c r="AD10" s="11"/>
      <c r="AE10" s="11"/>
      <c r="AF10" s="11"/>
    </row>
    <row r="11" customFormat="false" ht="17.25" hidden="false" customHeight="true" outlineLevel="0" collapsed="false">
      <c r="B11" s="12" t="s">
        <v>50</v>
      </c>
      <c r="C11" s="12"/>
      <c r="D11" s="12"/>
      <c r="E11" s="20" t="n">
        <f aca="false">$X$7*$X$8</f>
        <v>4000</v>
      </c>
      <c r="F11" s="20"/>
      <c r="G11" s="20"/>
      <c r="H11" s="20"/>
      <c r="I11" s="20"/>
      <c r="J11" s="20"/>
      <c r="K11" s="20"/>
      <c r="L11" s="20" t="n">
        <f aca="false">$X$7-1*$X$7*$X$8</f>
        <v>12000</v>
      </c>
      <c r="M11" s="20"/>
      <c r="N11" s="20"/>
      <c r="O11" s="20"/>
      <c r="P11" s="20"/>
      <c r="Q11" s="20"/>
      <c r="R11" s="20"/>
      <c r="S11" s="20" t="n">
        <f aca="false">ROUND(($X$7)*$X$8,2)</f>
        <v>4000</v>
      </c>
      <c r="T11" s="20"/>
      <c r="U11" s="20"/>
      <c r="V11" s="20"/>
      <c r="W11" s="20"/>
      <c r="X11" s="20"/>
      <c r="Y11" s="20"/>
      <c r="Z11" s="20" t="n">
        <f aca="false">$X$7-$S$11</f>
        <v>12000</v>
      </c>
      <c r="AA11" s="20"/>
      <c r="AB11" s="20"/>
      <c r="AC11" s="20"/>
      <c r="AD11" s="20"/>
      <c r="AE11" s="20"/>
      <c r="AF11" s="20"/>
    </row>
    <row r="12" customFormat="false" ht="17.25" hidden="false" customHeight="true" outlineLevel="0" collapsed="false">
      <c r="B12" s="12" t="s">
        <v>51</v>
      </c>
      <c r="C12" s="12"/>
      <c r="D12" s="12"/>
      <c r="E12" s="20" t="n">
        <f aca="false">$X$7*$X$8</f>
        <v>4000</v>
      </c>
      <c r="F12" s="20"/>
      <c r="G12" s="20"/>
      <c r="H12" s="20"/>
      <c r="I12" s="20"/>
      <c r="J12" s="20"/>
      <c r="K12" s="20"/>
      <c r="L12" s="20" t="n">
        <f aca="false">$X$7-2*$X$7*$X$8</f>
        <v>8000</v>
      </c>
      <c r="M12" s="20"/>
      <c r="N12" s="20"/>
      <c r="O12" s="20"/>
      <c r="P12" s="20"/>
      <c r="Q12" s="20"/>
      <c r="R12" s="20"/>
      <c r="S12" s="20" t="n">
        <f aca="false">ROUND(($X$7-$S$11)*$X$8,2)</f>
        <v>3000</v>
      </c>
      <c r="T12" s="20"/>
      <c r="U12" s="20"/>
      <c r="V12" s="20"/>
      <c r="W12" s="20"/>
      <c r="X12" s="20"/>
      <c r="Y12" s="20"/>
      <c r="Z12" s="20" t="n">
        <f aca="false">$X$7-$S$11-$S$12</f>
        <v>9000</v>
      </c>
      <c r="AA12" s="20"/>
      <c r="AB12" s="20"/>
      <c r="AC12" s="20"/>
      <c r="AD12" s="20"/>
      <c r="AE12" s="20"/>
      <c r="AF12" s="20"/>
    </row>
    <row r="13" customFormat="false" ht="17.25" hidden="false" customHeight="true" outlineLevel="0" collapsed="false">
      <c r="B13" s="12" t="s">
        <v>52</v>
      </c>
      <c r="C13" s="12"/>
      <c r="D13" s="12"/>
      <c r="E13" s="20" t="n">
        <f aca="false">$X$7*$X$8</f>
        <v>4000</v>
      </c>
      <c r="F13" s="20"/>
      <c r="G13" s="20"/>
      <c r="H13" s="20"/>
      <c r="I13" s="20"/>
      <c r="J13" s="20"/>
      <c r="K13" s="20"/>
      <c r="L13" s="20" t="n">
        <f aca="false">$X$7-3*$X$7*$X$8</f>
        <v>4000</v>
      </c>
      <c r="M13" s="20"/>
      <c r="N13" s="20"/>
      <c r="O13" s="20"/>
      <c r="P13" s="20"/>
      <c r="Q13" s="20"/>
      <c r="R13" s="20"/>
      <c r="S13" s="20" t="n">
        <f aca="false">ROUND(($X$7-$S$11-$S$12)*$X$8,2)</f>
        <v>2250</v>
      </c>
      <c r="T13" s="20"/>
      <c r="U13" s="20"/>
      <c r="V13" s="20"/>
      <c r="W13" s="20"/>
      <c r="X13" s="20"/>
      <c r="Y13" s="20"/>
      <c r="Z13" s="20" t="n">
        <f aca="false">$X$7-$S$11-$S$12-$S$13</f>
        <v>6750</v>
      </c>
      <c r="AA13" s="20"/>
      <c r="AB13" s="20"/>
      <c r="AC13" s="20"/>
      <c r="AD13" s="20"/>
      <c r="AE13" s="20"/>
      <c r="AF13" s="20"/>
    </row>
    <row r="14" customFormat="false" ht="17.25" hidden="false" customHeight="true" outlineLevel="0" collapsed="false">
      <c r="B14" s="12" t="s">
        <v>53</v>
      </c>
      <c r="C14" s="12"/>
      <c r="D14" s="12"/>
      <c r="E14" s="20" t="n">
        <f aca="false">$X$7*$X$8</f>
        <v>4000</v>
      </c>
      <c r="F14" s="20"/>
      <c r="G14" s="20"/>
      <c r="H14" s="20"/>
      <c r="I14" s="20"/>
      <c r="J14" s="20"/>
      <c r="K14" s="20"/>
      <c r="L14" s="20" t="n">
        <f aca="false">$X$7-4*$X$7*$X$8</f>
        <v>0</v>
      </c>
      <c r="M14" s="20"/>
      <c r="N14" s="20"/>
      <c r="O14" s="20"/>
      <c r="P14" s="20"/>
      <c r="Q14" s="20"/>
      <c r="R14" s="20"/>
      <c r="S14" s="20" t="n">
        <f aca="false">ROUND(($X$7-$S$11-$S$12-$S$13)*$X$8,2)</f>
        <v>1687.5</v>
      </c>
      <c r="T14" s="20"/>
      <c r="U14" s="20"/>
      <c r="V14" s="20"/>
      <c r="W14" s="20"/>
      <c r="X14" s="20"/>
      <c r="Y14" s="20"/>
      <c r="Z14" s="20" t="n">
        <f aca="false">$X$7-$S$11-$S$12-$S$13-$S$14</f>
        <v>5062.5</v>
      </c>
      <c r="AA14" s="20"/>
      <c r="AB14" s="20"/>
      <c r="AC14" s="20"/>
      <c r="AD14" s="20"/>
      <c r="AE14" s="20"/>
      <c r="AF14" s="20"/>
    </row>
    <row r="15" customFormat="false" ht="16.5" hidden="false" customHeight="true" outlineLevel="0" collapsed="false">
      <c r="B15" s="2" t="s">
        <v>101</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7" customFormat="false" ht="18.75" hidden="false" customHeight="true" outlineLevel="0" collapsed="false">
      <c r="B17" s="3" t="s">
        <v>102</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false" outlineLevel="0" collapsed="false">
      <c r="B18" s="15" t="s">
        <v>40</v>
      </c>
      <c r="C18" s="15"/>
      <c r="D18" s="15"/>
      <c r="E18" s="15"/>
      <c r="F18" s="15"/>
      <c r="G18" s="15"/>
      <c r="H18" s="15"/>
      <c r="I18" s="15"/>
      <c r="J18" s="15"/>
      <c r="K18" s="15"/>
      <c r="L18" s="15"/>
      <c r="M18" s="15"/>
      <c r="N18" s="15"/>
      <c r="O18" s="15"/>
      <c r="P18" s="15"/>
      <c r="Q18" s="15"/>
      <c r="R18" s="15"/>
      <c r="S18" s="15"/>
      <c r="T18" s="15"/>
      <c r="U18" s="15"/>
      <c r="V18" s="15"/>
      <c r="W18" s="15"/>
      <c r="X18" s="16" t="s">
        <v>41</v>
      </c>
      <c r="Y18" s="16"/>
      <c r="Z18" s="16"/>
      <c r="AA18" s="16"/>
      <c r="AB18" s="16"/>
      <c r="AC18" s="16"/>
    </row>
    <row r="19" customFormat="false" ht="16.5" hidden="false" customHeight="true" outlineLevel="0" collapsed="false">
      <c r="B19" s="12" t="s">
        <v>103</v>
      </c>
      <c r="C19" s="12"/>
      <c r="D19" s="12"/>
      <c r="E19" s="12"/>
      <c r="F19" s="12"/>
      <c r="G19" s="12"/>
      <c r="H19" s="12"/>
      <c r="I19" s="12"/>
      <c r="J19" s="12"/>
      <c r="K19" s="12"/>
      <c r="L19" s="12"/>
      <c r="M19" s="12"/>
      <c r="N19" s="12"/>
      <c r="O19" s="12"/>
      <c r="P19" s="12"/>
      <c r="Q19" s="12"/>
      <c r="R19" s="12"/>
      <c r="S19" s="12"/>
      <c r="T19" s="12"/>
      <c r="U19" s="12"/>
      <c r="V19" s="12"/>
      <c r="W19" s="12"/>
      <c r="X19" s="17" t="n">
        <v>1200</v>
      </c>
      <c r="Y19" s="17"/>
      <c r="Z19" s="17"/>
      <c r="AA19" s="17"/>
      <c r="AB19" s="17"/>
      <c r="AC19" s="17"/>
    </row>
    <row r="20" customFormat="false" ht="16.5" hidden="false" customHeight="true" outlineLevel="0" collapsed="false">
      <c r="B20" s="12" t="s">
        <v>104</v>
      </c>
      <c r="C20" s="12"/>
      <c r="D20" s="12"/>
      <c r="E20" s="12"/>
      <c r="F20" s="12"/>
      <c r="G20" s="12"/>
      <c r="H20" s="12"/>
      <c r="I20" s="12"/>
      <c r="J20" s="12"/>
      <c r="K20" s="12"/>
      <c r="L20" s="12"/>
      <c r="M20" s="12"/>
      <c r="N20" s="12"/>
      <c r="O20" s="12"/>
      <c r="P20" s="12"/>
      <c r="Q20" s="12"/>
      <c r="R20" s="12"/>
      <c r="S20" s="12"/>
      <c r="T20" s="12"/>
      <c r="U20" s="12"/>
      <c r="V20" s="12"/>
      <c r="W20" s="12"/>
      <c r="X20" s="17" t="n">
        <v>500</v>
      </c>
      <c r="Y20" s="17"/>
      <c r="Z20" s="17"/>
      <c r="AA20" s="17"/>
      <c r="AB20" s="17"/>
      <c r="AC20" s="17"/>
    </row>
    <row r="21" customFormat="false" ht="16.5" hidden="false" customHeight="true" outlineLevel="0" collapsed="false">
      <c r="B21" s="12" t="s">
        <v>105</v>
      </c>
      <c r="C21" s="12"/>
      <c r="D21" s="12"/>
      <c r="E21" s="12"/>
      <c r="F21" s="12"/>
      <c r="G21" s="12"/>
      <c r="H21" s="12"/>
      <c r="I21" s="12"/>
      <c r="J21" s="12"/>
      <c r="K21" s="12"/>
      <c r="L21" s="12"/>
      <c r="M21" s="12"/>
      <c r="N21" s="12"/>
      <c r="O21" s="12"/>
      <c r="P21" s="12"/>
      <c r="Q21" s="12"/>
      <c r="R21" s="12"/>
      <c r="S21" s="12"/>
      <c r="T21" s="12"/>
      <c r="U21" s="12"/>
      <c r="V21" s="12"/>
      <c r="W21" s="12"/>
      <c r="X21" s="17" t="n">
        <v>1100</v>
      </c>
      <c r="Y21" s="17"/>
      <c r="Z21" s="17"/>
      <c r="AA21" s="17"/>
      <c r="AB21" s="17"/>
      <c r="AC21" s="17"/>
    </row>
    <row r="23" customFormat="false" ht="17.25" hidden="false" customHeight="true" outlineLevel="0" collapsed="false">
      <c r="B23" s="19" t="s">
        <v>106</v>
      </c>
      <c r="C23" s="19"/>
      <c r="D23" s="19"/>
      <c r="E23" s="19"/>
      <c r="F23" s="19"/>
      <c r="G23" s="19"/>
      <c r="H23" s="19"/>
      <c r="I23" s="19"/>
      <c r="J23" s="19"/>
      <c r="K23" s="19"/>
      <c r="L23" s="19"/>
      <c r="M23" s="19"/>
      <c r="N23" s="19"/>
      <c r="O23" s="19"/>
      <c r="P23" s="19"/>
      <c r="Q23" s="19"/>
      <c r="R23" s="19"/>
      <c r="S23" s="19"/>
      <c r="T23" s="19"/>
      <c r="U23" s="19"/>
      <c r="V23" s="19"/>
      <c r="W23" s="19"/>
      <c r="X23" s="7" t="n">
        <f aca="false">$X$19+$X$20-$X$21</f>
        <v>600</v>
      </c>
      <c r="Y23" s="7"/>
      <c r="Z23" s="7"/>
      <c r="AA23" s="7"/>
      <c r="AB23" s="7"/>
    </row>
    <row r="25" customFormat="false" ht="18.75" hidden="false" customHeight="true" outlineLevel="0" collapsed="false">
      <c r="B25" s="3" t="s">
        <v>107</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false" outlineLevel="0" collapsed="false">
      <c r="B26" s="15" t="s">
        <v>40</v>
      </c>
      <c r="C26" s="15"/>
      <c r="D26" s="15"/>
      <c r="E26" s="15"/>
      <c r="F26" s="15"/>
      <c r="G26" s="15"/>
      <c r="H26" s="15"/>
      <c r="I26" s="15"/>
      <c r="J26" s="15"/>
      <c r="K26" s="15"/>
      <c r="L26" s="15"/>
      <c r="M26" s="15"/>
      <c r="N26" s="15"/>
      <c r="O26" s="15"/>
      <c r="P26" s="15"/>
      <c r="Q26" s="15"/>
      <c r="R26" s="15"/>
      <c r="S26" s="15"/>
      <c r="T26" s="15"/>
      <c r="U26" s="15"/>
      <c r="V26" s="15"/>
      <c r="W26" s="15"/>
      <c r="X26" s="16" t="s">
        <v>41</v>
      </c>
      <c r="Y26" s="16"/>
      <c r="Z26" s="16"/>
      <c r="AA26" s="16"/>
      <c r="AB26" s="16"/>
      <c r="AC26" s="16"/>
    </row>
    <row r="27" customFormat="false" ht="16.5" hidden="false" customHeight="true" outlineLevel="0" collapsed="false">
      <c r="B27" s="12" t="s">
        <v>42</v>
      </c>
      <c r="C27" s="12"/>
      <c r="D27" s="12"/>
      <c r="E27" s="12"/>
      <c r="F27" s="12"/>
      <c r="G27" s="12"/>
      <c r="H27" s="12"/>
      <c r="I27" s="12"/>
      <c r="J27" s="12"/>
      <c r="K27" s="12"/>
      <c r="L27" s="12"/>
      <c r="M27" s="12"/>
      <c r="N27" s="12"/>
      <c r="O27" s="12"/>
      <c r="P27" s="12"/>
      <c r="Q27" s="12"/>
      <c r="R27" s="12"/>
      <c r="S27" s="12"/>
      <c r="T27" s="12"/>
      <c r="U27" s="12"/>
      <c r="V27" s="12"/>
      <c r="W27" s="12"/>
      <c r="X27" s="17" t="n">
        <v>12000</v>
      </c>
      <c r="Y27" s="17"/>
      <c r="Z27" s="17"/>
      <c r="AA27" s="17"/>
      <c r="AB27" s="17"/>
      <c r="AC27" s="17"/>
    </row>
    <row r="28" customFormat="false" ht="16.5" hidden="false" customHeight="true" outlineLevel="0" collapsed="false">
      <c r="B28" s="12" t="s">
        <v>108</v>
      </c>
      <c r="C28" s="12"/>
      <c r="D28" s="12"/>
      <c r="E28" s="12"/>
      <c r="F28" s="12"/>
      <c r="G28" s="12"/>
      <c r="H28" s="12"/>
      <c r="I28" s="12"/>
      <c r="J28" s="12"/>
      <c r="K28" s="12"/>
      <c r="L28" s="12"/>
      <c r="M28" s="12"/>
      <c r="N28" s="12"/>
      <c r="O28" s="12"/>
      <c r="P28" s="12"/>
      <c r="Q28" s="12"/>
      <c r="R28" s="12"/>
      <c r="S28" s="12"/>
      <c r="T28" s="12"/>
      <c r="U28" s="12"/>
      <c r="V28" s="12"/>
      <c r="W28" s="12"/>
      <c r="X28" s="37" t="n">
        <v>0.1</v>
      </c>
      <c r="Y28" s="37"/>
      <c r="Z28" s="37"/>
      <c r="AA28" s="37"/>
      <c r="AB28" s="37"/>
      <c r="AC28" s="37"/>
    </row>
    <row r="29" customFormat="false" ht="16.5" hidden="false" customHeight="true" outlineLevel="0" collapsed="false">
      <c r="B29" s="12" t="s">
        <v>109</v>
      </c>
      <c r="C29" s="12"/>
      <c r="D29" s="12"/>
      <c r="E29" s="12"/>
      <c r="F29" s="12"/>
      <c r="G29" s="12"/>
      <c r="H29" s="12"/>
      <c r="I29" s="12"/>
      <c r="J29" s="12"/>
      <c r="K29" s="12"/>
      <c r="L29" s="12"/>
      <c r="M29" s="12"/>
      <c r="N29" s="12"/>
      <c r="O29" s="12"/>
      <c r="P29" s="12"/>
      <c r="Q29" s="12"/>
      <c r="R29" s="12"/>
      <c r="S29" s="12"/>
      <c r="T29" s="12"/>
      <c r="U29" s="12"/>
      <c r="V29" s="12"/>
      <c r="W29" s="12"/>
      <c r="X29" s="18" t="n">
        <v>9</v>
      </c>
      <c r="Y29" s="18"/>
      <c r="Z29" s="18"/>
      <c r="AA29" s="18"/>
      <c r="AB29" s="18"/>
      <c r="AC29" s="18"/>
    </row>
    <row r="31" customFormat="false" ht="17.25" hidden="false" customHeight="true" outlineLevel="0" collapsed="false">
      <c r="B31" s="19" t="s">
        <v>110</v>
      </c>
      <c r="C31" s="19"/>
      <c r="D31" s="19"/>
      <c r="E31" s="19"/>
      <c r="F31" s="19"/>
      <c r="G31" s="19"/>
      <c r="H31" s="19"/>
      <c r="I31" s="19"/>
      <c r="J31" s="19"/>
      <c r="K31" s="19"/>
      <c r="L31" s="19"/>
      <c r="M31" s="19"/>
      <c r="N31" s="19"/>
      <c r="O31" s="19"/>
      <c r="P31" s="19"/>
      <c r="Q31" s="19"/>
      <c r="R31" s="19"/>
      <c r="S31" s="19"/>
      <c r="T31" s="19"/>
      <c r="U31" s="19"/>
      <c r="V31" s="19"/>
      <c r="W31" s="19"/>
      <c r="X31" s="7" t="n">
        <f aca="false">$X$27*$X$28</f>
        <v>1200</v>
      </c>
      <c r="Y31" s="7"/>
      <c r="Z31" s="7"/>
      <c r="AA31" s="7"/>
      <c r="AB31" s="7"/>
    </row>
    <row r="32" customFormat="false" ht="17.25" hidden="false" customHeight="true" outlineLevel="0" collapsed="false">
      <c r="B32" s="19" t="s">
        <v>111</v>
      </c>
      <c r="C32" s="19"/>
      <c r="D32" s="19"/>
      <c r="E32" s="19"/>
      <c r="F32" s="19"/>
      <c r="G32" s="19"/>
      <c r="H32" s="19"/>
      <c r="I32" s="19"/>
      <c r="J32" s="19"/>
      <c r="K32" s="19"/>
      <c r="L32" s="19"/>
      <c r="M32" s="19"/>
      <c r="N32" s="19"/>
      <c r="O32" s="19"/>
      <c r="P32" s="19"/>
      <c r="Q32" s="19"/>
      <c r="R32" s="19"/>
      <c r="S32" s="19"/>
      <c r="T32" s="19"/>
      <c r="U32" s="19"/>
      <c r="V32" s="19"/>
      <c r="W32" s="19"/>
      <c r="X32" s="7" t="n">
        <f aca="false">$X$27*$X$28*$X$29/12</f>
        <v>900</v>
      </c>
      <c r="Y32" s="7"/>
      <c r="Z32" s="7"/>
      <c r="AA32" s="7"/>
      <c r="AB32" s="7"/>
    </row>
  </sheetData>
  <mergeCells count="60">
    <mergeCell ref="B1:AF1"/>
    <mergeCell ref="B2:AF2"/>
    <mergeCell ref="B3:AF3"/>
    <mergeCell ref="B5:AF5"/>
    <mergeCell ref="B6:W6"/>
    <mergeCell ref="X6:AC6"/>
    <mergeCell ref="B7:W7"/>
    <mergeCell ref="X7:AC7"/>
    <mergeCell ref="B8:W8"/>
    <mergeCell ref="X8:AC8"/>
    <mergeCell ref="B10:D10"/>
    <mergeCell ref="E10:K10"/>
    <mergeCell ref="L10:R10"/>
    <mergeCell ref="S10:Y10"/>
    <mergeCell ref="Z10:AF10"/>
    <mergeCell ref="B11:D11"/>
    <mergeCell ref="E11:K11"/>
    <mergeCell ref="L11:R11"/>
    <mergeCell ref="S11:Y11"/>
    <mergeCell ref="Z11:AF11"/>
    <mergeCell ref="B12:D12"/>
    <mergeCell ref="E12:K12"/>
    <mergeCell ref="L12:R12"/>
    <mergeCell ref="S12:Y12"/>
    <mergeCell ref="Z12:AF12"/>
    <mergeCell ref="B13:D13"/>
    <mergeCell ref="E13:K13"/>
    <mergeCell ref="L13:R13"/>
    <mergeCell ref="S13:Y13"/>
    <mergeCell ref="Z13:AF13"/>
    <mergeCell ref="B14:D14"/>
    <mergeCell ref="E14:K14"/>
    <mergeCell ref="L14:R14"/>
    <mergeCell ref="S14:Y14"/>
    <mergeCell ref="Z14:AF14"/>
    <mergeCell ref="B15:AF15"/>
    <mergeCell ref="B17:AF17"/>
    <mergeCell ref="B18:W18"/>
    <mergeCell ref="X18:AC18"/>
    <mergeCell ref="B19:W19"/>
    <mergeCell ref="X19:AC19"/>
    <mergeCell ref="B20:W20"/>
    <mergeCell ref="X20:AC20"/>
    <mergeCell ref="B21:W21"/>
    <mergeCell ref="X21:AC21"/>
    <mergeCell ref="B23:W23"/>
    <mergeCell ref="X23:AB23"/>
    <mergeCell ref="B25:AF25"/>
    <mergeCell ref="B26:W26"/>
    <mergeCell ref="X26:AC26"/>
    <mergeCell ref="B27:W27"/>
    <mergeCell ref="X27:AC27"/>
    <mergeCell ref="B28:W28"/>
    <mergeCell ref="X28:AC28"/>
    <mergeCell ref="B29:W29"/>
    <mergeCell ref="X29:AC29"/>
    <mergeCell ref="B31:W31"/>
    <mergeCell ref="X31:AB31"/>
    <mergeCell ref="B32:W32"/>
    <mergeCell ref="X32:AB32"/>
  </mergeCells>
  <conditionalFormatting sqref="B1:AG33">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B1:AF21"/>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26</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37</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38</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16.5" hidden="false" customHeight="true" outlineLevel="0" collapsed="false">
      <c r="B5" s="4" t="s">
        <v>112</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40</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113</v>
      </c>
      <c r="C7" s="12"/>
      <c r="D7" s="12"/>
      <c r="E7" s="12"/>
      <c r="F7" s="12"/>
      <c r="G7" s="12"/>
      <c r="H7" s="12"/>
      <c r="I7" s="12"/>
      <c r="J7" s="12"/>
      <c r="K7" s="12"/>
      <c r="L7" s="12"/>
      <c r="M7" s="12"/>
      <c r="N7" s="12"/>
      <c r="O7" s="12"/>
      <c r="P7" s="12"/>
      <c r="Q7" s="12"/>
      <c r="R7" s="12"/>
      <c r="S7" s="12"/>
      <c r="T7" s="12"/>
      <c r="U7" s="12"/>
      <c r="V7" s="12"/>
      <c r="W7" s="12"/>
      <c r="X7" s="17" t="n">
        <v>30000</v>
      </c>
      <c r="Y7" s="17"/>
      <c r="Z7" s="17"/>
      <c r="AA7" s="17"/>
      <c r="AB7" s="17"/>
      <c r="AC7" s="17"/>
    </row>
    <row r="8" customFormat="false" ht="16.5" hidden="false" customHeight="true" outlineLevel="0" collapsed="false">
      <c r="B8" s="12" t="s">
        <v>114</v>
      </c>
      <c r="C8" s="12"/>
      <c r="D8" s="12"/>
      <c r="E8" s="12"/>
      <c r="F8" s="12"/>
      <c r="G8" s="12"/>
      <c r="H8" s="12"/>
      <c r="I8" s="12"/>
      <c r="J8" s="12"/>
      <c r="K8" s="12"/>
      <c r="L8" s="12"/>
      <c r="M8" s="12"/>
      <c r="N8" s="12"/>
      <c r="O8" s="12"/>
      <c r="P8" s="12"/>
      <c r="Q8" s="12"/>
      <c r="R8" s="12"/>
      <c r="S8" s="12"/>
      <c r="T8" s="12"/>
      <c r="U8" s="12"/>
      <c r="V8" s="12"/>
      <c r="W8" s="12"/>
      <c r="X8" s="17" t="n">
        <v>18000</v>
      </c>
      <c r="Y8" s="17"/>
      <c r="Z8" s="17"/>
      <c r="AA8" s="17"/>
      <c r="AB8" s="17"/>
      <c r="AC8" s="17"/>
    </row>
    <row r="9" customFormat="false" ht="16.5" hidden="false" customHeight="true" outlineLevel="0" collapsed="false">
      <c r="B9" s="12" t="s">
        <v>115</v>
      </c>
      <c r="C9" s="12"/>
      <c r="D9" s="12"/>
      <c r="E9" s="12"/>
      <c r="F9" s="12"/>
      <c r="G9" s="12"/>
      <c r="H9" s="12"/>
      <c r="I9" s="12"/>
      <c r="J9" s="12"/>
      <c r="K9" s="12"/>
      <c r="L9" s="12"/>
      <c r="M9" s="12"/>
      <c r="N9" s="12"/>
      <c r="O9" s="12"/>
      <c r="P9" s="12"/>
      <c r="Q9" s="12"/>
      <c r="R9" s="12"/>
      <c r="S9" s="12"/>
      <c r="T9" s="12"/>
      <c r="U9" s="12"/>
      <c r="V9" s="12"/>
      <c r="W9" s="12"/>
      <c r="X9" s="17" t="n">
        <v>10000</v>
      </c>
      <c r="Y9" s="17"/>
      <c r="Z9" s="17"/>
      <c r="AA9" s="17"/>
      <c r="AB9" s="17"/>
      <c r="AC9" s="17"/>
    </row>
    <row r="11" customFormat="false" ht="17.25" hidden="false" customHeight="true" outlineLevel="0" collapsed="false">
      <c r="B11" s="19" t="s">
        <v>116</v>
      </c>
      <c r="C11" s="19"/>
      <c r="D11" s="19"/>
      <c r="E11" s="19"/>
      <c r="F11" s="19"/>
      <c r="G11" s="19"/>
      <c r="H11" s="19"/>
      <c r="I11" s="19"/>
      <c r="J11" s="19"/>
      <c r="K11" s="19"/>
      <c r="L11" s="19"/>
      <c r="M11" s="19"/>
      <c r="N11" s="19"/>
      <c r="O11" s="19"/>
      <c r="P11" s="19"/>
      <c r="Q11" s="19"/>
      <c r="R11" s="19"/>
      <c r="S11" s="19"/>
      <c r="T11" s="19"/>
      <c r="U11" s="19"/>
      <c r="V11" s="19"/>
      <c r="W11" s="19"/>
      <c r="X11" s="7" t="n">
        <f aca="false">$X$7-$X$8</f>
        <v>12000</v>
      </c>
      <c r="Y11" s="7"/>
      <c r="Z11" s="7"/>
      <c r="AA11" s="7"/>
      <c r="AB11" s="7"/>
    </row>
    <row r="12" customFormat="false" ht="17.25" hidden="false" customHeight="true" outlineLevel="0" collapsed="false">
      <c r="B12" s="19" t="s">
        <v>117</v>
      </c>
      <c r="C12" s="19"/>
      <c r="D12" s="19"/>
      <c r="E12" s="19"/>
      <c r="F12" s="19"/>
      <c r="G12" s="19"/>
      <c r="H12" s="19"/>
      <c r="I12" s="19"/>
      <c r="J12" s="19"/>
      <c r="K12" s="19"/>
      <c r="L12" s="19"/>
      <c r="M12" s="19"/>
      <c r="N12" s="19"/>
      <c r="O12" s="19"/>
      <c r="P12" s="19"/>
      <c r="Q12" s="19"/>
      <c r="R12" s="19"/>
      <c r="S12" s="19"/>
      <c r="T12" s="19"/>
      <c r="U12" s="19"/>
      <c r="V12" s="19"/>
      <c r="W12" s="19"/>
      <c r="X12" s="7" t="n">
        <f aca="false">$X$9-$X$11</f>
        <v>-2000</v>
      </c>
      <c r="Y12" s="7"/>
      <c r="Z12" s="7"/>
      <c r="AA12" s="7"/>
      <c r="AB12" s="7"/>
    </row>
    <row r="13" customFormat="false" ht="17.25" hidden="false" customHeight="true" outlineLevel="0" collapsed="false">
      <c r="B13" s="19" t="s">
        <v>118</v>
      </c>
      <c r="C13" s="19"/>
      <c r="D13" s="19"/>
      <c r="E13" s="19"/>
      <c r="F13" s="19"/>
      <c r="G13" s="19"/>
      <c r="H13" s="19"/>
      <c r="I13" s="19"/>
      <c r="J13" s="19"/>
      <c r="K13" s="19"/>
      <c r="L13" s="19"/>
      <c r="M13" s="19"/>
      <c r="N13" s="19"/>
      <c r="O13" s="19"/>
      <c r="P13" s="19"/>
      <c r="Q13" s="19"/>
      <c r="R13" s="19"/>
      <c r="S13" s="19"/>
      <c r="T13" s="19"/>
      <c r="U13" s="19"/>
      <c r="V13" s="19"/>
      <c r="W13" s="19"/>
      <c r="X13" s="38" t="str">
        <f aca="false">IF($X$12&gt;0,"Profit: other income in the SPL",IF($X$12&lt;0,"Loss: expense in the SPL","No profit or loss"))</f>
        <v>Loss: expense in the SPL</v>
      </c>
      <c r="Y13" s="38"/>
      <c r="Z13" s="38"/>
      <c r="AA13" s="38"/>
      <c r="AB13" s="38"/>
    </row>
    <row r="15" customFormat="false" ht="15" hidden="false" customHeight="false" outlineLevel="0" collapsed="false">
      <c r="B15" s="21" t="s">
        <v>60</v>
      </c>
      <c r="C15" s="21"/>
      <c r="D15" s="21"/>
      <c r="E15" s="22" t="s">
        <v>119</v>
      </c>
      <c r="F15" s="22"/>
      <c r="G15" s="22"/>
      <c r="H15" s="22"/>
      <c r="I15" s="22"/>
      <c r="J15" s="22"/>
      <c r="K15" s="22"/>
      <c r="L15" s="22"/>
      <c r="M15" s="22"/>
      <c r="N15" s="22"/>
      <c r="O15" s="22"/>
      <c r="P15" s="22"/>
      <c r="Q15" s="22"/>
      <c r="R15" s="22"/>
      <c r="S15" s="22"/>
      <c r="T15" s="22"/>
      <c r="U15" s="22"/>
      <c r="V15" s="22"/>
      <c r="W15" s="22"/>
      <c r="X15" s="22"/>
      <c r="Y15" s="22"/>
      <c r="Z15" s="22"/>
      <c r="AA15" s="22"/>
      <c r="AB15" s="22"/>
      <c r="AC15" s="22"/>
      <c r="AD15" s="23" t="s">
        <v>62</v>
      </c>
      <c r="AE15" s="23"/>
      <c r="AF15" s="23"/>
    </row>
    <row r="16" customFormat="false" ht="15" hidden="false" customHeight="false" outlineLevel="0" collapsed="false">
      <c r="B16" s="24" t="s">
        <v>63</v>
      </c>
      <c r="C16" s="24"/>
      <c r="D16" s="24"/>
      <c r="E16" s="24" t="s">
        <v>64</v>
      </c>
      <c r="F16" s="24"/>
      <c r="G16" s="24"/>
      <c r="H16" s="24"/>
      <c r="I16" s="24"/>
      <c r="J16" s="24"/>
      <c r="K16" s="24"/>
      <c r="L16" s="25" t="s">
        <v>65</v>
      </c>
      <c r="M16" s="26" t="s">
        <v>66</v>
      </c>
      <c r="N16" s="26"/>
      <c r="O16" s="26"/>
      <c r="P16" s="26"/>
      <c r="Q16" s="27"/>
      <c r="R16" s="28" t="s">
        <v>63</v>
      </c>
      <c r="S16" s="28"/>
      <c r="T16" s="28"/>
      <c r="U16" s="24" t="s">
        <v>64</v>
      </c>
      <c r="V16" s="24"/>
      <c r="W16" s="24"/>
      <c r="X16" s="24"/>
      <c r="Y16" s="24"/>
      <c r="Z16" s="24"/>
      <c r="AA16" s="24"/>
      <c r="AB16" s="25" t="s">
        <v>65</v>
      </c>
      <c r="AC16" s="26" t="s">
        <v>66</v>
      </c>
      <c r="AD16" s="26"/>
      <c r="AE16" s="26"/>
      <c r="AF16" s="26"/>
    </row>
    <row r="17" customFormat="false" ht="17.25" hidden="false" customHeight="true" outlineLevel="0" collapsed="false">
      <c r="B17" s="6" t="s">
        <v>120</v>
      </c>
      <c r="C17" s="6"/>
      <c r="D17" s="6"/>
      <c r="E17" s="29" t="s">
        <v>121</v>
      </c>
      <c r="F17" s="29"/>
      <c r="G17" s="29"/>
      <c r="H17" s="29"/>
      <c r="I17" s="29"/>
      <c r="J17" s="29"/>
      <c r="K17" s="29"/>
      <c r="L17" s="30" t="s">
        <v>76</v>
      </c>
      <c r="M17" s="7" t="n">
        <f aca="false">$X$7</f>
        <v>30000</v>
      </c>
      <c r="N17" s="7"/>
      <c r="O17" s="7"/>
      <c r="R17" s="31" t="s">
        <v>120</v>
      </c>
      <c r="S17" s="31"/>
      <c r="T17" s="31"/>
      <c r="U17" s="29" t="s">
        <v>122</v>
      </c>
      <c r="V17" s="29"/>
      <c r="W17" s="29"/>
      <c r="X17" s="29"/>
      <c r="Y17" s="29"/>
      <c r="Z17" s="29"/>
      <c r="AA17" s="29"/>
      <c r="AB17" s="30" t="s">
        <v>76</v>
      </c>
      <c r="AC17" s="7" t="n">
        <f aca="false">$X$8</f>
        <v>18000</v>
      </c>
      <c r="AD17" s="7"/>
      <c r="AE17" s="7"/>
    </row>
    <row r="18" customFormat="false" ht="17.25" hidden="false" customHeight="true" outlineLevel="0" collapsed="false">
      <c r="B18" s="6" t="s">
        <v>123</v>
      </c>
      <c r="C18" s="6"/>
      <c r="D18" s="6"/>
      <c r="E18" s="29" t="s">
        <v>124</v>
      </c>
      <c r="F18" s="29"/>
      <c r="G18" s="29"/>
      <c r="H18" s="29"/>
      <c r="I18" s="29"/>
      <c r="J18" s="29"/>
      <c r="K18" s="29"/>
      <c r="L18" s="30" t="s">
        <v>78</v>
      </c>
      <c r="M18" s="7" t="n">
        <f aca="false">MAX($X$12,0)</f>
        <v>0</v>
      </c>
      <c r="N18" s="7"/>
      <c r="O18" s="7"/>
      <c r="R18" s="31" t="s">
        <v>120</v>
      </c>
      <c r="S18" s="31"/>
      <c r="T18" s="31"/>
      <c r="U18" s="29" t="s">
        <v>68</v>
      </c>
      <c r="V18" s="29"/>
      <c r="W18" s="29"/>
      <c r="X18" s="29"/>
      <c r="Y18" s="29"/>
      <c r="Z18" s="29"/>
      <c r="AA18" s="29"/>
      <c r="AB18" s="30" t="s">
        <v>69</v>
      </c>
      <c r="AC18" s="7" t="n">
        <f aca="false">$X$9</f>
        <v>10000</v>
      </c>
      <c r="AD18" s="7"/>
      <c r="AE18" s="7"/>
    </row>
    <row r="19" customFormat="false" ht="17.25" hidden="false" customHeight="true" outlineLevel="0" collapsed="false">
      <c r="R19" s="31" t="s">
        <v>123</v>
      </c>
      <c r="S19" s="31"/>
      <c r="T19" s="31"/>
      <c r="U19" s="29" t="s">
        <v>125</v>
      </c>
      <c r="V19" s="29"/>
      <c r="W19" s="29"/>
      <c r="X19" s="29"/>
      <c r="Y19" s="29"/>
      <c r="Z19" s="29"/>
      <c r="AA19" s="29"/>
      <c r="AB19" s="30" t="s">
        <v>78</v>
      </c>
      <c r="AC19" s="7" t="n">
        <f aca="false">MAX(-$X$12,0)</f>
        <v>2000</v>
      </c>
      <c r="AD19" s="7"/>
      <c r="AE19" s="7"/>
    </row>
    <row r="20" customFormat="false" ht="16.5" hidden="false" customHeight="true" outlineLevel="0" collapsed="false">
      <c r="M20" s="32" t="n">
        <f aca="false">SUM(M17:M19)</f>
        <v>30000</v>
      </c>
      <c r="N20" s="32"/>
      <c r="O20" s="32"/>
      <c r="R20" s="33"/>
      <c r="AC20" s="32" t="n">
        <f aca="false">SUM(AC17:AC19)</f>
        <v>30000</v>
      </c>
      <c r="AD20" s="32"/>
      <c r="AE20" s="32"/>
    </row>
    <row r="21" customFormat="false" ht="16.5" hidden="false" customHeight="true" outlineLevel="0" collapsed="false">
      <c r="B21" s="2" t="s">
        <v>126</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sheetData>
  <mergeCells count="45">
    <mergeCell ref="B1:AF1"/>
    <mergeCell ref="B2:AF2"/>
    <mergeCell ref="B3:AF3"/>
    <mergeCell ref="B5:AF5"/>
    <mergeCell ref="B6:W6"/>
    <mergeCell ref="X6:AC6"/>
    <mergeCell ref="B7:W7"/>
    <mergeCell ref="X7:AC7"/>
    <mergeCell ref="B8:W8"/>
    <mergeCell ref="X8:AC8"/>
    <mergeCell ref="B9:W9"/>
    <mergeCell ref="X9:AC9"/>
    <mergeCell ref="B11:W11"/>
    <mergeCell ref="X11:AB11"/>
    <mergeCell ref="B12:W12"/>
    <mergeCell ref="X12:AB12"/>
    <mergeCell ref="B13:W13"/>
    <mergeCell ref="X13:AB13"/>
    <mergeCell ref="B15:D15"/>
    <mergeCell ref="E15:AC15"/>
    <mergeCell ref="AD15:AF15"/>
    <mergeCell ref="B16:D16"/>
    <mergeCell ref="E16:K16"/>
    <mergeCell ref="M16:P16"/>
    <mergeCell ref="R16:T16"/>
    <mergeCell ref="U16:AA16"/>
    <mergeCell ref="AC16:AF16"/>
    <mergeCell ref="B17:D17"/>
    <mergeCell ref="E17:K17"/>
    <mergeCell ref="M17:O17"/>
    <mergeCell ref="R17:T17"/>
    <mergeCell ref="U17:AA17"/>
    <mergeCell ref="AC17:AE17"/>
    <mergeCell ref="B18:D18"/>
    <mergeCell ref="E18:K18"/>
    <mergeCell ref="M18:O18"/>
    <mergeCell ref="R18:T18"/>
    <mergeCell ref="U18:AA18"/>
    <mergeCell ref="AC18:AE18"/>
    <mergeCell ref="R19:T19"/>
    <mergeCell ref="U19:AA19"/>
    <mergeCell ref="AC19:AE19"/>
    <mergeCell ref="M20:O20"/>
    <mergeCell ref="AC20:AE20"/>
    <mergeCell ref="B21:AF21"/>
  </mergeCells>
  <conditionalFormatting sqref="B1:AG22">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2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127</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128</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21" t="s">
        <v>129</v>
      </c>
      <c r="C3" s="21"/>
      <c r="D3" s="21"/>
      <c r="E3" s="21"/>
      <c r="F3" s="21"/>
      <c r="G3" s="21"/>
      <c r="H3" s="21" t="str">
        <f aca="false">COUNTIF(B4:AG29,"✓")&amp;" correct out of 11 answer cells"</f>
        <v>0 correct out of 11 answer cells</v>
      </c>
      <c r="I3" s="21"/>
      <c r="J3" s="21"/>
      <c r="K3" s="21"/>
      <c r="L3" s="21"/>
      <c r="M3" s="21"/>
      <c r="N3" s="21"/>
      <c r="O3" s="21"/>
      <c r="P3" s="21"/>
      <c r="Q3" s="21"/>
      <c r="R3" s="21"/>
      <c r="S3" s="21"/>
      <c r="T3" s="21"/>
      <c r="U3" s="21"/>
      <c r="V3" s="21"/>
      <c r="W3" s="21"/>
      <c r="X3" s="21"/>
      <c r="Y3" s="21"/>
      <c r="Z3" s="21"/>
      <c r="AA3" s="21"/>
      <c r="AB3" s="21"/>
      <c r="AC3" s="21"/>
      <c r="AD3" s="21"/>
      <c r="AE3" s="21"/>
      <c r="AF3" s="21"/>
    </row>
    <row r="5" customFormat="false" ht="30" hidden="false" customHeight="true" outlineLevel="0" collapsed="false">
      <c r="B5" s="4" t="s">
        <v>130</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131</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113</v>
      </c>
      <c r="C7" s="12"/>
      <c r="D7" s="12"/>
      <c r="E7" s="12"/>
      <c r="F7" s="12"/>
      <c r="G7" s="12"/>
      <c r="H7" s="12"/>
      <c r="I7" s="12"/>
      <c r="J7" s="12"/>
      <c r="K7" s="12"/>
      <c r="L7" s="12"/>
      <c r="M7" s="12"/>
      <c r="N7" s="12"/>
      <c r="O7" s="12"/>
      <c r="P7" s="12"/>
      <c r="Q7" s="12"/>
      <c r="R7" s="12"/>
      <c r="S7" s="12"/>
      <c r="T7" s="12"/>
      <c r="U7" s="12"/>
      <c r="V7" s="12"/>
      <c r="W7" s="12"/>
      <c r="X7" s="17" t="n">
        <v>18000</v>
      </c>
      <c r="Y7" s="17"/>
      <c r="Z7" s="17"/>
      <c r="AA7" s="17"/>
      <c r="AB7" s="17"/>
      <c r="AC7" s="17"/>
    </row>
    <row r="8" customFormat="false" ht="16.5" hidden="false" customHeight="true" outlineLevel="0" collapsed="false">
      <c r="B8" s="12" t="s">
        <v>43</v>
      </c>
      <c r="C8" s="12"/>
      <c r="D8" s="12"/>
      <c r="E8" s="12"/>
      <c r="F8" s="12"/>
      <c r="G8" s="12"/>
      <c r="H8" s="12"/>
      <c r="I8" s="12"/>
      <c r="J8" s="12"/>
      <c r="K8" s="12"/>
      <c r="L8" s="12"/>
      <c r="M8" s="12"/>
      <c r="N8" s="12"/>
      <c r="O8" s="12"/>
      <c r="P8" s="12"/>
      <c r="Q8" s="12"/>
      <c r="R8" s="12"/>
      <c r="S8" s="12"/>
      <c r="T8" s="12"/>
      <c r="U8" s="12"/>
      <c r="V8" s="12"/>
      <c r="W8" s="12"/>
      <c r="X8" s="17" t="n">
        <v>3000</v>
      </c>
      <c r="Y8" s="17"/>
      <c r="Z8" s="17"/>
      <c r="AA8" s="17"/>
      <c r="AB8" s="17"/>
      <c r="AC8" s="17"/>
    </row>
    <row r="9" customFormat="false" ht="16.5" hidden="false" customHeight="true" outlineLevel="0" collapsed="false">
      <c r="B9" s="12" t="s">
        <v>132</v>
      </c>
      <c r="C9" s="12"/>
      <c r="D9" s="12"/>
      <c r="E9" s="12"/>
      <c r="F9" s="12"/>
      <c r="G9" s="12"/>
      <c r="H9" s="12"/>
      <c r="I9" s="12"/>
      <c r="J9" s="12"/>
      <c r="K9" s="12"/>
      <c r="L9" s="12"/>
      <c r="M9" s="12"/>
      <c r="N9" s="12"/>
      <c r="O9" s="12"/>
      <c r="P9" s="12"/>
      <c r="Q9" s="12"/>
      <c r="R9" s="12"/>
      <c r="S9" s="12"/>
      <c r="T9" s="12"/>
      <c r="U9" s="12"/>
      <c r="V9" s="12"/>
      <c r="W9" s="12"/>
      <c r="X9" s="18" t="n">
        <v>5</v>
      </c>
      <c r="Y9" s="18"/>
      <c r="Z9" s="18"/>
      <c r="AA9" s="18"/>
      <c r="AB9" s="18"/>
      <c r="AC9" s="18"/>
    </row>
    <row r="12" customFormat="false" ht="18.75" hidden="false" customHeight="true" outlineLevel="0" collapsed="false">
      <c r="B12" s="3" t="s">
        <v>133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7.25" hidden="false" customHeight="true" outlineLevel="0" collapsed="false">
      <c r="B13" s="19" t="s">
        <v>45</v>
      </c>
      <c r="C13" s="19"/>
      <c r="D13" s="19"/>
      <c r="E13" s="19"/>
      <c r="F13" s="19"/>
      <c r="G13" s="19"/>
      <c r="H13" s="19"/>
      <c r="I13" s="19"/>
      <c r="J13" s="19"/>
      <c r="K13" s="19"/>
      <c r="L13" s="19"/>
      <c r="M13" s="19"/>
      <c r="N13" s="19"/>
      <c r="O13" s="19"/>
      <c r="P13" s="19"/>
      <c r="Q13" s="19"/>
      <c r="R13" s="19"/>
      <c r="S13" s="19"/>
      <c r="T13" s="19"/>
      <c r="U13" s="19"/>
      <c r="V13" s="19"/>
      <c r="W13" s="19"/>
      <c r="X13" s="39"/>
      <c r="Y13" s="39"/>
      <c r="Z13" s="39"/>
      <c r="AA13" s="39"/>
      <c r="AB13" s="39"/>
      <c r="AC13" s="40" t="str">
        <f aca="false">IF(X13="","",IFERROR(IF(ABS(ABS(X13)-ABS('Q10.9 Ans'!X13))&lt;0.5,"✓","✗"),"✗"))</f>
        <v/>
      </c>
    </row>
    <row r="15" customFormat="false" ht="18.75" hidden="false" customHeight="true" outlineLevel="0" collapsed="false">
      <c r="B15" s="3" t="s">
        <v>134</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7.25" hidden="false" customHeight="true" outlineLevel="0" collapsed="false">
      <c r="B16" s="10" t="s">
        <v>46</v>
      </c>
      <c r="C16" s="10"/>
      <c r="D16" s="10"/>
      <c r="E16" s="10"/>
      <c r="F16" s="10"/>
      <c r="G16" s="10"/>
      <c r="H16" s="10"/>
      <c r="I16" s="11" t="s">
        <v>91</v>
      </c>
      <c r="J16" s="11"/>
      <c r="K16" s="11"/>
      <c r="L16" s="11"/>
      <c r="M16" s="11"/>
      <c r="N16" s="11"/>
      <c r="O16" s="11"/>
      <c r="P16" s="11"/>
      <c r="Q16" s="11" t="s">
        <v>48</v>
      </c>
      <c r="R16" s="11"/>
      <c r="S16" s="11"/>
      <c r="T16" s="11"/>
      <c r="U16" s="11"/>
      <c r="V16" s="11"/>
      <c r="W16" s="11"/>
      <c r="X16" s="11"/>
      <c r="Y16" s="11" t="s">
        <v>135</v>
      </c>
      <c r="Z16" s="11"/>
      <c r="AA16" s="11"/>
      <c r="AB16" s="11"/>
      <c r="AC16" s="11"/>
      <c r="AD16" s="11"/>
      <c r="AE16" s="11"/>
      <c r="AF16" s="11"/>
    </row>
    <row r="17" customFormat="false" ht="17.25" hidden="false" customHeight="true" outlineLevel="0" collapsed="false">
      <c r="B17" s="12" t="s">
        <v>136</v>
      </c>
      <c r="C17" s="12"/>
      <c r="D17" s="12"/>
      <c r="E17" s="12"/>
      <c r="F17" s="12"/>
      <c r="G17" s="12"/>
      <c r="H17" s="12"/>
      <c r="I17" s="39"/>
      <c r="J17" s="39"/>
      <c r="K17" s="39"/>
      <c r="L17" s="39"/>
      <c r="M17" s="39"/>
      <c r="N17" s="39"/>
      <c r="O17" s="39"/>
      <c r="P17" s="41" t="str">
        <f aca="false">IF(I17="","",IFERROR(IF(ABS(ABS(I17)-ABS('Q10.9 Ans'!I17))&lt;0.5,"✓","✗"),"✗"))</f>
        <v/>
      </c>
      <c r="Q17" s="39"/>
      <c r="R17" s="39"/>
      <c r="S17" s="39"/>
      <c r="T17" s="39"/>
      <c r="U17" s="39"/>
      <c r="V17" s="39"/>
      <c r="W17" s="39"/>
      <c r="X17" s="41" t="str">
        <f aca="false">IF(Q17="","",IFERROR(IF(ABS(ABS(Q17)-ABS('Q10.9 Ans'!Q17))&lt;0.5,"✓","✗"),"✗"))</f>
        <v/>
      </c>
      <c r="Y17" s="39"/>
      <c r="Z17" s="39"/>
      <c r="AA17" s="39"/>
      <c r="AB17" s="39"/>
      <c r="AC17" s="39"/>
      <c r="AD17" s="39"/>
      <c r="AE17" s="39"/>
      <c r="AF17" s="41" t="str">
        <f aca="false">IF(Y17="","",IFERROR(IF(ABS(ABS(Y17)-ABS('Q10.9 Ans'!Y17))&lt;0.5,"✓","✗"),"✗"))</f>
        <v/>
      </c>
    </row>
    <row r="18" customFormat="false" ht="17.25" hidden="false" customHeight="true" outlineLevel="0" collapsed="false">
      <c r="B18" s="12" t="s">
        <v>137</v>
      </c>
      <c r="C18" s="12"/>
      <c r="D18" s="12"/>
      <c r="E18" s="12"/>
      <c r="F18" s="12"/>
      <c r="G18" s="12"/>
      <c r="H18" s="12"/>
      <c r="I18" s="39"/>
      <c r="J18" s="39"/>
      <c r="K18" s="39"/>
      <c r="L18" s="39"/>
      <c r="M18" s="39"/>
      <c r="N18" s="39"/>
      <c r="O18" s="39"/>
      <c r="P18" s="41" t="str">
        <f aca="false">IF(I18="","",IFERROR(IF(ABS(ABS(I18)-ABS('Q10.9 Ans'!I18))&lt;0.5,"✓","✗"),"✗"))</f>
        <v/>
      </c>
      <c r="Q18" s="39"/>
      <c r="R18" s="39"/>
      <c r="S18" s="39"/>
      <c r="T18" s="39"/>
      <c r="U18" s="39"/>
      <c r="V18" s="39"/>
      <c r="W18" s="39"/>
      <c r="X18" s="41" t="str">
        <f aca="false">IF(Q18="","",IFERROR(IF(ABS(ABS(Q18)-ABS('Q10.9 Ans'!Q18))&lt;0.5,"✓","✗"),"✗"))</f>
        <v/>
      </c>
      <c r="Y18" s="39"/>
      <c r="Z18" s="39"/>
      <c r="AA18" s="39"/>
      <c r="AB18" s="39"/>
      <c r="AC18" s="39"/>
      <c r="AD18" s="39"/>
      <c r="AE18" s="39"/>
      <c r="AF18" s="41" t="str">
        <f aca="false">IF(Y18="","",IFERROR(IF(ABS(ABS(Y18)-ABS('Q10.9 Ans'!Y18))&lt;0.5,"✓","✗"),"✗"))</f>
        <v/>
      </c>
    </row>
    <row r="20" customFormat="false" ht="18.75" hidden="false" customHeight="true" outlineLevel="0" collapsed="false">
      <c r="B20" s="3" t="s">
        <v>138</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false" outlineLevel="0" collapsed="false">
      <c r="B21" s="22" t="s">
        <v>139</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customFormat="false" ht="15" hidden="false" customHeight="false" outlineLevel="0" collapsed="false">
      <c r="B22" s="34"/>
      <c r="C22" s="34"/>
      <c r="D22" s="34"/>
      <c r="E22" s="15" t="s">
        <v>64</v>
      </c>
      <c r="F22" s="15"/>
      <c r="G22" s="15"/>
      <c r="H22" s="15"/>
      <c r="I22" s="15"/>
      <c r="J22" s="15"/>
      <c r="K22" s="15"/>
      <c r="L22" s="15"/>
      <c r="M22" s="15"/>
      <c r="N22" s="15"/>
      <c r="O22" s="15"/>
      <c r="P22" s="15"/>
      <c r="Q22" s="15"/>
      <c r="R22" s="16" t="s">
        <v>81</v>
      </c>
      <c r="S22" s="16"/>
      <c r="T22" s="16"/>
      <c r="U22" s="16"/>
      <c r="V22" s="16"/>
      <c r="W22" s="16" t="s">
        <v>81</v>
      </c>
      <c r="X22" s="16"/>
      <c r="Y22" s="16"/>
      <c r="Z22" s="16"/>
      <c r="AA22" s="16"/>
      <c r="AB22" s="16" t="s">
        <v>81</v>
      </c>
      <c r="AC22" s="16"/>
      <c r="AD22" s="16"/>
      <c r="AE22" s="16"/>
      <c r="AF22" s="16"/>
    </row>
    <row r="23" customFormat="false" ht="30" hidden="false" customHeight="true" outlineLevel="0" collapsed="false">
      <c r="B23" s="34"/>
      <c r="C23" s="34"/>
      <c r="D23" s="34"/>
      <c r="E23" s="34"/>
      <c r="F23" s="34"/>
      <c r="G23" s="34"/>
      <c r="H23" s="34"/>
      <c r="I23" s="34"/>
      <c r="J23" s="34"/>
      <c r="K23" s="34"/>
      <c r="L23" s="34"/>
      <c r="M23" s="34"/>
      <c r="N23" s="34"/>
      <c r="O23" s="34"/>
      <c r="P23" s="34"/>
      <c r="Q23" s="34"/>
      <c r="R23" s="11" t="s">
        <v>82</v>
      </c>
      <c r="S23" s="11"/>
      <c r="T23" s="11"/>
      <c r="U23" s="11"/>
      <c r="V23" s="11"/>
      <c r="W23" s="11" t="s">
        <v>83</v>
      </c>
      <c r="X23" s="11"/>
      <c r="Y23" s="11"/>
      <c r="Z23" s="11"/>
      <c r="AA23" s="11"/>
      <c r="AB23" s="11" t="s">
        <v>84</v>
      </c>
      <c r="AC23" s="11"/>
      <c r="AD23" s="11"/>
      <c r="AE23" s="11"/>
      <c r="AF23" s="11"/>
    </row>
    <row r="24" customFormat="false" ht="17.25" hidden="false" customHeight="true" outlineLevel="0" collapsed="false">
      <c r="B24" s="35"/>
      <c r="C24" s="35"/>
      <c r="D24" s="35"/>
      <c r="E24" s="36" t="s">
        <v>85</v>
      </c>
      <c r="F24" s="36"/>
      <c r="G24" s="36"/>
      <c r="H24" s="36"/>
      <c r="I24" s="36"/>
      <c r="J24" s="36"/>
      <c r="K24" s="36"/>
      <c r="L24" s="36"/>
      <c r="M24" s="36"/>
      <c r="N24" s="36"/>
      <c r="O24" s="36"/>
      <c r="P24" s="36"/>
      <c r="Q24" s="36"/>
    </row>
    <row r="25" customFormat="false" ht="17.25" hidden="false" customHeight="true" outlineLevel="0" collapsed="false">
      <c r="B25" s="35"/>
      <c r="C25" s="35"/>
      <c r="D25" s="35"/>
      <c r="E25" s="29" t="s">
        <v>140</v>
      </c>
      <c r="F25" s="29"/>
      <c r="G25" s="29"/>
      <c r="H25" s="29"/>
      <c r="I25" s="29"/>
      <c r="J25" s="29"/>
      <c r="K25" s="29"/>
      <c r="L25" s="29"/>
      <c r="M25" s="29"/>
      <c r="N25" s="29"/>
      <c r="O25" s="29"/>
      <c r="P25" s="29"/>
      <c r="Q25" s="29"/>
      <c r="R25" s="39"/>
      <c r="S25" s="39"/>
      <c r="T25" s="39"/>
      <c r="U25" s="39"/>
      <c r="V25" s="40" t="str">
        <f aca="false">IF(R25="","",IFERROR(IF(ABS(ABS(R25)-ABS('Q10.9 Ans'!R25))&lt;0.5,"✓","✗"),"✗"))</f>
        <v/>
      </c>
      <c r="W25" s="39"/>
      <c r="X25" s="39"/>
      <c r="Y25" s="39"/>
      <c r="Z25" s="39"/>
      <c r="AA25" s="40" t="str">
        <f aca="false">IF(W25="","",IFERROR(IF(ABS(ABS(W25)-ABS('Q10.9 Ans'!W25))&lt;0.5,"✓","✗"),"✗"))</f>
        <v/>
      </c>
      <c r="AB25" s="39"/>
      <c r="AC25" s="39"/>
      <c r="AD25" s="39"/>
      <c r="AE25" s="39"/>
      <c r="AF25" s="40" t="str">
        <f aca="false">IF(AB25="","",IFERROR(IF(ABS(ABS(AB25)-ABS('Q10.9 Ans'!AB25))&lt;0.5,"✓","✗"),"✗"))</f>
        <v/>
      </c>
    </row>
    <row r="27" customFormat="false" ht="18.75" hidden="false" customHeight="true" outlineLevel="0" collapsed="false">
      <c r="B27" s="3" t="s">
        <v>141</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7.25" hidden="false" customHeight="true" outlineLevel="0" collapsed="false">
      <c r="B28" s="19" t="s">
        <v>142</v>
      </c>
      <c r="C28" s="19"/>
      <c r="D28" s="19"/>
      <c r="E28" s="19"/>
      <c r="F28" s="19"/>
      <c r="G28" s="19"/>
      <c r="H28" s="19"/>
      <c r="I28" s="19"/>
      <c r="J28" s="19"/>
      <c r="K28" s="19"/>
      <c r="L28" s="19"/>
      <c r="M28" s="19"/>
      <c r="N28" s="19"/>
      <c r="O28" s="19"/>
      <c r="P28" s="19"/>
      <c r="Q28" s="19"/>
      <c r="R28" s="19"/>
      <c r="S28" s="19"/>
      <c r="T28" s="42"/>
      <c r="U28" s="42"/>
      <c r="V28" s="42"/>
      <c r="W28" s="42"/>
      <c r="X28" s="42"/>
      <c r="Y28" s="42"/>
      <c r="Z28" s="42"/>
      <c r="AA28" s="42"/>
      <c r="AB28" s="42"/>
      <c r="AC28" s="43" t="str">
        <f aca="false">IF(T28="","",IF(OR(LOWER(TRIM(T28))="wear and tear",LOWER(TRIM(T28))="passage of time",LOWER(TRIM(T28))="obsolescence"),"✓","✗"))</f>
        <v/>
      </c>
    </row>
  </sheetData>
  <mergeCells count="51">
    <mergeCell ref="B1:AF1"/>
    <mergeCell ref="B2:AF2"/>
    <mergeCell ref="B3:G3"/>
    <mergeCell ref="H3:AF3"/>
    <mergeCell ref="B5:AF5"/>
    <mergeCell ref="B6:W6"/>
    <mergeCell ref="X6:AC6"/>
    <mergeCell ref="B7:W7"/>
    <mergeCell ref="X7:AC7"/>
    <mergeCell ref="B8:W8"/>
    <mergeCell ref="X8:AC8"/>
    <mergeCell ref="B9:W9"/>
    <mergeCell ref="X9:AC9"/>
    <mergeCell ref="B12:AF12"/>
    <mergeCell ref="B13:W13"/>
    <mergeCell ref="X13:AB13"/>
    <mergeCell ref="B15:AF15"/>
    <mergeCell ref="B16:H16"/>
    <mergeCell ref="I16:P16"/>
    <mergeCell ref="Q16:X16"/>
    <mergeCell ref="Y16:AF16"/>
    <mergeCell ref="B17:H17"/>
    <mergeCell ref="I17:O17"/>
    <mergeCell ref="Q17:W17"/>
    <mergeCell ref="Y17:AE17"/>
    <mergeCell ref="B18:H18"/>
    <mergeCell ref="I18:O18"/>
    <mergeCell ref="Q18:W18"/>
    <mergeCell ref="Y18:AE18"/>
    <mergeCell ref="B20:AF20"/>
    <mergeCell ref="B21:AF21"/>
    <mergeCell ref="B22:D22"/>
    <mergeCell ref="E22:Q22"/>
    <mergeCell ref="R22:V22"/>
    <mergeCell ref="W22:AA22"/>
    <mergeCell ref="AB22:AF22"/>
    <mergeCell ref="B23:D23"/>
    <mergeCell ref="E23:Q23"/>
    <mergeCell ref="R23:V23"/>
    <mergeCell ref="W23:AA23"/>
    <mergeCell ref="AB23:AF23"/>
    <mergeCell ref="B24:D24"/>
    <mergeCell ref="E24:Q24"/>
    <mergeCell ref="B25:D25"/>
    <mergeCell ref="E25:Q25"/>
    <mergeCell ref="R25:U25"/>
    <mergeCell ref="W25:Z25"/>
    <mergeCell ref="AB25:AE25"/>
    <mergeCell ref="B27:AF27"/>
    <mergeCell ref="B28:S28"/>
    <mergeCell ref="T28:AB28"/>
  </mergeCells>
  <conditionalFormatting sqref="B4:AG29">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1">
    <dataValidation allowBlank="true" errorStyle="stop" operator="between" showDropDown="false" showErrorMessage="false" showInputMessage="false" sqref="T28" type="list">
      <formula1>"Wear and tear,Passage of time,Obsolescence,Depletion,Rising prices"</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2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143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128</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21" t="s">
        <v>129</v>
      </c>
      <c r="C3" s="21"/>
      <c r="D3" s="21"/>
      <c r="E3" s="21"/>
      <c r="F3" s="21"/>
      <c r="G3" s="21"/>
      <c r="H3" s="21" t="str">
        <f aca="false">COUNTIF(B4:AG27,"✓")&amp;" correct out of 8 answer cells"</f>
        <v>0 correct out of 8 answer cells</v>
      </c>
      <c r="I3" s="21"/>
      <c r="J3" s="21"/>
      <c r="K3" s="21"/>
      <c r="L3" s="21"/>
      <c r="M3" s="21"/>
      <c r="N3" s="21"/>
      <c r="O3" s="21"/>
      <c r="P3" s="21"/>
      <c r="Q3" s="21"/>
      <c r="R3" s="21"/>
      <c r="S3" s="21"/>
      <c r="T3" s="21"/>
      <c r="U3" s="21"/>
      <c r="V3" s="21"/>
      <c r="W3" s="21"/>
      <c r="X3" s="21"/>
      <c r="Y3" s="21"/>
      <c r="Z3" s="21"/>
      <c r="AA3" s="21"/>
      <c r="AB3" s="21"/>
      <c r="AC3" s="21"/>
      <c r="AD3" s="21"/>
      <c r="AE3" s="21"/>
      <c r="AF3" s="21"/>
    </row>
    <row r="5" customFormat="false" ht="16.5" hidden="false" customHeight="true" outlineLevel="0" collapsed="false">
      <c r="B5" s="4" t="s">
        <v>144</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131</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145</v>
      </c>
      <c r="C7" s="12"/>
      <c r="D7" s="12"/>
      <c r="E7" s="12"/>
      <c r="F7" s="12"/>
      <c r="G7" s="12"/>
      <c r="H7" s="12"/>
      <c r="I7" s="12"/>
      <c r="J7" s="12"/>
      <c r="K7" s="12"/>
      <c r="L7" s="12"/>
      <c r="M7" s="12"/>
      <c r="N7" s="12"/>
      <c r="O7" s="12"/>
      <c r="P7" s="12"/>
      <c r="Q7" s="12"/>
      <c r="R7" s="12"/>
      <c r="S7" s="12"/>
      <c r="T7" s="12"/>
      <c r="U7" s="12"/>
      <c r="V7" s="12"/>
      <c r="W7" s="12"/>
      <c r="X7" s="17" t="n">
        <v>22000</v>
      </c>
      <c r="Y7" s="17"/>
      <c r="Z7" s="17"/>
      <c r="AA7" s="17"/>
      <c r="AB7" s="17"/>
      <c r="AC7" s="17"/>
    </row>
    <row r="8" customFormat="false" ht="16.5" hidden="false" customHeight="true" outlineLevel="0" collapsed="false">
      <c r="B8" s="12" t="s">
        <v>146</v>
      </c>
      <c r="C8" s="12"/>
      <c r="D8" s="12"/>
      <c r="E8" s="12"/>
      <c r="F8" s="12"/>
      <c r="G8" s="12"/>
      <c r="H8" s="12"/>
      <c r="I8" s="12"/>
      <c r="J8" s="12"/>
      <c r="K8" s="12"/>
      <c r="L8" s="12"/>
      <c r="M8" s="12"/>
      <c r="N8" s="12"/>
      <c r="O8" s="12"/>
      <c r="P8" s="12"/>
      <c r="Q8" s="12"/>
      <c r="R8" s="12"/>
      <c r="S8" s="12"/>
      <c r="T8" s="12"/>
      <c r="U8" s="12"/>
      <c r="V8" s="12"/>
      <c r="W8" s="12"/>
      <c r="X8" s="17" t="n">
        <v>600</v>
      </c>
      <c r="Y8" s="17"/>
      <c r="Z8" s="17"/>
      <c r="AA8" s="17"/>
      <c r="AB8" s="17"/>
      <c r="AC8" s="17"/>
    </row>
    <row r="9" customFormat="false" ht="16.5" hidden="false" customHeight="true" outlineLevel="0" collapsed="false">
      <c r="B9" s="12" t="s">
        <v>147</v>
      </c>
      <c r="C9" s="12"/>
      <c r="D9" s="12"/>
      <c r="E9" s="12"/>
      <c r="F9" s="12"/>
      <c r="G9" s="12"/>
      <c r="H9" s="12"/>
      <c r="I9" s="12"/>
      <c r="J9" s="12"/>
      <c r="K9" s="12"/>
      <c r="L9" s="12"/>
      <c r="M9" s="12"/>
      <c r="N9" s="12"/>
      <c r="O9" s="12"/>
      <c r="P9" s="12"/>
      <c r="Q9" s="12"/>
      <c r="R9" s="12"/>
      <c r="S9" s="12"/>
      <c r="T9" s="12"/>
      <c r="U9" s="12"/>
      <c r="V9" s="12"/>
      <c r="W9" s="12"/>
      <c r="X9" s="17" t="n">
        <v>900</v>
      </c>
      <c r="Y9" s="17"/>
      <c r="Z9" s="17"/>
      <c r="AA9" s="17"/>
      <c r="AB9" s="17"/>
      <c r="AC9" s="17"/>
    </row>
    <row r="10" customFormat="false" ht="16.5" hidden="false" customHeight="true" outlineLevel="0" collapsed="false">
      <c r="B10" s="12" t="s">
        <v>148</v>
      </c>
      <c r="C10" s="12"/>
      <c r="D10" s="12"/>
      <c r="E10" s="12"/>
      <c r="F10" s="12"/>
      <c r="G10" s="12"/>
      <c r="H10" s="12"/>
      <c r="I10" s="12"/>
      <c r="J10" s="12"/>
      <c r="K10" s="12"/>
      <c r="L10" s="12"/>
      <c r="M10" s="12"/>
      <c r="N10" s="12"/>
      <c r="O10" s="12"/>
      <c r="P10" s="12"/>
      <c r="Q10" s="12"/>
      <c r="R10" s="12"/>
      <c r="S10" s="12"/>
      <c r="T10" s="12"/>
      <c r="U10" s="12"/>
      <c r="V10" s="12"/>
      <c r="W10" s="12"/>
      <c r="X10" s="17" t="n">
        <v>400</v>
      </c>
      <c r="Y10" s="17"/>
      <c r="Z10" s="17"/>
      <c r="AA10" s="17"/>
      <c r="AB10" s="17"/>
      <c r="AC10" s="17"/>
    </row>
    <row r="11" customFormat="false" ht="16.5" hidden="false" customHeight="true" outlineLevel="0" collapsed="false">
      <c r="B11" s="12" t="s">
        <v>149</v>
      </c>
      <c r="C11" s="12"/>
      <c r="D11" s="12"/>
      <c r="E11" s="12"/>
      <c r="F11" s="12"/>
      <c r="G11" s="12"/>
      <c r="H11" s="12"/>
      <c r="I11" s="12"/>
      <c r="J11" s="12"/>
      <c r="K11" s="12"/>
      <c r="L11" s="12"/>
      <c r="M11" s="12"/>
      <c r="N11" s="12"/>
      <c r="O11" s="12"/>
      <c r="P11" s="12"/>
      <c r="Q11" s="12"/>
      <c r="R11" s="12"/>
      <c r="S11" s="12"/>
      <c r="T11" s="12"/>
      <c r="U11" s="12"/>
      <c r="V11" s="12"/>
      <c r="W11" s="12"/>
      <c r="X11" s="17" t="n">
        <v>250</v>
      </c>
      <c r="Y11" s="17"/>
      <c r="Z11" s="17"/>
      <c r="AA11" s="17"/>
      <c r="AB11" s="17"/>
      <c r="AC11" s="17"/>
    </row>
    <row r="14" customFormat="false" ht="18.75" hidden="false" customHeight="true" outlineLevel="0" collapsed="false">
      <c r="B14" s="3" t="s">
        <v>150</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7.25" hidden="false" customHeight="true" outlineLevel="0" collapsed="false">
      <c r="B15" s="19" t="s">
        <v>151</v>
      </c>
      <c r="C15" s="19"/>
      <c r="D15" s="19"/>
      <c r="E15" s="19"/>
      <c r="F15" s="19"/>
      <c r="G15" s="19"/>
      <c r="H15" s="19"/>
      <c r="I15" s="19"/>
      <c r="J15" s="19"/>
      <c r="K15" s="19"/>
      <c r="L15" s="19"/>
      <c r="M15" s="19"/>
      <c r="N15" s="19"/>
      <c r="O15" s="19"/>
      <c r="P15" s="19"/>
      <c r="Q15" s="19"/>
      <c r="R15" s="19"/>
      <c r="S15" s="19"/>
      <c r="T15" s="19"/>
      <c r="U15" s="19"/>
      <c r="V15" s="19"/>
      <c r="W15" s="19"/>
      <c r="X15" s="39"/>
      <c r="Y15" s="39"/>
      <c r="Z15" s="39"/>
      <c r="AA15" s="39"/>
      <c r="AB15" s="39"/>
      <c r="AC15" s="40" t="str">
        <f aca="false">IF(X15="","",IFERROR(IF(ABS(ABS(X15)-ABS('Q10.10 Ans'!X15))&lt;0.5,"✓","✗"),"✗"))</f>
        <v/>
      </c>
    </row>
    <row r="17" customFormat="false" ht="18.75" hidden="false" customHeight="true" outlineLevel="0" collapsed="false">
      <c r="B17" s="3" t="s">
        <v>152</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7.25" hidden="false" customHeight="true" outlineLevel="0" collapsed="false">
      <c r="B18" s="19" t="s">
        <v>153</v>
      </c>
      <c r="C18" s="19"/>
      <c r="D18" s="19"/>
      <c r="E18" s="19"/>
      <c r="F18" s="19"/>
      <c r="G18" s="19"/>
      <c r="H18" s="19"/>
      <c r="I18" s="19"/>
      <c r="J18" s="19"/>
      <c r="K18" s="19"/>
      <c r="L18" s="19"/>
      <c r="M18" s="19"/>
      <c r="N18" s="19"/>
      <c r="O18" s="19"/>
      <c r="P18" s="19"/>
      <c r="Q18" s="19"/>
      <c r="R18" s="19"/>
      <c r="S18" s="19"/>
      <c r="T18" s="42"/>
      <c r="U18" s="42"/>
      <c r="V18" s="42"/>
      <c r="W18" s="42"/>
      <c r="X18" s="42"/>
      <c r="Y18" s="42"/>
      <c r="Z18" s="42"/>
      <c r="AA18" s="42"/>
      <c r="AB18" s="42"/>
      <c r="AC18" s="43" t="str">
        <f aca="false">IF(T18="","",IF(LOWER(TRIM(T18))=LOWER('Q10.10 Ans'!T18),"✓","✗"))</f>
        <v/>
      </c>
    </row>
    <row r="19" customFormat="false" ht="17.25" hidden="false" customHeight="true" outlineLevel="0" collapsed="false">
      <c r="B19" s="19" t="s">
        <v>154</v>
      </c>
      <c r="C19" s="19"/>
      <c r="D19" s="19"/>
      <c r="E19" s="19"/>
      <c r="F19" s="19"/>
      <c r="G19" s="19"/>
      <c r="H19" s="19"/>
      <c r="I19" s="19"/>
      <c r="J19" s="19"/>
      <c r="K19" s="19"/>
      <c r="L19" s="19"/>
      <c r="M19" s="19"/>
      <c r="N19" s="19"/>
      <c r="O19" s="19"/>
      <c r="P19" s="19"/>
      <c r="Q19" s="19"/>
      <c r="R19" s="19"/>
      <c r="S19" s="19"/>
      <c r="T19" s="42"/>
      <c r="U19" s="42"/>
      <c r="V19" s="42"/>
      <c r="W19" s="42"/>
      <c r="X19" s="42"/>
      <c r="Y19" s="42"/>
      <c r="Z19" s="42"/>
      <c r="AA19" s="42"/>
      <c r="AB19" s="42"/>
      <c r="AC19" s="43" t="str">
        <f aca="false">IF(T19="","",IF(LOWER(TRIM(T19))=LOWER('Q10.10 Ans'!T19),"✓","✗"))</f>
        <v/>
      </c>
    </row>
    <row r="20" customFormat="false" ht="17.25" hidden="false" customHeight="true" outlineLevel="0" collapsed="false">
      <c r="B20" s="19" t="s">
        <v>155</v>
      </c>
      <c r="C20" s="19"/>
      <c r="D20" s="19"/>
      <c r="E20" s="19"/>
      <c r="F20" s="19"/>
      <c r="G20" s="19"/>
      <c r="H20" s="19"/>
      <c r="I20" s="19"/>
      <c r="J20" s="19"/>
      <c r="K20" s="19"/>
      <c r="L20" s="19"/>
      <c r="M20" s="19"/>
      <c r="N20" s="19"/>
      <c r="O20" s="19"/>
      <c r="P20" s="19"/>
      <c r="Q20" s="19"/>
      <c r="R20" s="19"/>
      <c r="S20" s="19"/>
      <c r="T20" s="42"/>
      <c r="U20" s="42"/>
      <c r="V20" s="42"/>
      <c r="W20" s="42"/>
      <c r="X20" s="42"/>
      <c r="Y20" s="42"/>
      <c r="Z20" s="42"/>
      <c r="AA20" s="42"/>
      <c r="AB20" s="42"/>
      <c r="AC20" s="43" t="str">
        <f aca="false">IF(T20="","",IF(LOWER(TRIM(T20))=LOWER('Q10.10 Ans'!T20),"✓","✗"))</f>
        <v/>
      </c>
    </row>
    <row r="21" customFormat="false" ht="17.25" hidden="false" customHeight="true" outlineLevel="0" collapsed="false">
      <c r="B21" s="19" t="s">
        <v>156</v>
      </c>
      <c r="C21" s="19"/>
      <c r="D21" s="19"/>
      <c r="E21" s="19"/>
      <c r="F21" s="19"/>
      <c r="G21" s="19"/>
      <c r="H21" s="19"/>
      <c r="I21" s="19"/>
      <c r="J21" s="19"/>
      <c r="K21" s="19"/>
      <c r="L21" s="19"/>
      <c r="M21" s="19"/>
      <c r="N21" s="19"/>
      <c r="O21" s="19"/>
      <c r="P21" s="19"/>
      <c r="Q21" s="19"/>
      <c r="R21" s="19"/>
      <c r="S21" s="19"/>
      <c r="T21" s="42"/>
      <c r="U21" s="42"/>
      <c r="V21" s="42"/>
      <c r="W21" s="42"/>
      <c r="X21" s="42"/>
      <c r="Y21" s="42"/>
      <c r="Z21" s="42"/>
      <c r="AA21" s="42"/>
      <c r="AB21" s="42"/>
      <c r="AC21" s="43" t="str">
        <f aca="false">IF(T21="","",IF(LOWER(TRIM(T21))=LOWER('Q10.10 Ans'!T21),"✓","✗"))</f>
        <v/>
      </c>
    </row>
    <row r="22" customFormat="false" ht="17.25" hidden="false" customHeight="true" outlineLevel="0" collapsed="false">
      <c r="B22" s="19" t="s">
        <v>157</v>
      </c>
      <c r="C22" s="19"/>
      <c r="D22" s="19"/>
      <c r="E22" s="19"/>
      <c r="F22" s="19"/>
      <c r="G22" s="19"/>
      <c r="H22" s="19"/>
      <c r="I22" s="19"/>
      <c r="J22" s="19"/>
      <c r="K22" s="19"/>
      <c r="L22" s="19"/>
      <c r="M22" s="19"/>
      <c r="N22" s="19"/>
      <c r="O22" s="19"/>
      <c r="P22" s="19"/>
      <c r="Q22" s="19"/>
      <c r="R22" s="19"/>
      <c r="S22" s="19"/>
      <c r="T22" s="42"/>
      <c r="U22" s="42"/>
      <c r="V22" s="42"/>
      <c r="W22" s="42"/>
      <c r="X22" s="42"/>
      <c r="Y22" s="42"/>
      <c r="Z22" s="42"/>
      <c r="AA22" s="42"/>
      <c r="AB22" s="42"/>
      <c r="AC22" s="43" t="str">
        <f aca="false">IF(T22="","",IF(LOWER(TRIM(T22))=LOWER('Q10.10 Ans'!T22),"✓","✗"))</f>
        <v/>
      </c>
    </row>
    <row r="24" customFormat="false" ht="18.75" hidden="false" customHeight="true" outlineLevel="0" collapsed="false">
      <c r="B24" s="3" t="s">
        <v>158</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7.25" hidden="false" customHeight="true" outlineLevel="0" collapsed="false">
      <c r="B25" s="19" t="s">
        <v>159</v>
      </c>
      <c r="C25" s="19"/>
      <c r="D25" s="19"/>
      <c r="E25" s="19"/>
      <c r="F25" s="19"/>
      <c r="G25" s="19"/>
      <c r="H25" s="19"/>
      <c r="I25" s="19"/>
      <c r="J25" s="19"/>
      <c r="K25" s="19"/>
      <c r="L25" s="19"/>
      <c r="M25" s="19"/>
      <c r="N25" s="19"/>
      <c r="O25" s="19"/>
      <c r="P25" s="19"/>
      <c r="Q25" s="19"/>
      <c r="R25" s="19"/>
      <c r="S25" s="19"/>
      <c r="T25" s="19"/>
      <c r="U25" s="19"/>
      <c r="V25" s="19"/>
      <c r="W25" s="19"/>
      <c r="X25" s="39"/>
      <c r="Y25" s="39"/>
      <c r="Z25" s="39"/>
      <c r="AA25" s="39"/>
      <c r="AB25" s="39"/>
      <c r="AC25" s="40" t="str">
        <f aca="false">IF(X25="","",IFERROR(IF(ABS(ABS(X25)-ABS('Q10.10 Ans'!X25))&lt;0.5,"✓","✗"),"✗"))</f>
        <v/>
      </c>
    </row>
    <row r="26" customFormat="false" ht="17.25" hidden="false" customHeight="true" outlineLevel="0" collapsed="false">
      <c r="B26" s="19" t="s">
        <v>160</v>
      </c>
      <c r="C26" s="19"/>
      <c r="D26" s="19"/>
      <c r="E26" s="19"/>
      <c r="F26" s="19"/>
      <c r="G26" s="19"/>
      <c r="H26" s="19"/>
      <c r="I26" s="19"/>
      <c r="J26" s="19"/>
      <c r="K26" s="19"/>
      <c r="L26" s="19"/>
      <c r="M26" s="19"/>
      <c r="N26" s="19"/>
      <c r="O26" s="19"/>
      <c r="P26" s="19"/>
      <c r="Q26" s="19"/>
      <c r="R26" s="19"/>
      <c r="S26" s="19"/>
      <c r="T26" s="19"/>
      <c r="U26" s="19"/>
      <c r="V26" s="19"/>
      <c r="W26" s="19"/>
      <c r="X26" s="39"/>
      <c r="Y26" s="39"/>
      <c r="Z26" s="39"/>
      <c r="AA26" s="39"/>
      <c r="AB26" s="39"/>
      <c r="AC26" s="40" t="str">
        <f aca="false">IF(X26="","",IFERROR(IF(ABS(ABS(X26)-ABS('Q10.10 Ans'!X26))&lt;0.5,"✓","✗"),"✗"))</f>
        <v/>
      </c>
    </row>
  </sheetData>
  <mergeCells count="36">
    <mergeCell ref="B1:AF1"/>
    <mergeCell ref="B2:AF2"/>
    <mergeCell ref="B3:G3"/>
    <mergeCell ref="H3:AF3"/>
    <mergeCell ref="B5:AF5"/>
    <mergeCell ref="B6:W6"/>
    <mergeCell ref="X6:AC6"/>
    <mergeCell ref="B7:W7"/>
    <mergeCell ref="X7:AC7"/>
    <mergeCell ref="B8:W8"/>
    <mergeCell ref="X8:AC8"/>
    <mergeCell ref="B9:W9"/>
    <mergeCell ref="X9:AC9"/>
    <mergeCell ref="B10:W10"/>
    <mergeCell ref="X10:AC10"/>
    <mergeCell ref="B11:W11"/>
    <mergeCell ref="X11:AC11"/>
    <mergeCell ref="B14:AF14"/>
    <mergeCell ref="B15:W15"/>
    <mergeCell ref="X15:AB15"/>
    <mergeCell ref="B17:AF17"/>
    <mergeCell ref="B18:S18"/>
    <mergeCell ref="T18:AB18"/>
    <mergeCell ref="B19:S19"/>
    <mergeCell ref="T19:AB19"/>
    <mergeCell ref="B20:S20"/>
    <mergeCell ref="T20:AB20"/>
    <mergeCell ref="B21:S21"/>
    <mergeCell ref="T21:AB21"/>
    <mergeCell ref="B22:S22"/>
    <mergeCell ref="T22:AB22"/>
    <mergeCell ref="B24:AF24"/>
    <mergeCell ref="B25:W25"/>
    <mergeCell ref="X25:AB25"/>
    <mergeCell ref="B26:W26"/>
    <mergeCell ref="X26:AB26"/>
  </mergeCells>
  <conditionalFormatting sqref="B4:AG27">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5">
    <dataValidation allowBlank="true" errorStyle="stop" operator="between" showDropDown="false" showErrorMessage="false" showInputMessage="false" sqref="T18" type="list">
      <formula1>"Capital expenditure,Revenue expenditure"</formula1>
      <formula2>0</formula2>
    </dataValidation>
    <dataValidation allowBlank="true" errorStyle="stop" operator="between" showDropDown="false" showErrorMessage="false" showInputMessage="false" sqref="T19" type="list">
      <formula1>"Capital expenditure,Revenue expenditure"</formula1>
      <formula2>0</formula2>
    </dataValidation>
    <dataValidation allowBlank="true" errorStyle="stop" operator="between" showDropDown="false" showErrorMessage="false" showInputMessage="false" sqref="T20" type="list">
      <formula1>"Capital expenditure,Revenue expenditure"</formula1>
      <formula2>0</formula2>
    </dataValidation>
    <dataValidation allowBlank="true" errorStyle="stop" operator="between" showDropDown="false" showErrorMessage="false" showInputMessage="false" sqref="T21" type="list">
      <formula1>"Capital expenditure,Revenue expenditure"</formula1>
      <formula2>0</formula2>
    </dataValidation>
    <dataValidation allowBlank="true" errorStyle="stop" operator="between" showDropDown="false" showErrorMessage="false" showInputMessage="false" sqref="T22" type="list">
      <formula1>"Capital expenditure,Revenue expenditure"</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3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161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128</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21" t="s">
        <v>129</v>
      </c>
      <c r="C3" s="21"/>
      <c r="D3" s="21"/>
      <c r="E3" s="21"/>
      <c r="F3" s="21"/>
      <c r="G3" s="21"/>
      <c r="H3" s="21" t="str">
        <f aca="false">COUNTIF(B4:AG37,"✓")&amp;" correct out of 6 answer cells"</f>
        <v>0 correct out of 6 answer cells</v>
      </c>
      <c r="I3" s="21"/>
      <c r="J3" s="21"/>
      <c r="K3" s="21"/>
      <c r="L3" s="21"/>
      <c r="M3" s="21"/>
      <c r="N3" s="21"/>
      <c r="O3" s="21"/>
      <c r="P3" s="21"/>
      <c r="Q3" s="21"/>
      <c r="R3" s="21"/>
      <c r="S3" s="21"/>
      <c r="T3" s="21"/>
      <c r="U3" s="21"/>
      <c r="V3" s="21"/>
      <c r="W3" s="21"/>
      <c r="X3" s="21"/>
      <c r="Y3" s="21"/>
      <c r="Z3" s="21"/>
      <c r="AA3" s="21"/>
      <c r="AB3" s="21"/>
      <c r="AC3" s="21"/>
      <c r="AD3" s="21"/>
      <c r="AE3" s="21"/>
      <c r="AF3" s="21"/>
    </row>
    <row r="5" customFormat="false" ht="16.5" hidden="false" customHeight="true" outlineLevel="0" collapsed="false">
      <c r="B5" s="4" t="s">
        <v>162</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C6" s="4" t="s">
        <v>163</v>
      </c>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C7" s="4" t="s">
        <v>164</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5" hidden="false" customHeight="false" outlineLevel="0" collapsed="false">
      <c r="B8" s="15" t="s">
        <v>131</v>
      </c>
      <c r="C8" s="15"/>
      <c r="D8" s="15"/>
      <c r="E8" s="15"/>
      <c r="F8" s="15"/>
      <c r="G8" s="15"/>
      <c r="H8" s="15"/>
      <c r="I8" s="15"/>
      <c r="J8" s="15"/>
      <c r="K8" s="15"/>
      <c r="L8" s="15"/>
      <c r="M8" s="15"/>
      <c r="N8" s="15"/>
      <c r="O8" s="15"/>
      <c r="P8" s="15"/>
      <c r="Q8" s="15"/>
      <c r="R8" s="15"/>
      <c r="S8" s="15"/>
      <c r="T8" s="15"/>
      <c r="U8" s="15"/>
      <c r="V8" s="15"/>
      <c r="W8" s="15"/>
      <c r="X8" s="16" t="s">
        <v>41</v>
      </c>
      <c r="Y8" s="16"/>
      <c r="Z8" s="16"/>
      <c r="AA8" s="16"/>
      <c r="AB8" s="16"/>
      <c r="AC8" s="16"/>
    </row>
    <row r="9" customFormat="false" ht="16.5" hidden="false" customHeight="true" outlineLevel="0" collapsed="false">
      <c r="B9" s="12" t="s">
        <v>42</v>
      </c>
      <c r="C9" s="12"/>
      <c r="D9" s="12"/>
      <c r="E9" s="12"/>
      <c r="F9" s="12"/>
      <c r="G9" s="12"/>
      <c r="H9" s="12"/>
      <c r="I9" s="12"/>
      <c r="J9" s="12"/>
      <c r="K9" s="12"/>
      <c r="L9" s="12"/>
      <c r="M9" s="12"/>
      <c r="N9" s="12"/>
      <c r="O9" s="12"/>
      <c r="P9" s="12"/>
      <c r="Q9" s="12"/>
      <c r="R9" s="12"/>
      <c r="S9" s="12"/>
      <c r="T9" s="12"/>
      <c r="U9" s="12"/>
      <c r="V9" s="12"/>
      <c r="W9" s="12"/>
      <c r="X9" s="17" t="n">
        <v>12000</v>
      </c>
      <c r="Y9" s="17"/>
      <c r="Z9" s="17"/>
      <c r="AA9" s="17"/>
      <c r="AB9" s="17"/>
      <c r="AC9" s="17"/>
    </row>
    <row r="10" customFormat="false" ht="16.5" hidden="false" customHeight="true" outlineLevel="0" collapsed="false">
      <c r="B10" s="12" t="s">
        <v>165</v>
      </c>
      <c r="C10" s="12"/>
      <c r="D10" s="12"/>
      <c r="E10" s="12"/>
      <c r="F10" s="12"/>
      <c r="G10" s="12"/>
      <c r="H10" s="12"/>
      <c r="I10" s="12"/>
      <c r="J10" s="12"/>
      <c r="K10" s="12"/>
      <c r="L10" s="12"/>
      <c r="M10" s="12"/>
      <c r="N10" s="12"/>
      <c r="O10" s="12"/>
      <c r="P10" s="12"/>
      <c r="Q10" s="12"/>
      <c r="R10" s="12"/>
      <c r="S10" s="12"/>
      <c r="T10" s="12"/>
      <c r="U10" s="12"/>
      <c r="V10" s="12"/>
      <c r="W10" s="12"/>
      <c r="X10" s="37" t="n">
        <v>0.1</v>
      </c>
      <c r="Y10" s="37"/>
      <c r="Z10" s="37"/>
      <c r="AA10" s="37"/>
      <c r="AB10" s="37"/>
      <c r="AC10" s="37"/>
    </row>
    <row r="11" customFormat="false" ht="16.5" hidden="false" customHeight="true" outlineLevel="0" collapsed="false">
      <c r="B11" s="12" t="s">
        <v>166</v>
      </c>
      <c r="C11" s="12"/>
      <c r="D11" s="12"/>
      <c r="E11" s="12"/>
      <c r="F11" s="12"/>
      <c r="G11" s="12"/>
      <c r="H11" s="12"/>
      <c r="I11" s="12"/>
      <c r="J11" s="12"/>
      <c r="K11" s="12"/>
      <c r="L11" s="12"/>
      <c r="M11" s="12"/>
      <c r="N11" s="12"/>
      <c r="O11" s="12"/>
      <c r="P11" s="12"/>
      <c r="Q11" s="12"/>
      <c r="R11" s="12"/>
      <c r="S11" s="12"/>
      <c r="T11" s="12"/>
      <c r="U11" s="12"/>
      <c r="V11" s="12"/>
      <c r="W11" s="12"/>
      <c r="X11" s="18" t="n">
        <v>9</v>
      </c>
      <c r="Y11" s="18"/>
      <c r="Z11" s="18"/>
      <c r="AA11" s="18"/>
      <c r="AB11" s="18"/>
      <c r="AC11" s="18"/>
    </row>
    <row r="12" customFormat="false" ht="16.5" hidden="false" customHeight="true" outlineLevel="0" collapsed="false">
      <c r="B12" s="12" t="s">
        <v>167</v>
      </c>
      <c r="C12" s="12"/>
      <c r="D12" s="12"/>
      <c r="E12" s="12"/>
      <c r="F12" s="12"/>
      <c r="G12" s="12"/>
      <c r="H12" s="12"/>
      <c r="I12" s="12"/>
      <c r="J12" s="12"/>
      <c r="K12" s="12"/>
      <c r="L12" s="12"/>
      <c r="M12" s="12"/>
      <c r="N12" s="12"/>
      <c r="O12" s="12"/>
      <c r="P12" s="12"/>
      <c r="Q12" s="12"/>
      <c r="R12" s="12"/>
      <c r="S12" s="12"/>
      <c r="T12" s="12"/>
      <c r="U12" s="12"/>
      <c r="V12" s="12"/>
      <c r="W12" s="12"/>
      <c r="X12" s="17" t="n">
        <v>2000</v>
      </c>
      <c r="Y12" s="17"/>
      <c r="Z12" s="17"/>
      <c r="AA12" s="17"/>
      <c r="AB12" s="17"/>
      <c r="AC12" s="17"/>
    </row>
    <row r="13" customFormat="false" ht="16.5" hidden="false" customHeight="true" outlineLevel="0" collapsed="false">
      <c r="B13" s="12" t="s">
        <v>168</v>
      </c>
      <c r="C13" s="12"/>
      <c r="D13" s="12"/>
      <c r="E13" s="12"/>
      <c r="F13" s="12"/>
      <c r="G13" s="12"/>
      <c r="H13" s="12"/>
      <c r="I13" s="12"/>
      <c r="J13" s="12"/>
      <c r="K13" s="12"/>
      <c r="L13" s="12"/>
      <c r="M13" s="12"/>
      <c r="N13" s="12"/>
      <c r="O13" s="12"/>
      <c r="P13" s="12"/>
      <c r="Q13" s="12"/>
      <c r="R13" s="12"/>
      <c r="S13" s="12"/>
      <c r="T13" s="12"/>
      <c r="U13" s="12"/>
      <c r="V13" s="12"/>
      <c r="W13" s="12"/>
      <c r="X13" s="17" t="n">
        <v>800</v>
      </c>
      <c r="Y13" s="17"/>
      <c r="Z13" s="17"/>
      <c r="AA13" s="17"/>
      <c r="AB13" s="17"/>
      <c r="AC13" s="17"/>
    </row>
    <row r="14" customFormat="false" ht="16.5" hidden="false" customHeight="true" outlineLevel="0" collapsed="false">
      <c r="B14" s="12" t="s">
        <v>169</v>
      </c>
      <c r="C14" s="12"/>
      <c r="D14" s="12"/>
      <c r="E14" s="12"/>
      <c r="F14" s="12"/>
      <c r="G14" s="12"/>
      <c r="H14" s="12"/>
      <c r="I14" s="12"/>
      <c r="J14" s="12"/>
      <c r="K14" s="12"/>
      <c r="L14" s="12"/>
      <c r="M14" s="12"/>
      <c r="N14" s="12"/>
      <c r="O14" s="12"/>
      <c r="P14" s="12"/>
      <c r="Q14" s="12"/>
      <c r="R14" s="12"/>
      <c r="S14" s="12"/>
      <c r="T14" s="12"/>
      <c r="U14" s="12"/>
      <c r="V14" s="12"/>
      <c r="W14" s="12"/>
      <c r="X14" s="17" t="n">
        <v>2100</v>
      </c>
      <c r="Y14" s="17"/>
      <c r="Z14" s="17"/>
      <c r="AA14" s="17"/>
      <c r="AB14" s="17"/>
      <c r="AC14" s="17"/>
    </row>
    <row r="17" customFormat="false" ht="18.75" hidden="false" customHeight="true" outlineLevel="0" collapsed="false">
      <c r="B17" s="3" t="s">
        <v>170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7.25" hidden="false" customHeight="true" outlineLevel="0" collapsed="false">
      <c r="B18" s="19" t="s">
        <v>171</v>
      </c>
      <c r="C18" s="19"/>
      <c r="D18" s="19"/>
      <c r="E18" s="19"/>
      <c r="F18" s="19"/>
      <c r="G18" s="19"/>
      <c r="H18" s="19"/>
      <c r="I18" s="19"/>
      <c r="J18" s="19"/>
      <c r="K18" s="19"/>
      <c r="L18" s="19"/>
      <c r="M18" s="19"/>
      <c r="N18" s="19"/>
      <c r="O18" s="19"/>
      <c r="P18" s="19"/>
      <c r="Q18" s="19"/>
      <c r="R18" s="19"/>
      <c r="S18" s="19"/>
      <c r="T18" s="19"/>
      <c r="U18" s="19"/>
      <c r="V18" s="19"/>
      <c r="W18" s="19"/>
      <c r="X18" s="39"/>
      <c r="Y18" s="39"/>
      <c r="Z18" s="39"/>
      <c r="AA18" s="39"/>
      <c r="AB18" s="39"/>
      <c r="AC18" s="40" t="str">
        <f aca="false">IF(X18="","",IFERROR(IF(ABS(ABS(X18)-ABS('Q10.11 Ans'!X18))&lt;0.5,"✓","✗"),"✗"))</f>
        <v/>
      </c>
    </row>
    <row r="19" customFormat="false" ht="17.25" hidden="false" customHeight="true" outlineLevel="0" collapsed="false">
      <c r="B19" s="19" t="s">
        <v>172</v>
      </c>
      <c r="C19" s="19"/>
      <c r="D19" s="19"/>
      <c r="E19" s="19"/>
      <c r="F19" s="19"/>
      <c r="G19" s="19"/>
      <c r="H19" s="19"/>
      <c r="I19" s="19"/>
      <c r="J19" s="19"/>
      <c r="K19" s="19"/>
      <c r="L19" s="19"/>
      <c r="M19" s="19"/>
      <c r="N19" s="19"/>
      <c r="O19" s="19"/>
      <c r="P19" s="19"/>
      <c r="Q19" s="19"/>
      <c r="R19" s="19"/>
      <c r="S19" s="19"/>
      <c r="T19" s="19"/>
      <c r="U19" s="19"/>
      <c r="V19" s="19"/>
      <c r="W19" s="19"/>
      <c r="X19" s="39"/>
      <c r="Y19" s="39"/>
      <c r="Z19" s="39"/>
      <c r="AA19" s="39"/>
      <c r="AB19" s="39"/>
      <c r="AC19" s="40" t="str">
        <f aca="false">IF(X19="","",IFERROR(IF(ABS(ABS(X19)-ABS('Q10.11 Ans'!X19))&lt;0.5,"✓","✗"),"✗"))</f>
        <v/>
      </c>
    </row>
    <row r="21" customFormat="false" ht="18.75" hidden="false" customHeight="true" outlineLevel="0" collapsed="false">
      <c r="B21" s="3" t="s">
        <v>173</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7.25" hidden="false" customHeight="true" outlineLevel="0" collapsed="false">
      <c r="B22" s="19" t="s">
        <v>174</v>
      </c>
      <c r="C22" s="19"/>
      <c r="D22" s="19"/>
      <c r="E22" s="19"/>
      <c r="F22" s="19"/>
      <c r="G22" s="19"/>
      <c r="H22" s="19"/>
      <c r="I22" s="19"/>
      <c r="J22" s="19"/>
      <c r="K22" s="19"/>
      <c r="L22" s="19"/>
      <c r="M22" s="19"/>
      <c r="N22" s="19"/>
      <c r="O22" s="19"/>
      <c r="P22" s="19"/>
      <c r="Q22" s="19"/>
      <c r="R22" s="19"/>
      <c r="S22" s="19"/>
      <c r="T22" s="19"/>
      <c r="U22" s="19"/>
      <c r="V22" s="19"/>
      <c r="W22" s="19"/>
      <c r="X22" s="39"/>
      <c r="Y22" s="39"/>
      <c r="Z22" s="39"/>
      <c r="AA22" s="39"/>
      <c r="AB22" s="39"/>
      <c r="AC22" s="40" t="str">
        <f aca="false">IF(X22="","",IFERROR(IF(ABS(ABS(X22)-ABS('Q10.11 Ans'!X22))&lt;0.5,"✓","✗"),"✗"))</f>
        <v/>
      </c>
    </row>
    <row r="24" customFormat="false" ht="18.75" hidden="false" customHeight="true" outlineLevel="0" collapsed="false">
      <c r="B24" s="3" t="s">
        <v>175</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false" outlineLevel="0" collapsed="false">
      <c r="B25" s="15" t="s">
        <v>63</v>
      </c>
      <c r="C25" s="15"/>
      <c r="D25" s="15"/>
      <c r="E25" s="15" t="s">
        <v>64</v>
      </c>
      <c r="F25" s="15"/>
      <c r="G25" s="15"/>
      <c r="H25" s="15"/>
      <c r="I25" s="15"/>
      <c r="J25" s="15"/>
      <c r="K25" s="15"/>
      <c r="L25" s="15"/>
      <c r="M25" s="15"/>
      <c r="N25" s="15"/>
      <c r="O25" s="15"/>
      <c r="P25" s="15"/>
      <c r="Q25" s="15"/>
      <c r="R25" s="15"/>
      <c r="S25" s="15"/>
      <c r="T25" s="15"/>
      <c r="U25" s="16" t="s">
        <v>176</v>
      </c>
      <c r="V25" s="16"/>
      <c r="W25" s="16"/>
      <c r="X25" s="16"/>
      <c r="Y25" s="16"/>
      <c r="Z25" s="16"/>
      <c r="AA25" s="16" t="s">
        <v>177</v>
      </c>
      <c r="AB25" s="16"/>
      <c r="AC25" s="16"/>
      <c r="AD25" s="16"/>
      <c r="AE25" s="16"/>
      <c r="AF25" s="16"/>
    </row>
    <row r="26" customFormat="false" ht="16.5" hidden="false" customHeight="true" outlineLevel="0" collapsed="false">
      <c r="B26" s="44" t="s">
        <v>178</v>
      </c>
      <c r="C26" s="44"/>
      <c r="D26" s="44"/>
      <c r="E26" s="44" t="s">
        <v>179</v>
      </c>
      <c r="F26" s="44"/>
      <c r="G26" s="44"/>
      <c r="H26" s="44"/>
      <c r="I26" s="44"/>
      <c r="J26" s="44"/>
      <c r="K26" s="44"/>
      <c r="L26" s="44"/>
      <c r="M26" s="44"/>
      <c r="N26" s="44"/>
      <c r="O26" s="44"/>
      <c r="P26" s="44"/>
      <c r="Q26" s="44"/>
      <c r="R26" s="44"/>
      <c r="S26" s="44"/>
      <c r="T26" s="44"/>
      <c r="U26" s="39"/>
      <c r="V26" s="39"/>
      <c r="W26" s="39"/>
      <c r="X26" s="39"/>
      <c r="Y26" s="39"/>
      <c r="Z26" s="41" t="str">
        <f aca="false">IF(U26="","",IFERROR(IF(ABS(ABS(U26)-ABS('Q10.11 Ans'!U26))&lt;0.5,"✓","✗"),"✗"))</f>
        <v/>
      </c>
      <c r="AA26" s="44"/>
      <c r="AB26" s="44"/>
      <c r="AC26" s="44"/>
      <c r="AD26" s="44"/>
      <c r="AE26" s="44"/>
      <c r="AF26" s="44"/>
    </row>
    <row r="27" customFormat="false" ht="16.5" hidden="false" customHeight="true" outlineLevel="0" collapsed="false">
      <c r="B27" s="44"/>
      <c r="C27" s="44"/>
      <c r="D27" s="44"/>
      <c r="E27" s="45" t="s">
        <v>180</v>
      </c>
      <c r="F27" s="45"/>
      <c r="G27" s="45"/>
      <c r="H27" s="45"/>
      <c r="I27" s="45"/>
      <c r="J27" s="45"/>
      <c r="K27" s="45"/>
      <c r="L27" s="45"/>
      <c r="M27" s="45"/>
      <c r="N27" s="45"/>
      <c r="O27" s="45"/>
      <c r="P27" s="45"/>
      <c r="Q27" s="45"/>
      <c r="R27" s="45"/>
      <c r="S27" s="45"/>
      <c r="T27" s="45"/>
      <c r="U27" s="44"/>
      <c r="V27" s="44"/>
      <c r="W27" s="44"/>
      <c r="X27" s="44"/>
      <c r="Y27" s="44"/>
      <c r="Z27" s="44"/>
      <c r="AA27" s="39"/>
      <c r="AB27" s="39"/>
      <c r="AC27" s="39"/>
      <c r="AD27" s="39"/>
      <c r="AE27" s="39"/>
      <c r="AF27" s="41" t="str">
        <f aca="false">IF(AA27="","",IFERROR(IF(ABS(ABS(AA27)-ABS('Q10.11 Ans'!AA27))&lt;0.5,"✓","✗"),"✗"))</f>
        <v/>
      </c>
    </row>
    <row r="28" customFormat="false" ht="17.25" hidden="false" customHeight="true" outlineLevel="0" collapsed="false">
      <c r="B28" s="44"/>
      <c r="C28" s="44"/>
      <c r="D28" s="44"/>
      <c r="E28" s="46" t="s">
        <v>181</v>
      </c>
      <c r="F28" s="46"/>
      <c r="G28" s="46"/>
      <c r="H28" s="46"/>
      <c r="I28" s="46"/>
      <c r="J28" s="46"/>
      <c r="K28" s="46"/>
      <c r="L28" s="46"/>
      <c r="M28" s="46"/>
      <c r="N28" s="46"/>
      <c r="O28" s="46"/>
      <c r="P28" s="46"/>
      <c r="Q28" s="46"/>
      <c r="R28" s="46"/>
      <c r="S28" s="46"/>
      <c r="T28" s="46"/>
      <c r="U28" s="44"/>
      <c r="V28" s="44"/>
      <c r="W28" s="44"/>
      <c r="X28" s="44"/>
      <c r="Y28" s="44"/>
      <c r="Z28" s="44"/>
      <c r="AA28" s="44"/>
      <c r="AB28" s="44"/>
      <c r="AC28" s="44"/>
      <c r="AD28" s="44"/>
      <c r="AE28" s="44"/>
      <c r="AF28" s="44"/>
    </row>
    <row r="30" customFormat="false" ht="18.75" hidden="false" customHeight="true" outlineLevel="0" collapsed="false">
      <c r="B30" s="3" t="s">
        <v>182</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7.25" hidden="false" customHeight="true" outlineLevel="0" collapsed="false">
      <c r="B31" s="19" t="s">
        <v>183</v>
      </c>
      <c r="C31" s="19"/>
      <c r="D31" s="19"/>
      <c r="E31" s="19"/>
      <c r="F31" s="19"/>
      <c r="G31" s="19"/>
      <c r="H31" s="19"/>
      <c r="I31" s="19"/>
      <c r="J31" s="19"/>
      <c r="K31" s="19"/>
      <c r="L31" s="19"/>
      <c r="M31" s="19"/>
      <c r="N31" s="19"/>
      <c r="O31" s="19"/>
      <c r="P31" s="19"/>
      <c r="Q31" s="19"/>
      <c r="R31" s="19"/>
      <c r="S31" s="19"/>
      <c r="T31" s="19"/>
      <c r="U31" s="19"/>
      <c r="V31" s="19"/>
      <c r="W31" s="19"/>
      <c r="X31" s="39"/>
      <c r="Y31" s="39"/>
      <c r="Z31" s="39"/>
      <c r="AA31" s="39"/>
      <c r="AB31" s="39"/>
      <c r="AC31" s="40" t="str">
        <f aca="false">IF(X31="","",IFERROR(IF(ABS(ABS(X31)-ABS('Q10.11 Ans'!X31))&lt;0.5,"✓","✗"),"✗"))</f>
        <v/>
      </c>
    </row>
    <row r="33" customFormat="false" ht="18.75" hidden="false" customHeight="true" outlineLevel="0" collapsed="false">
      <c r="B33" s="3" t="s">
        <v>184</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6.5" hidden="false" customHeight="true" outlineLevel="0" collapsed="false">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row>
    <row r="35" customFormat="false" ht="16.5" hidden="false" customHeight="true" outlineLevel="0" collapsed="false">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row>
    <row r="36" customFormat="false" ht="16.5" hidden="false" customHeight="true" outlineLevel="0" collapsed="false">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row>
  </sheetData>
  <mergeCells count="51">
    <mergeCell ref="B1:AF1"/>
    <mergeCell ref="B2:AF2"/>
    <mergeCell ref="B3:G3"/>
    <mergeCell ref="H3:AF3"/>
    <mergeCell ref="B5:AF5"/>
    <mergeCell ref="C6:AF6"/>
    <mergeCell ref="C7:AF7"/>
    <mergeCell ref="B8:W8"/>
    <mergeCell ref="X8:AC8"/>
    <mergeCell ref="B9:W9"/>
    <mergeCell ref="X9:AC9"/>
    <mergeCell ref="B10:W10"/>
    <mergeCell ref="X10:AC10"/>
    <mergeCell ref="B11:W11"/>
    <mergeCell ref="X11:AC11"/>
    <mergeCell ref="B12:W12"/>
    <mergeCell ref="X12:AC12"/>
    <mergeCell ref="B13:W13"/>
    <mergeCell ref="X13:AC13"/>
    <mergeCell ref="B14:W14"/>
    <mergeCell ref="X14:AC14"/>
    <mergeCell ref="B17:AF17"/>
    <mergeCell ref="B18:W18"/>
    <mergeCell ref="X18:AB18"/>
    <mergeCell ref="B19:W19"/>
    <mergeCell ref="X19:AB19"/>
    <mergeCell ref="B21:AF21"/>
    <mergeCell ref="B22:W22"/>
    <mergeCell ref="X22:AB22"/>
    <mergeCell ref="B24:AF24"/>
    <mergeCell ref="B25:D25"/>
    <mergeCell ref="E25:T25"/>
    <mergeCell ref="U25:Z25"/>
    <mergeCell ref="AA25:AF25"/>
    <mergeCell ref="B26:D26"/>
    <mergeCell ref="E26:T26"/>
    <mergeCell ref="U26:Y26"/>
    <mergeCell ref="AA26:AF26"/>
    <mergeCell ref="B27:D27"/>
    <mergeCell ref="E27:T27"/>
    <mergeCell ref="U27:Z27"/>
    <mergeCell ref="AA27:AE27"/>
    <mergeCell ref="B28:D28"/>
    <mergeCell ref="E28:T28"/>
    <mergeCell ref="U28:Z28"/>
    <mergeCell ref="AA28:AF28"/>
    <mergeCell ref="B30:AF30"/>
    <mergeCell ref="B31:W31"/>
    <mergeCell ref="X31:AB31"/>
    <mergeCell ref="B33:AF33"/>
    <mergeCell ref="B34:AF36"/>
  </mergeCells>
  <conditionalFormatting sqref="B4:AG37">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3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185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128</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21" t="s">
        <v>129</v>
      </c>
      <c r="C3" s="21"/>
      <c r="D3" s="21"/>
      <c r="E3" s="21"/>
      <c r="F3" s="21"/>
      <c r="G3" s="21"/>
      <c r="H3" s="21" t="str">
        <f aca="false">COUNTIF(B4:AG31,"✓")&amp;" correct out of 20 answer cells"</f>
        <v>0 correct out of 20 answer cells</v>
      </c>
      <c r="I3" s="21"/>
      <c r="J3" s="21"/>
      <c r="K3" s="21"/>
      <c r="L3" s="21"/>
      <c r="M3" s="21"/>
      <c r="N3" s="21"/>
      <c r="O3" s="21"/>
      <c r="P3" s="21"/>
      <c r="Q3" s="21"/>
      <c r="R3" s="21"/>
      <c r="S3" s="21"/>
      <c r="T3" s="21"/>
      <c r="U3" s="21"/>
      <c r="V3" s="21"/>
      <c r="W3" s="21"/>
      <c r="X3" s="21"/>
      <c r="Y3" s="21"/>
      <c r="Z3" s="21"/>
      <c r="AA3" s="21"/>
      <c r="AB3" s="21"/>
      <c r="AC3" s="21"/>
      <c r="AD3" s="21"/>
      <c r="AE3" s="21"/>
      <c r="AF3" s="21"/>
    </row>
    <row r="5" customFormat="false" ht="30" hidden="false" customHeight="true" outlineLevel="0" collapsed="false">
      <c r="B5" s="4" t="s">
        <v>186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131</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42</v>
      </c>
      <c r="C7" s="12"/>
      <c r="D7" s="12"/>
      <c r="E7" s="12"/>
      <c r="F7" s="12"/>
      <c r="G7" s="12"/>
      <c r="H7" s="12"/>
      <c r="I7" s="12"/>
      <c r="J7" s="12"/>
      <c r="K7" s="12"/>
      <c r="L7" s="12"/>
      <c r="M7" s="12"/>
      <c r="N7" s="12"/>
      <c r="O7" s="12"/>
      <c r="P7" s="12"/>
      <c r="Q7" s="12"/>
      <c r="R7" s="12"/>
      <c r="S7" s="12"/>
      <c r="T7" s="12"/>
      <c r="U7" s="12"/>
      <c r="V7" s="12"/>
      <c r="W7" s="12"/>
      <c r="X7" s="17" t="n">
        <v>40000</v>
      </c>
      <c r="Y7" s="17"/>
      <c r="Z7" s="17"/>
      <c r="AA7" s="17"/>
      <c r="AB7" s="17"/>
      <c r="AC7" s="17"/>
    </row>
    <row r="8" customFormat="false" ht="16.5" hidden="false" customHeight="true" outlineLevel="0" collapsed="false">
      <c r="B8" s="12" t="s">
        <v>187</v>
      </c>
      <c r="C8" s="12"/>
      <c r="D8" s="12"/>
      <c r="E8" s="12"/>
      <c r="F8" s="12"/>
      <c r="G8" s="12"/>
      <c r="H8" s="12"/>
      <c r="I8" s="12"/>
      <c r="J8" s="12"/>
      <c r="K8" s="12"/>
      <c r="L8" s="12"/>
      <c r="M8" s="12"/>
      <c r="N8" s="12"/>
      <c r="O8" s="12"/>
      <c r="P8" s="12"/>
      <c r="Q8" s="12"/>
      <c r="R8" s="12"/>
      <c r="S8" s="12"/>
      <c r="T8" s="12"/>
      <c r="U8" s="12"/>
      <c r="V8" s="12"/>
      <c r="W8" s="12"/>
      <c r="X8" s="37" t="n">
        <v>0.25</v>
      </c>
      <c r="Y8" s="37"/>
      <c r="Z8" s="37"/>
      <c r="AA8" s="37"/>
      <c r="AB8" s="37"/>
      <c r="AC8" s="37"/>
    </row>
    <row r="9" customFormat="false" ht="16.5" hidden="false" customHeight="true" outlineLevel="0" collapsed="false">
      <c r="B9" s="12" t="s">
        <v>188</v>
      </c>
      <c r="C9" s="12"/>
      <c r="D9" s="12"/>
      <c r="E9" s="12"/>
      <c r="F9" s="12"/>
      <c r="G9" s="12"/>
      <c r="H9" s="12"/>
      <c r="I9" s="12"/>
      <c r="J9" s="12"/>
      <c r="K9" s="12"/>
      <c r="L9" s="12"/>
      <c r="M9" s="12"/>
      <c r="N9" s="12"/>
      <c r="O9" s="12"/>
      <c r="P9" s="12"/>
      <c r="Q9" s="12"/>
      <c r="R9" s="12"/>
      <c r="S9" s="12"/>
      <c r="T9" s="12"/>
      <c r="U9" s="12"/>
      <c r="V9" s="12"/>
      <c r="W9" s="12"/>
      <c r="X9" s="17" t="n">
        <v>15000</v>
      </c>
      <c r="Y9" s="17"/>
      <c r="Z9" s="17"/>
      <c r="AA9" s="17"/>
      <c r="AB9" s="17"/>
      <c r="AC9" s="17"/>
    </row>
    <row r="12" customFormat="false" ht="18.75" hidden="false" customHeight="true" outlineLevel="0" collapsed="false">
      <c r="B12" s="3" t="s">
        <v>189</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7.25" hidden="false" customHeight="true" outlineLevel="0" collapsed="false">
      <c r="B13" s="10" t="s">
        <v>46</v>
      </c>
      <c r="C13" s="10"/>
      <c r="D13" s="10"/>
      <c r="E13" s="11" t="s">
        <v>90</v>
      </c>
      <c r="F13" s="11"/>
      <c r="G13" s="11"/>
      <c r="H13" s="11"/>
      <c r="I13" s="11"/>
      <c r="J13" s="11"/>
      <c r="K13" s="11"/>
      <c r="L13" s="11" t="s">
        <v>91</v>
      </c>
      <c r="M13" s="11"/>
      <c r="N13" s="11"/>
      <c r="O13" s="11"/>
      <c r="P13" s="11"/>
      <c r="Q13" s="11"/>
      <c r="R13" s="11"/>
      <c r="S13" s="11" t="s">
        <v>48</v>
      </c>
      <c r="T13" s="11"/>
      <c r="U13" s="11"/>
      <c r="V13" s="11"/>
      <c r="W13" s="11"/>
      <c r="X13" s="11"/>
      <c r="Y13" s="11"/>
      <c r="Z13" s="11" t="s">
        <v>49</v>
      </c>
      <c r="AA13" s="11"/>
      <c r="AB13" s="11"/>
      <c r="AC13" s="11"/>
      <c r="AD13" s="11"/>
      <c r="AE13" s="11"/>
      <c r="AF13" s="11"/>
    </row>
    <row r="14" customFormat="false" ht="17.25" hidden="false" customHeight="true" outlineLevel="0" collapsed="false">
      <c r="B14" s="12" t="s">
        <v>190</v>
      </c>
      <c r="C14" s="12"/>
      <c r="D14" s="12"/>
      <c r="E14" s="39"/>
      <c r="F14" s="39"/>
      <c r="G14" s="39"/>
      <c r="H14" s="39"/>
      <c r="I14" s="39"/>
      <c r="J14" s="39"/>
      <c r="K14" s="41" t="str">
        <f aca="false">IF(E14="","",IFERROR(IF(ABS(ABS(E14)-ABS('Q10.12 Ans'!E14))&lt;0.5,"✓","✗"),"✗"))</f>
        <v/>
      </c>
      <c r="L14" s="39"/>
      <c r="M14" s="39"/>
      <c r="N14" s="39"/>
      <c r="O14" s="39"/>
      <c r="P14" s="39"/>
      <c r="Q14" s="39"/>
      <c r="R14" s="41" t="str">
        <f aca="false">IF(L14="","",IFERROR(IF(ABS(ABS(L14)-ABS('Q10.12 Ans'!L14))&lt;0.5,"✓","✗"),"✗"))</f>
        <v/>
      </c>
      <c r="S14" s="39"/>
      <c r="T14" s="39"/>
      <c r="U14" s="39"/>
      <c r="V14" s="39"/>
      <c r="W14" s="39"/>
      <c r="X14" s="39"/>
      <c r="Y14" s="41" t="str">
        <f aca="false">IF(S14="","",IFERROR(IF(ABS(ABS(S14)-ABS('Q10.12 Ans'!S14))&lt;0.5,"✓","✗"),"✗"))</f>
        <v/>
      </c>
      <c r="Z14" s="39"/>
      <c r="AA14" s="39"/>
      <c r="AB14" s="39"/>
      <c r="AC14" s="39"/>
      <c r="AD14" s="39"/>
      <c r="AE14" s="39"/>
      <c r="AF14" s="41" t="str">
        <f aca="false">IF(Z14="","",IFERROR(IF(ABS(ABS(Z14)-ABS('Q10.12 Ans'!Z14))&lt;0.5,"✓","✗"),"✗"))</f>
        <v/>
      </c>
    </row>
    <row r="15" customFormat="false" ht="17.25" hidden="false" customHeight="true" outlineLevel="0" collapsed="false">
      <c r="B15" s="12" t="s">
        <v>136</v>
      </c>
      <c r="C15" s="12"/>
      <c r="D15" s="12"/>
      <c r="E15" s="39"/>
      <c r="F15" s="39"/>
      <c r="G15" s="39"/>
      <c r="H15" s="39"/>
      <c r="I15" s="39"/>
      <c r="J15" s="39"/>
      <c r="K15" s="41" t="str">
        <f aca="false">IF(E15="","",IFERROR(IF(ABS(ABS(E15)-ABS('Q10.12 Ans'!E15))&lt;0.5,"✓","✗"),"✗"))</f>
        <v/>
      </c>
      <c r="L15" s="39"/>
      <c r="M15" s="39"/>
      <c r="N15" s="39"/>
      <c r="O15" s="39"/>
      <c r="P15" s="39"/>
      <c r="Q15" s="39"/>
      <c r="R15" s="41" t="str">
        <f aca="false">IF(L15="","",IFERROR(IF(ABS(ABS(L15)-ABS('Q10.12 Ans'!L15))&lt;0.5,"✓","✗"),"✗"))</f>
        <v/>
      </c>
      <c r="S15" s="39"/>
      <c r="T15" s="39"/>
      <c r="U15" s="39"/>
      <c r="V15" s="39"/>
      <c r="W15" s="39"/>
      <c r="X15" s="39"/>
      <c r="Y15" s="41" t="str">
        <f aca="false">IF(S15="","",IFERROR(IF(ABS(ABS(S15)-ABS('Q10.12 Ans'!S15))&lt;0.5,"✓","✗"),"✗"))</f>
        <v/>
      </c>
      <c r="Z15" s="39"/>
      <c r="AA15" s="39"/>
      <c r="AB15" s="39"/>
      <c r="AC15" s="39"/>
      <c r="AD15" s="39"/>
      <c r="AE15" s="39"/>
      <c r="AF15" s="41" t="str">
        <f aca="false">IF(Z15="","",IFERROR(IF(ABS(ABS(Z15)-ABS('Q10.12 Ans'!Z15))&lt;0.5,"✓","✗"),"✗"))</f>
        <v/>
      </c>
    </row>
    <row r="16" customFormat="false" ht="17.25" hidden="false" customHeight="true" outlineLevel="0" collapsed="false">
      <c r="B16" s="12" t="s">
        <v>137</v>
      </c>
      <c r="C16" s="12"/>
      <c r="D16" s="12"/>
      <c r="E16" s="39"/>
      <c r="F16" s="39"/>
      <c r="G16" s="39"/>
      <c r="H16" s="39"/>
      <c r="I16" s="39"/>
      <c r="J16" s="39"/>
      <c r="K16" s="41" t="str">
        <f aca="false">IF(E16="","",IFERROR(IF(ABS(ABS(E16)-ABS('Q10.12 Ans'!E16))&lt;0.5,"✓","✗"),"✗"))</f>
        <v/>
      </c>
      <c r="L16" s="39"/>
      <c r="M16" s="39"/>
      <c r="N16" s="39"/>
      <c r="O16" s="39"/>
      <c r="P16" s="39"/>
      <c r="Q16" s="39"/>
      <c r="R16" s="41" t="str">
        <f aca="false">IF(L16="","",IFERROR(IF(ABS(ABS(L16)-ABS('Q10.12 Ans'!L16))&lt;0.5,"✓","✗"),"✗"))</f>
        <v/>
      </c>
      <c r="S16" s="39"/>
      <c r="T16" s="39"/>
      <c r="U16" s="39"/>
      <c r="V16" s="39"/>
      <c r="W16" s="39"/>
      <c r="X16" s="39"/>
      <c r="Y16" s="41" t="str">
        <f aca="false">IF(S16="","",IFERROR(IF(ABS(ABS(S16)-ABS('Q10.12 Ans'!S16))&lt;0.5,"✓","✗"),"✗"))</f>
        <v/>
      </c>
      <c r="Z16" s="39"/>
      <c r="AA16" s="39"/>
      <c r="AB16" s="39"/>
      <c r="AC16" s="39"/>
      <c r="AD16" s="39"/>
      <c r="AE16" s="39"/>
      <c r="AF16" s="41" t="str">
        <f aca="false">IF(Z16="","",IFERROR(IF(ABS(ABS(Z16)-ABS('Q10.12 Ans'!Z16))&lt;0.5,"✓","✗"),"✗"))</f>
        <v/>
      </c>
    </row>
    <row r="18" customFormat="false" ht="18.75" hidden="false" customHeight="true" outlineLevel="0" collapsed="false">
      <c r="B18" s="3" t="s">
        <v>191</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7.25" hidden="false" customHeight="true" outlineLevel="0" collapsed="false">
      <c r="B19" s="19" t="s">
        <v>192</v>
      </c>
      <c r="C19" s="19"/>
      <c r="D19" s="19"/>
      <c r="E19" s="19"/>
      <c r="F19" s="19"/>
      <c r="G19" s="19"/>
      <c r="H19" s="19"/>
      <c r="I19" s="19"/>
      <c r="J19" s="19"/>
      <c r="K19" s="19"/>
      <c r="L19" s="19"/>
      <c r="M19" s="19"/>
      <c r="N19" s="19"/>
      <c r="O19" s="19"/>
      <c r="P19" s="19"/>
      <c r="Q19" s="19"/>
      <c r="R19" s="19"/>
      <c r="S19" s="19"/>
      <c r="T19" s="19"/>
      <c r="U19" s="19"/>
      <c r="V19" s="19"/>
      <c r="W19" s="19"/>
      <c r="X19" s="39"/>
      <c r="Y19" s="39"/>
      <c r="Z19" s="39"/>
      <c r="AA19" s="39"/>
      <c r="AB19" s="39"/>
      <c r="AC19" s="40" t="str">
        <f aca="false">IF(X19="","",IFERROR(IF(ABS(ABS(X19)-ABS('Q10.12 Ans'!X19))&lt;0.5,"✓","✗"),"✗"))</f>
        <v/>
      </c>
    </row>
    <row r="21" customFormat="false" ht="18.75" hidden="false" customHeight="true" outlineLevel="0" collapsed="false">
      <c r="B21" s="3" t="s">
        <v>193</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false" outlineLevel="0" collapsed="false">
      <c r="B22" s="21" t="s">
        <v>60</v>
      </c>
      <c r="C22" s="21"/>
      <c r="D22" s="21"/>
      <c r="E22" s="22" t="s">
        <v>194</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3" t="s">
        <v>62</v>
      </c>
      <c r="AE22" s="23"/>
      <c r="AF22" s="23"/>
    </row>
    <row r="23" customFormat="false" ht="15" hidden="false" customHeight="false" outlineLevel="0" collapsed="false">
      <c r="B23" s="24" t="s">
        <v>63</v>
      </c>
      <c r="C23" s="24"/>
      <c r="D23" s="24"/>
      <c r="E23" s="24" t="s">
        <v>64</v>
      </c>
      <c r="F23" s="24"/>
      <c r="G23" s="24"/>
      <c r="H23" s="24"/>
      <c r="I23" s="24"/>
      <c r="J23" s="24"/>
      <c r="K23" s="24"/>
      <c r="L23" s="25" t="s">
        <v>65</v>
      </c>
      <c r="M23" s="26" t="s">
        <v>66</v>
      </c>
      <c r="N23" s="26"/>
      <c r="O23" s="26"/>
      <c r="P23" s="26"/>
      <c r="Q23" s="27"/>
      <c r="R23" s="28" t="s">
        <v>63</v>
      </c>
      <c r="S23" s="28"/>
      <c r="T23" s="28"/>
      <c r="U23" s="24" t="s">
        <v>64</v>
      </c>
      <c r="V23" s="24"/>
      <c r="W23" s="24"/>
      <c r="X23" s="24"/>
      <c r="Y23" s="24"/>
      <c r="Z23" s="24"/>
      <c r="AA23" s="24"/>
      <c r="AB23" s="25" t="s">
        <v>65</v>
      </c>
      <c r="AC23" s="26" t="s">
        <v>66</v>
      </c>
      <c r="AD23" s="26"/>
      <c r="AE23" s="26"/>
      <c r="AF23" s="26"/>
    </row>
    <row r="24" customFormat="false" ht="17.25" hidden="false" customHeight="true" outlineLevel="0" collapsed="false">
      <c r="B24" s="6" t="s">
        <v>195</v>
      </c>
      <c r="C24" s="6"/>
      <c r="D24" s="6"/>
      <c r="E24" s="29" t="s">
        <v>86</v>
      </c>
      <c r="F24" s="29"/>
      <c r="G24" s="29"/>
      <c r="H24" s="29"/>
      <c r="I24" s="29"/>
      <c r="J24" s="29"/>
      <c r="K24" s="29"/>
      <c r="L24" s="30" t="s">
        <v>76</v>
      </c>
      <c r="M24" s="39"/>
      <c r="N24" s="39"/>
      <c r="O24" s="39"/>
      <c r="P24" s="40" t="str">
        <f aca="false">IF(M24="","",IFERROR(IF(ABS(ABS(M24)-ABS('Q10.12 Ans'!M24))&lt;0.5,"✓","✗"),"✗"))</f>
        <v/>
      </c>
      <c r="R24" s="31" t="s">
        <v>195</v>
      </c>
      <c r="S24" s="31"/>
      <c r="T24" s="31"/>
      <c r="U24" s="29" t="s">
        <v>122</v>
      </c>
      <c r="V24" s="29"/>
      <c r="W24" s="29"/>
      <c r="X24" s="29"/>
      <c r="Y24" s="29"/>
      <c r="Z24" s="29"/>
      <c r="AA24" s="29"/>
      <c r="AB24" s="30" t="s">
        <v>76</v>
      </c>
      <c r="AC24" s="39"/>
      <c r="AD24" s="39"/>
      <c r="AE24" s="39"/>
      <c r="AF24" s="40" t="str">
        <f aca="false">IF(AC24="","",IFERROR(IF(ABS(ABS(AC24)-ABS('Q10.12 Ans'!AC24))&lt;0.5,"✓","✗"),"✗"))</f>
        <v/>
      </c>
    </row>
    <row r="25" customFormat="false" ht="17.25" hidden="false" customHeight="true" outlineLevel="0" collapsed="false">
      <c r="R25" s="31" t="s">
        <v>196</v>
      </c>
      <c r="S25" s="31"/>
      <c r="T25" s="31"/>
      <c r="U25" s="29" t="s">
        <v>68</v>
      </c>
      <c r="V25" s="29"/>
      <c r="W25" s="29"/>
      <c r="X25" s="29"/>
      <c r="Y25" s="29"/>
      <c r="Z25" s="29"/>
      <c r="AA25" s="29"/>
      <c r="AB25" s="30" t="s">
        <v>69</v>
      </c>
      <c r="AC25" s="39"/>
      <c r="AD25" s="39"/>
      <c r="AE25" s="39"/>
      <c r="AF25" s="40" t="str">
        <f aca="false">IF(AC25="","",IFERROR(IF(ABS(ABS(AC25)-ABS('Q10.12 Ans'!AC25))&lt;0.5,"✓","✗"),"✗"))</f>
        <v/>
      </c>
    </row>
    <row r="26" customFormat="false" ht="17.25" hidden="false" customHeight="true" outlineLevel="0" collapsed="false">
      <c r="R26" s="31" t="s">
        <v>197</v>
      </c>
      <c r="S26" s="31"/>
      <c r="T26" s="31"/>
      <c r="U26" s="29" t="s">
        <v>125</v>
      </c>
      <c r="V26" s="29"/>
      <c r="W26" s="29"/>
      <c r="X26" s="29"/>
      <c r="Y26" s="29"/>
      <c r="Z26" s="29"/>
      <c r="AA26" s="29"/>
      <c r="AB26" s="30" t="s">
        <v>78</v>
      </c>
      <c r="AC26" s="39"/>
      <c r="AD26" s="39"/>
      <c r="AE26" s="39"/>
      <c r="AF26" s="40" t="str">
        <f aca="false">IF(AC26="","",IFERROR(IF(ABS(ABS(AC26)-ABS('Q10.12 Ans'!AC26))&lt;0.5,"✓","✗"),"✗"))</f>
        <v/>
      </c>
    </row>
    <row r="27" customFormat="false" ht="16.5" hidden="false" customHeight="true" outlineLevel="0" collapsed="false">
      <c r="M27" s="48"/>
      <c r="N27" s="48"/>
      <c r="O27" s="48"/>
      <c r="P27" s="40" t="str">
        <f aca="false">IF(M27="","",IFERROR(IF(ABS(ABS(M27)-ABS('Q10.12 Ans'!M27))&lt;0.5,"✓","✗"),"✗"))</f>
        <v/>
      </c>
      <c r="R27" s="33"/>
      <c r="AC27" s="48"/>
      <c r="AD27" s="48"/>
      <c r="AE27" s="48"/>
      <c r="AF27" s="40" t="str">
        <f aca="false">IF(AC27="","",IFERROR(IF(ABS(ABS(AC27)-ABS('Q10.12 Ans'!AC27))&lt;0.5,"✓","✗"),"✗"))</f>
        <v/>
      </c>
    </row>
    <row r="29" customFormat="false" ht="18.75" hidden="false" customHeight="true" outlineLevel="0" collapsed="false">
      <c r="B29" s="3" t="s">
        <v>198</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7.25" hidden="false" customHeight="true" outlineLevel="0" collapsed="false">
      <c r="B30" s="19" t="s">
        <v>199</v>
      </c>
      <c r="C30" s="19"/>
      <c r="D30" s="19"/>
      <c r="E30" s="19"/>
      <c r="F30" s="19"/>
      <c r="G30" s="19"/>
      <c r="H30" s="19"/>
      <c r="I30" s="19"/>
      <c r="J30" s="19"/>
      <c r="K30" s="19"/>
      <c r="L30" s="19"/>
      <c r="M30" s="19"/>
      <c r="N30" s="19"/>
      <c r="O30" s="19"/>
      <c r="P30" s="19"/>
      <c r="Q30" s="19"/>
      <c r="R30" s="19"/>
      <c r="S30" s="19"/>
      <c r="T30" s="42"/>
      <c r="U30" s="42"/>
      <c r="V30" s="42"/>
      <c r="W30" s="42"/>
      <c r="X30" s="42"/>
      <c r="Y30" s="42"/>
      <c r="Z30" s="42"/>
      <c r="AA30" s="42"/>
      <c r="AB30" s="42"/>
      <c r="AC30" s="43" t="str">
        <f aca="false">IF(T30="","",IF(LOWER(TRIM(T30))=LOWER('Q10.12 Ans'!T30),"✓","✗"))</f>
        <v/>
      </c>
    </row>
  </sheetData>
  <mergeCells count="64">
    <mergeCell ref="B1:AF1"/>
    <mergeCell ref="B2:AF2"/>
    <mergeCell ref="B3:G3"/>
    <mergeCell ref="H3:AF3"/>
    <mergeCell ref="B5:AF5"/>
    <mergeCell ref="B6:W6"/>
    <mergeCell ref="X6:AC6"/>
    <mergeCell ref="B7:W7"/>
    <mergeCell ref="X7:AC7"/>
    <mergeCell ref="B8:W8"/>
    <mergeCell ref="X8:AC8"/>
    <mergeCell ref="B9:W9"/>
    <mergeCell ref="X9:AC9"/>
    <mergeCell ref="B12:AF12"/>
    <mergeCell ref="B13:D13"/>
    <mergeCell ref="E13:K13"/>
    <mergeCell ref="L13:R13"/>
    <mergeCell ref="S13:Y13"/>
    <mergeCell ref="Z13:AF13"/>
    <mergeCell ref="B14:D14"/>
    <mergeCell ref="E14:J14"/>
    <mergeCell ref="L14:Q14"/>
    <mergeCell ref="S14:X14"/>
    <mergeCell ref="Z14:AE14"/>
    <mergeCell ref="B15:D15"/>
    <mergeCell ref="E15:J15"/>
    <mergeCell ref="L15:Q15"/>
    <mergeCell ref="S15:X15"/>
    <mergeCell ref="Z15:AE15"/>
    <mergeCell ref="B16:D16"/>
    <mergeCell ref="E16:J16"/>
    <mergeCell ref="L16:Q16"/>
    <mergeCell ref="S16:X16"/>
    <mergeCell ref="Z16:AE16"/>
    <mergeCell ref="B18:AF18"/>
    <mergeCell ref="B19:W19"/>
    <mergeCell ref="X19:AB19"/>
    <mergeCell ref="B21:AF21"/>
    <mergeCell ref="B22:D22"/>
    <mergeCell ref="E22:AC22"/>
    <mergeCell ref="AD22:AF22"/>
    <mergeCell ref="B23:D23"/>
    <mergeCell ref="E23:K23"/>
    <mergeCell ref="M23:P23"/>
    <mergeCell ref="R23:T23"/>
    <mergeCell ref="U23:AA23"/>
    <mergeCell ref="AC23:AF23"/>
    <mergeCell ref="B24:D24"/>
    <mergeCell ref="E24:K24"/>
    <mergeCell ref="M24:O24"/>
    <mergeCell ref="R24:T24"/>
    <mergeCell ref="U24:AA24"/>
    <mergeCell ref="AC24:AE24"/>
    <mergeCell ref="R25:T25"/>
    <mergeCell ref="U25:AA25"/>
    <mergeCell ref="AC25:AE25"/>
    <mergeCell ref="R26:T26"/>
    <mergeCell ref="U26:AA26"/>
    <mergeCell ref="AC26:AE26"/>
    <mergeCell ref="M27:O27"/>
    <mergeCell ref="AC27:AE27"/>
    <mergeCell ref="B29:AF29"/>
    <mergeCell ref="B30:S30"/>
    <mergeCell ref="T30:AB30"/>
  </mergeCells>
  <conditionalFormatting sqref="B4:AG31">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1">
    <dataValidation allowBlank="true" errorStyle="stop" operator="between" showDropDown="false" showErrorMessage="false" showInputMessage="false" sqref="T30" type="list">
      <formula1>"Expense in the SPL,Other income in the SPL,Current liability,Deducted from capital"</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5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200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128</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21" t="s">
        <v>129</v>
      </c>
      <c r="C3" s="21"/>
      <c r="D3" s="21"/>
      <c r="E3" s="21"/>
      <c r="F3" s="21"/>
      <c r="G3" s="21"/>
      <c r="H3" s="21" t="str">
        <f aca="false">COUNTIF(B4:AG55,"✓")&amp;" correct out of 29 answer cells"</f>
        <v>0 correct out of 29 answer cells</v>
      </c>
      <c r="I3" s="21"/>
      <c r="J3" s="21"/>
      <c r="K3" s="21"/>
      <c r="L3" s="21"/>
      <c r="M3" s="21"/>
      <c r="N3" s="21"/>
      <c r="O3" s="21"/>
      <c r="P3" s="21"/>
      <c r="Q3" s="21"/>
      <c r="R3" s="21"/>
      <c r="S3" s="21"/>
      <c r="T3" s="21"/>
      <c r="U3" s="21"/>
      <c r="V3" s="21"/>
      <c r="W3" s="21"/>
      <c r="X3" s="21"/>
      <c r="Y3" s="21"/>
      <c r="Z3" s="21"/>
      <c r="AA3" s="21"/>
      <c r="AB3" s="21"/>
      <c r="AC3" s="21"/>
      <c r="AD3" s="21"/>
      <c r="AE3" s="21"/>
      <c r="AF3" s="21"/>
    </row>
    <row r="5" customFormat="false" ht="30" hidden="false" customHeight="true" outlineLevel="0" collapsed="false">
      <c r="B5" s="4" t="s">
        <v>201</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C6" s="4" t="s">
        <v>202</v>
      </c>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C7" s="4" t="s">
        <v>203</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6.5" hidden="false" customHeight="true" outlineLevel="0" collapsed="false">
      <c r="C8" s="4" t="s">
        <v>204</v>
      </c>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ustomFormat="false" ht="15" hidden="false" customHeight="false" outlineLevel="0" collapsed="false">
      <c r="B9" s="15" t="s">
        <v>131</v>
      </c>
      <c r="C9" s="15"/>
      <c r="D9" s="15"/>
      <c r="E9" s="15"/>
      <c r="F9" s="15"/>
      <c r="G9" s="15"/>
      <c r="H9" s="15"/>
      <c r="I9" s="15"/>
      <c r="J9" s="15"/>
      <c r="K9" s="15"/>
      <c r="L9" s="15"/>
      <c r="M9" s="15"/>
      <c r="N9" s="15"/>
      <c r="O9" s="15"/>
      <c r="P9" s="15"/>
      <c r="Q9" s="15"/>
      <c r="R9" s="15"/>
      <c r="S9" s="15"/>
      <c r="T9" s="15"/>
      <c r="U9" s="15"/>
      <c r="V9" s="15"/>
      <c r="W9" s="15"/>
      <c r="X9" s="16" t="s">
        <v>41</v>
      </c>
      <c r="Y9" s="16"/>
      <c r="Z9" s="16"/>
      <c r="AA9" s="16"/>
      <c r="AB9" s="16"/>
      <c r="AC9" s="16"/>
    </row>
    <row r="10" customFormat="false" ht="16.5" hidden="false" customHeight="true" outlineLevel="0" collapsed="false">
      <c r="B10" s="12" t="s">
        <v>205</v>
      </c>
      <c r="C10" s="12"/>
      <c r="D10" s="12"/>
      <c r="E10" s="12"/>
      <c r="F10" s="12"/>
      <c r="G10" s="12"/>
      <c r="H10" s="12"/>
      <c r="I10" s="12"/>
      <c r="J10" s="12"/>
      <c r="K10" s="12"/>
      <c r="L10" s="12"/>
      <c r="M10" s="12"/>
      <c r="N10" s="12"/>
      <c r="O10" s="12"/>
      <c r="P10" s="12"/>
      <c r="Q10" s="12"/>
      <c r="R10" s="12"/>
      <c r="S10" s="12"/>
      <c r="T10" s="12"/>
      <c r="U10" s="12"/>
      <c r="V10" s="12"/>
      <c r="W10" s="12"/>
      <c r="X10" s="17" t="n">
        <v>25000</v>
      </c>
      <c r="Y10" s="17"/>
      <c r="Z10" s="17"/>
      <c r="AA10" s="17"/>
      <c r="AB10" s="17"/>
      <c r="AC10" s="17"/>
    </row>
    <row r="11" customFormat="false" ht="16.5" hidden="false" customHeight="true" outlineLevel="0" collapsed="false">
      <c r="B11" s="12" t="s">
        <v>206</v>
      </c>
      <c r="C11" s="12"/>
      <c r="D11" s="12"/>
      <c r="E11" s="12"/>
      <c r="F11" s="12"/>
      <c r="G11" s="12"/>
      <c r="H11" s="12"/>
      <c r="I11" s="12"/>
      <c r="J11" s="12"/>
      <c r="K11" s="12"/>
      <c r="L11" s="12"/>
      <c r="M11" s="12"/>
      <c r="N11" s="12"/>
      <c r="O11" s="12"/>
      <c r="P11" s="12"/>
      <c r="Q11" s="12"/>
      <c r="R11" s="12"/>
      <c r="S11" s="12"/>
      <c r="T11" s="12"/>
      <c r="U11" s="12"/>
      <c r="V11" s="12"/>
      <c r="W11" s="12"/>
      <c r="X11" s="17" t="n">
        <v>30000</v>
      </c>
      <c r="Y11" s="17"/>
      <c r="Z11" s="17"/>
      <c r="AA11" s="17"/>
      <c r="AB11" s="17"/>
      <c r="AC11" s="17"/>
    </row>
    <row r="12" customFormat="false" ht="16.5" hidden="false" customHeight="true" outlineLevel="0" collapsed="false">
      <c r="B12" s="12" t="s">
        <v>207</v>
      </c>
      <c r="C12" s="12"/>
      <c r="D12" s="12"/>
      <c r="E12" s="12"/>
      <c r="F12" s="12"/>
      <c r="G12" s="12"/>
      <c r="H12" s="12"/>
      <c r="I12" s="12"/>
      <c r="J12" s="12"/>
      <c r="K12" s="12"/>
      <c r="L12" s="12"/>
      <c r="M12" s="12"/>
      <c r="N12" s="12"/>
      <c r="O12" s="12"/>
      <c r="P12" s="12"/>
      <c r="Q12" s="12"/>
      <c r="R12" s="12"/>
      <c r="S12" s="12"/>
      <c r="T12" s="12"/>
      <c r="U12" s="12"/>
      <c r="V12" s="12"/>
      <c r="W12" s="12"/>
      <c r="X12" s="37" t="n">
        <v>0.2</v>
      </c>
      <c r="Y12" s="37"/>
      <c r="Z12" s="37"/>
      <c r="AA12" s="37"/>
      <c r="AB12" s="37"/>
      <c r="AC12" s="37"/>
    </row>
    <row r="13" customFormat="false" ht="16.5" hidden="false" customHeight="true" outlineLevel="0" collapsed="false">
      <c r="B13" s="12" t="s">
        <v>208</v>
      </c>
      <c r="C13" s="12"/>
      <c r="D13" s="12"/>
      <c r="E13" s="12"/>
      <c r="F13" s="12"/>
      <c r="G13" s="12"/>
      <c r="H13" s="12"/>
      <c r="I13" s="12"/>
      <c r="J13" s="12"/>
      <c r="K13" s="12"/>
      <c r="L13" s="12"/>
      <c r="M13" s="12"/>
      <c r="N13" s="12"/>
      <c r="O13" s="12"/>
      <c r="P13" s="12"/>
      <c r="Q13" s="12"/>
      <c r="R13" s="12"/>
      <c r="S13" s="12"/>
      <c r="T13" s="12"/>
      <c r="U13" s="12"/>
      <c r="V13" s="12"/>
      <c r="W13" s="12"/>
      <c r="X13" s="17" t="n">
        <v>12000</v>
      </c>
      <c r="Y13" s="17"/>
      <c r="Z13" s="17"/>
      <c r="AA13" s="17"/>
      <c r="AB13" s="17"/>
      <c r="AC13" s="17"/>
    </row>
    <row r="16" customFormat="false" ht="18.75" hidden="false" customHeight="true" outlineLevel="0" collapsed="false">
      <c r="B16" s="3" t="s">
        <v>209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7.25" hidden="false" customHeight="true" outlineLevel="0" collapsed="false">
      <c r="B17" s="19" t="s">
        <v>210</v>
      </c>
      <c r="C17" s="19"/>
      <c r="D17" s="19"/>
      <c r="E17" s="19"/>
      <c r="F17" s="19"/>
      <c r="G17" s="19"/>
      <c r="H17" s="19"/>
      <c r="I17" s="19"/>
      <c r="J17" s="19"/>
      <c r="K17" s="19"/>
      <c r="L17" s="19"/>
      <c r="M17" s="19"/>
      <c r="N17" s="19"/>
      <c r="O17" s="19"/>
      <c r="P17" s="19"/>
      <c r="Q17" s="19"/>
      <c r="R17" s="19"/>
      <c r="S17" s="19"/>
      <c r="T17" s="19"/>
      <c r="U17" s="19"/>
      <c r="V17" s="19"/>
      <c r="W17" s="19"/>
      <c r="X17" s="39"/>
      <c r="Y17" s="39"/>
      <c r="Z17" s="39"/>
      <c r="AA17" s="39"/>
      <c r="AB17" s="39"/>
      <c r="AC17" s="40" t="str">
        <f aca="false">IF(X17="","",IFERROR(IF(ABS(ABS(X17)-ABS('Q10.13 Ans'!X17))&lt;0.5,"✓","✗"),"✗"))</f>
        <v/>
      </c>
    </row>
    <row r="18" customFormat="false" ht="17.25" hidden="false" customHeight="true" outlineLevel="0" collapsed="false">
      <c r="B18" s="19" t="s">
        <v>211</v>
      </c>
      <c r="C18" s="19"/>
      <c r="D18" s="19"/>
      <c r="E18" s="19"/>
      <c r="F18" s="19"/>
      <c r="G18" s="19"/>
      <c r="H18" s="19"/>
      <c r="I18" s="19"/>
      <c r="J18" s="19"/>
      <c r="K18" s="19"/>
      <c r="L18" s="19"/>
      <c r="M18" s="19"/>
      <c r="N18" s="19"/>
      <c r="O18" s="19"/>
      <c r="P18" s="19"/>
      <c r="Q18" s="19"/>
      <c r="R18" s="19"/>
      <c r="S18" s="19"/>
      <c r="T18" s="19"/>
      <c r="U18" s="19"/>
      <c r="V18" s="19"/>
      <c r="W18" s="19"/>
      <c r="X18" s="39"/>
      <c r="Y18" s="39"/>
      <c r="Z18" s="39"/>
      <c r="AA18" s="39"/>
      <c r="AB18" s="39"/>
      <c r="AC18" s="40" t="str">
        <f aca="false">IF(X18="","",IFERROR(IF(ABS(ABS(X18)-ABS('Q10.13 Ans'!X18))&lt;0.5,"✓","✗"),"✗"))</f>
        <v/>
      </c>
    </row>
    <row r="19" customFormat="false" ht="17.25" hidden="false" customHeight="true" outlineLevel="0" collapsed="false">
      <c r="B19" s="19" t="s">
        <v>171</v>
      </c>
      <c r="C19" s="19"/>
      <c r="D19" s="19"/>
      <c r="E19" s="19"/>
      <c r="F19" s="19"/>
      <c r="G19" s="19"/>
      <c r="H19" s="19"/>
      <c r="I19" s="19"/>
      <c r="J19" s="19"/>
      <c r="K19" s="19"/>
      <c r="L19" s="19"/>
      <c r="M19" s="19"/>
      <c r="N19" s="19"/>
      <c r="O19" s="19"/>
      <c r="P19" s="19"/>
      <c r="Q19" s="19"/>
      <c r="R19" s="19"/>
      <c r="S19" s="19"/>
      <c r="T19" s="19"/>
      <c r="U19" s="19"/>
      <c r="V19" s="19"/>
      <c r="W19" s="19"/>
      <c r="X19" s="39"/>
      <c r="Y19" s="39"/>
      <c r="Z19" s="39"/>
      <c r="AA19" s="39"/>
      <c r="AB19" s="39"/>
      <c r="AC19" s="40" t="str">
        <f aca="false">IF(X19="","",IFERROR(IF(ABS(ABS(X19)-ABS('Q10.13 Ans'!X19))&lt;0.5,"✓","✗"),"✗"))</f>
        <v/>
      </c>
    </row>
    <row r="21" customFormat="false" ht="18.75" hidden="false" customHeight="true" outlineLevel="0" collapsed="false">
      <c r="B21" s="3" t="s">
        <v>212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false" outlineLevel="0" collapsed="false">
      <c r="B22" s="21" t="s">
        <v>60</v>
      </c>
      <c r="C22" s="21"/>
      <c r="D22" s="21"/>
      <c r="E22" s="22" t="s">
        <v>213</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3" t="s">
        <v>62</v>
      </c>
      <c r="AE22" s="23"/>
      <c r="AF22" s="23"/>
    </row>
    <row r="23" customFormat="false" ht="15" hidden="false" customHeight="false" outlineLevel="0" collapsed="false">
      <c r="B23" s="24" t="s">
        <v>63</v>
      </c>
      <c r="C23" s="24"/>
      <c r="D23" s="24"/>
      <c r="E23" s="24" t="s">
        <v>64</v>
      </c>
      <c r="F23" s="24"/>
      <c r="G23" s="24"/>
      <c r="H23" s="24"/>
      <c r="I23" s="24"/>
      <c r="J23" s="24"/>
      <c r="K23" s="24"/>
      <c r="L23" s="25" t="s">
        <v>65</v>
      </c>
      <c r="M23" s="26" t="s">
        <v>66</v>
      </c>
      <c r="N23" s="26"/>
      <c r="O23" s="26"/>
      <c r="P23" s="26"/>
      <c r="Q23" s="27"/>
      <c r="R23" s="28" t="s">
        <v>63</v>
      </c>
      <c r="S23" s="28"/>
      <c r="T23" s="28"/>
      <c r="U23" s="24" t="s">
        <v>64</v>
      </c>
      <c r="V23" s="24"/>
      <c r="W23" s="24"/>
      <c r="X23" s="24"/>
      <c r="Y23" s="24"/>
      <c r="Z23" s="24"/>
      <c r="AA23" s="24"/>
      <c r="AB23" s="25" t="s">
        <v>65</v>
      </c>
      <c r="AC23" s="26" t="s">
        <v>66</v>
      </c>
      <c r="AD23" s="26"/>
      <c r="AE23" s="26"/>
      <c r="AF23" s="26"/>
    </row>
    <row r="24" customFormat="false" ht="17.25" hidden="false" customHeight="true" outlineLevel="0" collapsed="false">
      <c r="B24" s="6" t="s">
        <v>214</v>
      </c>
      <c r="C24" s="6"/>
      <c r="D24" s="6"/>
      <c r="E24" s="29" t="s">
        <v>71</v>
      </c>
      <c r="F24" s="29"/>
      <c r="G24" s="29"/>
      <c r="H24" s="29"/>
      <c r="I24" s="29"/>
      <c r="J24" s="29"/>
      <c r="K24" s="29"/>
      <c r="L24" s="30"/>
      <c r="M24" s="39"/>
      <c r="N24" s="39"/>
      <c r="O24" s="39"/>
      <c r="P24" s="40" t="str">
        <f aca="false">IF(M24="","",IFERROR(IF(ABS(ABS(M24)-ABS('Q10.13 Ans'!M24))&lt;0.5,"✓","✗"),"✗"))</f>
        <v/>
      </c>
      <c r="R24" s="31" t="s">
        <v>214</v>
      </c>
      <c r="S24" s="31"/>
      <c r="T24" s="31"/>
      <c r="U24" s="29" t="s">
        <v>75</v>
      </c>
      <c r="V24" s="29"/>
      <c r="W24" s="29"/>
      <c r="X24" s="29"/>
      <c r="Y24" s="29"/>
      <c r="Z24" s="29"/>
      <c r="AA24" s="29"/>
      <c r="AB24" s="30" t="s">
        <v>76</v>
      </c>
      <c r="AC24" s="39"/>
      <c r="AD24" s="39"/>
      <c r="AE24" s="39"/>
      <c r="AF24" s="40" t="str">
        <f aca="false">IF(AC24="","",IFERROR(IF(ABS(ABS(AC24)-ABS('Q10.13 Ans'!AC24))&lt;0.5,"✓","✗"),"✗"))</f>
        <v/>
      </c>
    </row>
    <row r="25" customFormat="false" ht="16.5" hidden="false" customHeight="true" outlineLevel="0" collapsed="false">
      <c r="M25" s="48"/>
      <c r="N25" s="48"/>
      <c r="O25" s="48"/>
      <c r="P25" s="40" t="str">
        <f aca="false">IF(M25="","",IFERROR(IF(ABS(ABS(M25)-ABS('Q10.13 Ans'!M25))&lt;0.5,"✓","✗"),"✗"))</f>
        <v/>
      </c>
      <c r="R25" s="33"/>
      <c r="AC25" s="48"/>
      <c r="AD25" s="48"/>
      <c r="AE25" s="48"/>
      <c r="AF25" s="40" t="str">
        <f aca="false">IF(AC25="","",IFERROR(IF(ABS(ABS(AC25)-ABS('Q10.13 Ans'!AC25))&lt;0.5,"✓","✗"),"✗"))</f>
        <v/>
      </c>
    </row>
    <row r="26" customFormat="false" ht="17.25" hidden="false" customHeight="true" outlineLevel="0" collapsed="false">
      <c r="R26" s="31" t="s">
        <v>215</v>
      </c>
      <c r="S26" s="31"/>
      <c r="T26" s="31"/>
      <c r="U26" s="29" t="s">
        <v>73</v>
      </c>
      <c r="V26" s="29"/>
      <c r="W26" s="29"/>
      <c r="X26" s="29"/>
      <c r="Y26" s="29"/>
      <c r="Z26" s="29"/>
      <c r="AA26" s="29"/>
      <c r="AB26" s="30"/>
      <c r="AC26" s="39"/>
      <c r="AD26" s="39"/>
      <c r="AE26" s="39"/>
      <c r="AF26" s="40" t="str">
        <f aca="false">IF(AC26="","",IFERROR(IF(ABS(ABS(AC26)-ABS('Q10.13 Ans'!AC26))&lt;0.5,"✓","✗"),"✗"))</f>
        <v/>
      </c>
    </row>
    <row r="27" customFormat="false" ht="17.25" hidden="false" customHeight="true" outlineLevel="0" collapsed="false">
      <c r="B27" s="6" t="s">
        <v>216</v>
      </c>
      <c r="C27" s="6"/>
      <c r="D27" s="6"/>
      <c r="E27" s="29" t="s">
        <v>71</v>
      </c>
      <c r="F27" s="29"/>
      <c r="G27" s="29"/>
      <c r="H27" s="29"/>
      <c r="I27" s="29"/>
      <c r="J27" s="29"/>
      <c r="K27" s="29"/>
      <c r="L27" s="30"/>
      <c r="M27" s="39"/>
      <c r="N27" s="39"/>
      <c r="O27" s="39"/>
      <c r="P27" s="40" t="str">
        <f aca="false">IF(M27="","",IFERROR(IF(ABS(ABS(M27)-ABS('Q10.13 Ans'!M27))&lt;0.5,"✓","✗"),"✗"))</f>
        <v/>
      </c>
      <c r="R27" s="31" t="s">
        <v>216</v>
      </c>
      <c r="S27" s="31"/>
      <c r="T27" s="31"/>
      <c r="U27" s="29" t="s">
        <v>75</v>
      </c>
      <c r="V27" s="29"/>
      <c r="W27" s="29"/>
      <c r="X27" s="29"/>
      <c r="Y27" s="29"/>
      <c r="Z27" s="29"/>
      <c r="AA27" s="29"/>
      <c r="AB27" s="30" t="s">
        <v>78</v>
      </c>
      <c r="AC27" s="39"/>
      <c r="AD27" s="39"/>
      <c r="AE27" s="39"/>
      <c r="AF27" s="40" t="str">
        <f aca="false">IF(AC27="","",IFERROR(IF(ABS(ABS(AC27)-ABS('Q10.13 Ans'!AC27))&lt;0.5,"✓","✗"),"✗"))</f>
        <v/>
      </c>
    </row>
    <row r="28" customFormat="false" ht="16.5" hidden="false" customHeight="true" outlineLevel="0" collapsed="false">
      <c r="M28" s="48"/>
      <c r="N28" s="48"/>
      <c r="O28" s="48"/>
      <c r="P28" s="40" t="str">
        <f aca="false">IF(M28="","",IFERROR(IF(ABS(ABS(M28)-ABS('Q10.13 Ans'!M28))&lt;0.5,"✓","✗"),"✗"))</f>
        <v/>
      </c>
      <c r="R28" s="33"/>
      <c r="AC28" s="48"/>
      <c r="AD28" s="48"/>
      <c r="AE28" s="48"/>
      <c r="AF28" s="40" t="str">
        <f aca="false">IF(AC28="","",IFERROR(IF(ABS(ABS(AC28)-ABS('Q10.13 Ans'!AC28))&lt;0.5,"✓","✗"),"✗"))</f>
        <v/>
      </c>
    </row>
    <row r="29" customFormat="false" ht="17.25" hidden="false" customHeight="true" outlineLevel="0" collapsed="false">
      <c r="B29" s="6" t="s">
        <v>217</v>
      </c>
      <c r="C29" s="6"/>
      <c r="D29" s="6"/>
      <c r="E29" s="29" t="s">
        <v>218</v>
      </c>
      <c r="F29" s="29"/>
      <c r="G29" s="29"/>
      <c r="H29" s="29"/>
      <c r="I29" s="29"/>
      <c r="J29" s="29"/>
      <c r="K29" s="29"/>
      <c r="L29" s="30" t="s">
        <v>219</v>
      </c>
      <c r="M29" s="39"/>
      <c r="N29" s="39"/>
      <c r="O29" s="39"/>
      <c r="P29" s="40" t="str">
        <f aca="false">IF(M29="","",IFERROR(IF(ABS(ABS(M29)-ABS('Q10.13 Ans'!M29))&lt;0.5,"✓","✗"),"✗"))</f>
        <v/>
      </c>
      <c r="R29" s="31" t="s">
        <v>220</v>
      </c>
      <c r="S29" s="31"/>
      <c r="T29" s="31"/>
      <c r="U29" s="29" t="s">
        <v>73</v>
      </c>
      <c r="V29" s="29"/>
      <c r="W29" s="29"/>
      <c r="X29" s="29"/>
      <c r="Y29" s="29"/>
      <c r="Z29" s="29"/>
      <c r="AA29" s="29"/>
      <c r="AB29" s="30"/>
      <c r="AC29" s="39"/>
      <c r="AD29" s="39"/>
      <c r="AE29" s="39"/>
      <c r="AF29" s="40" t="str">
        <f aca="false">IF(AC29="","",IFERROR(IF(ABS(ABS(AC29)-ABS('Q10.13 Ans'!AC29))&lt;0.5,"✓","✗"),"✗"))</f>
        <v/>
      </c>
    </row>
    <row r="30" customFormat="false" ht="17.25" hidden="false" customHeight="true" outlineLevel="0" collapsed="false">
      <c r="B30" s="6" t="s">
        <v>197</v>
      </c>
      <c r="C30" s="6"/>
      <c r="D30" s="6"/>
      <c r="E30" s="29" t="s">
        <v>71</v>
      </c>
      <c r="F30" s="29"/>
      <c r="G30" s="29"/>
      <c r="H30" s="29"/>
      <c r="I30" s="29"/>
      <c r="J30" s="29"/>
      <c r="K30" s="29"/>
      <c r="L30" s="30"/>
      <c r="M30" s="39"/>
      <c r="N30" s="39"/>
      <c r="O30" s="39"/>
      <c r="P30" s="40" t="str">
        <f aca="false">IF(M30="","",IFERROR(IF(ABS(ABS(M30)-ABS('Q10.13 Ans'!M30))&lt;0.5,"✓","✗"),"✗"))</f>
        <v/>
      </c>
      <c r="R30" s="31" t="s">
        <v>178</v>
      </c>
      <c r="S30" s="31"/>
      <c r="T30" s="31"/>
      <c r="U30" s="29" t="s">
        <v>75</v>
      </c>
      <c r="V30" s="29"/>
      <c r="W30" s="29"/>
      <c r="X30" s="29"/>
      <c r="Y30" s="29"/>
      <c r="Z30" s="29"/>
      <c r="AA30" s="29"/>
      <c r="AB30" s="30" t="s">
        <v>221</v>
      </c>
      <c r="AC30" s="39"/>
      <c r="AD30" s="39"/>
      <c r="AE30" s="39"/>
      <c r="AF30" s="40" t="str">
        <f aca="false">IF(AC30="","",IFERROR(IF(ABS(ABS(AC30)-ABS('Q10.13 Ans'!AC30))&lt;0.5,"✓","✗"),"✗"))</f>
        <v/>
      </c>
    </row>
    <row r="31" customFormat="false" ht="16.5" hidden="false" customHeight="true" outlineLevel="0" collapsed="false">
      <c r="M31" s="48"/>
      <c r="N31" s="48"/>
      <c r="O31" s="48"/>
      <c r="P31" s="40" t="str">
        <f aca="false">IF(M31="","",IFERROR(IF(ABS(ABS(M31)-ABS('Q10.13 Ans'!M31))&lt;0.5,"✓","✗"),"✗"))</f>
        <v/>
      </c>
      <c r="R31" s="33"/>
      <c r="AC31" s="48"/>
      <c r="AD31" s="48"/>
      <c r="AE31" s="48"/>
      <c r="AF31" s="40" t="str">
        <f aca="false">IF(AC31="","",IFERROR(IF(ABS(ABS(AC31)-ABS('Q10.13 Ans'!AC31))&lt;0.5,"✓","✗"),"✗"))</f>
        <v/>
      </c>
    </row>
    <row r="32" customFormat="false" ht="17.25" hidden="false" customHeight="true" outlineLevel="0" collapsed="false">
      <c r="R32" s="31" t="s">
        <v>195</v>
      </c>
      <c r="S32" s="31"/>
      <c r="T32" s="31"/>
      <c r="U32" s="29" t="s">
        <v>73</v>
      </c>
      <c r="V32" s="29"/>
      <c r="W32" s="29"/>
      <c r="X32" s="29"/>
      <c r="Y32" s="29"/>
      <c r="Z32" s="29"/>
      <c r="AA32" s="29"/>
      <c r="AB32" s="30"/>
      <c r="AC32" s="39"/>
      <c r="AD32" s="39"/>
      <c r="AE32" s="39"/>
      <c r="AF32" s="40" t="str">
        <f aca="false">IF(AC32="","",IFERROR(IF(ABS(ABS(AC32)-ABS('Q10.13 Ans'!AC32))&lt;0.5,"✓","✗"),"✗"))</f>
        <v/>
      </c>
    </row>
    <row r="34" customFormat="false" ht="18.75" hidden="false" customHeight="true" outlineLevel="0" collapsed="false">
      <c r="B34" s="3" t="s">
        <v>222</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false" outlineLevel="0" collapsed="false">
      <c r="B35" s="21" t="s">
        <v>60</v>
      </c>
      <c r="C35" s="21"/>
      <c r="D35" s="21"/>
      <c r="E35" s="22" t="s">
        <v>119</v>
      </c>
      <c r="F35" s="22"/>
      <c r="G35" s="22"/>
      <c r="H35" s="22"/>
      <c r="I35" s="22"/>
      <c r="J35" s="22"/>
      <c r="K35" s="22"/>
      <c r="L35" s="22"/>
      <c r="M35" s="22"/>
      <c r="N35" s="22"/>
      <c r="O35" s="22"/>
      <c r="P35" s="22"/>
      <c r="Q35" s="22"/>
      <c r="R35" s="22"/>
      <c r="S35" s="22"/>
      <c r="T35" s="22"/>
      <c r="U35" s="22"/>
      <c r="V35" s="22"/>
      <c r="W35" s="22"/>
      <c r="X35" s="22"/>
      <c r="Y35" s="22"/>
      <c r="Z35" s="22"/>
      <c r="AA35" s="22"/>
      <c r="AB35" s="22"/>
      <c r="AC35" s="22"/>
      <c r="AD35" s="23" t="s">
        <v>62</v>
      </c>
      <c r="AE35" s="23"/>
      <c r="AF35" s="23"/>
    </row>
    <row r="36" customFormat="false" ht="15" hidden="false" customHeight="false" outlineLevel="0" collapsed="false">
      <c r="B36" s="24" t="s">
        <v>63</v>
      </c>
      <c r="C36" s="24"/>
      <c r="D36" s="24"/>
      <c r="E36" s="24" t="s">
        <v>64</v>
      </c>
      <c r="F36" s="24"/>
      <c r="G36" s="24"/>
      <c r="H36" s="24"/>
      <c r="I36" s="24"/>
      <c r="J36" s="24"/>
      <c r="K36" s="24"/>
      <c r="L36" s="25" t="s">
        <v>65</v>
      </c>
      <c r="M36" s="26" t="s">
        <v>66</v>
      </c>
      <c r="N36" s="26"/>
      <c r="O36" s="26"/>
      <c r="P36" s="26"/>
      <c r="Q36" s="27"/>
      <c r="R36" s="28" t="s">
        <v>63</v>
      </c>
      <c r="S36" s="28"/>
      <c r="T36" s="28"/>
      <c r="U36" s="24" t="s">
        <v>64</v>
      </c>
      <c r="V36" s="24"/>
      <c r="W36" s="24"/>
      <c r="X36" s="24"/>
      <c r="Y36" s="24"/>
      <c r="Z36" s="24"/>
      <c r="AA36" s="24"/>
      <c r="AB36" s="25" t="s">
        <v>65</v>
      </c>
      <c r="AC36" s="26" t="s">
        <v>66</v>
      </c>
      <c r="AD36" s="26"/>
      <c r="AE36" s="26"/>
      <c r="AF36" s="26"/>
    </row>
    <row r="37" customFormat="false" ht="17.25" hidden="false" customHeight="true" outlineLevel="0" collapsed="false">
      <c r="B37" s="6" t="s">
        <v>217</v>
      </c>
      <c r="C37" s="6"/>
      <c r="D37" s="6"/>
      <c r="E37" s="29" t="s">
        <v>223</v>
      </c>
      <c r="F37" s="29"/>
      <c r="G37" s="29"/>
      <c r="H37" s="29"/>
      <c r="I37" s="29"/>
      <c r="J37" s="29"/>
      <c r="K37" s="29"/>
      <c r="L37" s="30" t="s">
        <v>219</v>
      </c>
      <c r="M37" s="39"/>
      <c r="N37" s="39"/>
      <c r="O37" s="39"/>
      <c r="P37" s="40" t="str">
        <f aca="false">IF(M37="","",IFERROR(IF(ABS(ABS(M37)-ABS('Q10.13 Ans'!M37))&lt;0.5,"✓","✗"),"✗"))</f>
        <v/>
      </c>
      <c r="R37" s="31" t="s">
        <v>217</v>
      </c>
      <c r="S37" s="31"/>
      <c r="T37" s="31"/>
      <c r="U37" s="29" t="s">
        <v>122</v>
      </c>
      <c r="V37" s="29"/>
      <c r="W37" s="29"/>
      <c r="X37" s="29"/>
      <c r="Y37" s="29"/>
      <c r="Z37" s="29"/>
      <c r="AA37" s="29"/>
      <c r="AB37" s="30" t="s">
        <v>219</v>
      </c>
      <c r="AC37" s="39"/>
      <c r="AD37" s="39"/>
      <c r="AE37" s="39"/>
      <c r="AF37" s="40" t="str">
        <f aca="false">IF(AC37="","",IFERROR(IF(ABS(ABS(AC37)-ABS('Q10.13 Ans'!AC37))&lt;0.5,"✓","✗"),"✗"))</f>
        <v/>
      </c>
    </row>
    <row r="38" customFormat="false" ht="17.25" hidden="false" customHeight="true" outlineLevel="0" collapsed="false">
      <c r="R38" s="31" t="s">
        <v>224</v>
      </c>
      <c r="S38" s="31"/>
      <c r="T38" s="31"/>
      <c r="U38" s="29" t="s">
        <v>68</v>
      </c>
      <c r="V38" s="29"/>
      <c r="W38" s="29"/>
      <c r="X38" s="29"/>
      <c r="Y38" s="29"/>
      <c r="Z38" s="29"/>
      <c r="AA38" s="29"/>
      <c r="AB38" s="30" t="s">
        <v>69</v>
      </c>
      <c r="AC38" s="39"/>
      <c r="AD38" s="39"/>
      <c r="AE38" s="39"/>
      <c r="AF38" s="40" t="str">
        <f aca="false">IF(AC38="","",IFERROR(IF(ABS(ABS(AC38)-ABS('Q10.13 Ans'!AC38))&lt;0.5,"✓","✗"),"✗"))</f>
        <v/>
      </c>
    </row>
    <row r="39" customFormat="false" ht="17.25" hidden="false" customHeight="true" outlineLevel="0" collapsed="false">
      <c r="R39" s="31" t="s">
        <v>197</v>
      </c>
      <c r="S39" s="31"/>
      <c r="T39" s="31"/>
      <c r="U39" s="29" t="s">
        <v>125</v>
      </c>
      <c r="V39" s="29"/>
      <c r="W39" s="29"/>
      <c r="X39" s="29"/>
      <c r="Y39" s="29"/>
      <c r="Z39" s="29"/>
      <c r="AA39" s="29"/>
      <c r="AB39" s="30" t="s">
        <v>221</v>
      </c>
      <c r="AC39" s="39"/>
      <c r="AD39" s="39"/>
      <c r="AE39" s="39"/>
      <c r="AF39" s="40" t="str">
        <f aca="false">IF(AC39="","",IFERROR(IF(ABS(ABS(AC39)-ABS('Q10.13 Ans'!AC39))&lt;0.5,"✓","✗"),"✗"))</f>
        <v/>
      </c>
    </row>
    <row r="40" customFormat="false" ht="16.5" hidden="false" customHeight="true" outlineLevel="0" collapsed="false">
      <c r="M40" s="48"/>
      <c r="N40" s="48"/>
      <c r="O40" s="48"/>
      <c r="P40" s="40" t="str">
        <f aca="false">IF(M40="","",IFERROR(IF(ABS(ABS(M40)-ABS('Q10.13 Ans'!M40))&lt;0.5,"✓","✗"),"✗"))</f>
        <v/>
      </c>
      <c r="R40" s="33"/>
      <c r="AC40" s="48"/>
      <c r="AD40" s="48"/>
      <c r="AE40" s="48"/>
      <c r="AF40" s="40" t="str">
        <f aca="false">IF(AC40="","",IFERROR(IF(ABS(ABS(AC40)-ABS('Q10.13 Ans'!AC40))&lt;0.5,"✓","✗"),"✗"))</f>
        <v/>
      </c>
    </row>
    <row r="42" customFormat="false" ht="18.75" hidden="false" customHeight="true" outlineLevel="0" collapsed="false">
      <c r="B42" s="3" t="s">
        <v>225</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false" outlineLevel="0" collapsed="false">
      <c r="B43" s="22" t="s">
        <v>139</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customFormat="false" ht="15" hidden="false" customHeight="false" outlineLevel="0" collapsed="false">
      <c r="B44" s="34"/>
      <c r="C44" s="34"/>
      <c r="D44" s="34"/>
      <c r="E44" s="15" t="s">
        <v>64</v>
      </c>
      <c r="F44" s="15"/>
      <c r="G44" s="15"/>
      <c r="H44" s="15"/>
      <c r="I44" s="15"/>
      <c r="J44" s="15"/>
      <c r="K44" s="15"/>
      <c r="L44" s="15"/>
      <c r="M44" s="15"/>
      <c r="N44" s="15"/>
      <c r="O44" s="15"/>
      <c r="P44" s="15"/>
      <c r="Q44" s="15"/>
      <c r="R44" s="16" t="s">
        <v>81</v>
      </c>
      <c r="S44" s="16"/>
      <c r="T44" s="16"/>
      <c r="U44" s="16"/>
      <c r="V44" s="16"/>
      <c r="W44" s="16" t="s">
        <v>81</v>
      </c>
      <c r="X44" s="16"/>
      <c r="Y44" s="16"/>
      <c r="Z44" s="16"/>
      <c r="AA44" s="16"/>
      <c r="AB44" s="16" t="s">
        <v>81</v>
      </c>
      <c r="AC44" s="16"/>
      <c r="AD44" s="16"/>
      <c r="AE44" s="16"/>
      <c r="AF44" s="16"/>
    </row>
    <row r="45" customFormat="false" ht="30" hidden="false" customHeight="true" outlineLevel="0" collapsed="false">
      <c r="B45" s="34"/>
      <c r="C45" s="34"/>
      <c r="D45" s="34"/>
      <c r="E45" s="34"/>
      <c r="F45" s="34"/>
      <c r="G45" s="34"/>
      <c r="H45" s="34"/>
      <c r="I45" s="34"/>
      <c r="J45" s="34"/>
      <c r="K45" s="34"/>
      <c r="L45" s="34"/>
      <c r="M45" s="34"/>
      <c r="N45" s="34"/>
      <c r="O45" s="34"/>
      <c r="P45" s="34"/>
      <c r="Q45" s="34"/>
      <c r="R45" s="11" t="s">
        <v>82</v>
      </c>
      <c r="S45" s="11"/>
      <c r="T45" s="11"/>
      <c r="U45" s="11"/>
      <c r="V45" s="11"/>
      <c r="W45" s="11" t="s">
        <v>83</v>
      </c>
      <c r="X45" s="11"/>
      <c r="Y45" s="11"/>
      <c r="Z45" s="11"/>
      <c r="AA45" s="11"/>
      <c r="AB45" s="11" t="s">
        <v>84</v>
      </c>
      <c r="AC45" s="11"/>
      <c r="AD45" s="11"/>
      <c r="AE45" s="11"/>
      <c r="AF45" s="11"/>
    </row>
    <row r="46" customFormat="false" ht="17.25" hidden="false" customHeight="true" outlineLevel="0" collapsed="false">
      <c r="B46" s="35"/>
      <c r="C46" s="35"/>
      <c r="D46" s="35"/>
      <c r="E46" s="36" t="s">
        <v>85</v>
      </c>
      <c r="F46" s="36"/>
      <c r="G46" s="36"/>
      <c r="H46" s="36"/>
      <c r="I46" s="36"/>
      <c r="J46" s="36"/>
      <c r="K46" s="36"/>
      <c r="L46" s="36"/>
      <c r="M46" s="36"/>
      <c r="N46" s="36"/>
      <c r="O46" s="36"/>
      <c r="P46" s="36"/>
      <c r="Q46" s="36"/>
    </row>
    <row r="47" customFormat="false" ht="17.25" hidden="false" customHeight="true" outlineLevel="0" collapsed="false">
      <c r="B47" s="35"/>
      <c r="C47" s="35"/>
      <c r="D47" s="35"/>
      <c r="E47" s="29" t="s">
        <v>226</v>
      </c>
      <c r="F47" s="29"/>
      <c r="G47" s="29"/>
      <c r="H47" s="29"/>
      <c r="I47" s="29"/>
      <c r="J47" s="29"/>
      <c r="K47" s="29"/>
      <c r="L47" s="29"/>
      <c r="M47" s="29"/>
      <c r="N47" s="29"/>
      <c r="O47" s="29"/>
      <c r="P47" s="29"/>
      <c r="Q47" s="29"/>
      <c r="R47" s="39"/>
      <c r="S47" s="39"/>
      <c r="T47" s="39"/>
      <c r="U47" s="39"/>
      <c r="V47" s="40" t="str">
        <f aca="false">IF(R47="","",IFERROR(IF(ABS(ABS(R47)-ABS('Q10.13 Ans'!R47))&lt;0.5,"✓","✗"),"✗"))</f>
        <v/>
      </c>
      <c r="W47" s="39"/>
      <c r="X47" s="39"/>
      <c r="Y47" s="39"/>
      <c r="Z47" s="39"/>
      <c r="AA47" s="40" t="str">
        <f aca="false">IF(W47="","",IFERROR(IF(ABS(ABS(W47)-ABS('Q10.13 Ans'!W47))&lt;0.5,"✓","✗"),"✗"))</f>
        <v/>
      </c>
      <c r="AB47" s="39"/>
      <c r="AC47" s="39"/>
      <c r="AD47" s="39"/>
      <c r="AE47" s="39"/>
      <c r="AF47" s="40" t="str">
        <f aca="false">IF(AB47="","",IFERROR(IF(ABS(ABS(AB47)-ABS('Q10.13 Ans'!AB47))&lt;0.5,"✓","✗"),"✗"))</f>
        <v/>
      </c>
    </row>
    <row r="49" customFormat="false" ht="18.75" hidden="false" customHeight="true" outlineLevel="0" collapsed="false">
      <c r="B49" s="3" t="s">
        <v>227</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7.25" hidden="false" customHeight="true" outlineLevel="0" collapsed="false">
      <c r="B50" s="19" t="s">
        <v>228</v>
      </c>
      <c r="C50" s="19"/>
      <c r="D50" s="19"/>
      <c r="E50" s="19"/>
      <c r="F50" s="19"/>
      <c r="G50" s="19"/>
      <c r="H50" s="19"/>
      <c r="I50" s="19"/>
      <c r="J50" s="19"/>
      <c r="K50" s="19"/>
      <c r="L50" s="19"/>
      <c r="M50" s="19"/>
      <c r="N50" s="19"/>
      <c r="O50" s="19"/>
      <c r="P50" s="19"/>
      <c r="Q50" s="19"/>
      <c r="R50" s="19"/>
      <c r="S50" s="19"/>
      <c r="T50" s="42"/>
      <c r="U50" s="42"/>
      <c r="V50" s="42"/>
      <c r="W50" s="42"/>
      <c r="X50" s="42"/>
      <c r="Y50" s="42"/>
      <c r="Z50" s="42"/>
      <c r="AA50" s="42"/>
      <c r="AB50" s="42"/>
      <c r="AC50" s="43" t="str">
        <f aca="false">IF(T50="","",IF(LOWER(TRIM(T50))=LOWER('Q10.13 Ans'!T50),"✓","✗"))</f>
        <v/>
      </c>
    </row>
    <row r="51" customFormat="false" ht="16.5" hidden="false" customHeight="true" outlineLevel="0" collapsed="false">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row>
    <row r="52" customFormat="false" ht="16.5" hidden="false" customHeight="true" outlineLevel="0" collapsed="false">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row>
    <row r="53" customFormat="false" ht="16.5" hidden="false" customHeight="true" outlineLevel="0" collapsed="false">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row>
    <row r="54" customFormat="false" ht="16.5" hidden="false" customHeight="true" outlineLevel="0" collapsed="false">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row>
  </sheetData>
  <mergeCells count="118">
    <mergeCell ref="B1:AF1"/>
    <mergeCell ref="B2:AF2"/>
    <mergeCell ref="B3:G3"/>
    <mergeCell ref="H3:AF3"/>
    <mergeCell ref="B5:AF5"/>
    <mergeCell ref="C6:AF6"/>
    <mergeCell ref="C7:AF7"/>
    <mergeCell ref="C8:AF8"/>
    <mergeCell ref="B9:W9"/>
    <mergeCell ref="X9:AC9"/>
    <mergeCell ref="B10:W10"/>
    <mergeCell ref="X10:AC10"/>
    <mergeCell ref="B11:W11"/>
    <mergeCell ref="X11:AC11"/>
    <mergeCell ref="B12:W12"/>
    <mergeCell ref="X12:AC12"/>
    <mergeCell ref="B13:W13"/>
    <mergeCell ref="X13:AC13"/>
    <mergeCell ref="B16:AF16"/>
    <mergeCell ref="B17:W17"/>
    <mergeCell ref="X17:AB17"/>
    <mergeCell ref="B18:W18"/>
    <mergeCell ref="X18:AB18"/>
    <mergeCell ref="B19:W19"/>
    <mergeCell ref="X19:AB19"/>
    <mergeCell ref="B21:AF21"/>
    <mergeCell ref="B22:D22"/>
    <mergeCell ref="E22:AC22"/>
    <mergeCell ref="AD22:AF22"/>
    <mergeCell ref="B23:D23"/>
    <mergeCell ref="E23:K23"/>
    <mergeCell ref="M23:P23"/>
    <mergeCell ref="R23:T23"/>
    <mergeCell ref="U23:AA23"/>
    <mergeCell ref="AC23:AF23"/>
    <mergeCell ref="B24:D24"/>
    <mergeCell ref="E24:K24"/>
    <mergeCell ref="M24:O24"/>
    <mergeCell ref="R24:T24"/>
    <mergeCell ref="U24:AA24"/>
    <mergeCell ref="AC24:AE24"/>
    <mergeCell ref="M25:O25"/>
    <mergeCell ref="AC25:AE25"/>
    <mergeCell ref="R26:T26"/>
    <mergeCell ref="U26:AA26"/>
    <mergeCell ref="AC26:AE26"/>
    <mergeCell ref="B27:D27"/>
    <mergeCell ref="E27:K27"/>
    <mergeCell ref="M27:O27"/>
    <mergeCell ref="R27:T27"/>
    <mergeCell ref="U27:AA27"/>
    <mergeCell ref="AC27:AE27"/>
    <mergeCell ref="M28:O28"/>
    <mergeCell ref="AC28:AE28"/>
    <mergeCell ref="B29:D29"/>
    <mergeCell ref="E29:K29"/>
    <mergeCell ref="M29:O29"/>
    <mergeCell ref="R29:T29"/>
    <mergeCell ref="U29:AA29"/>
    <mergeCell ref="AC29:AE29"/>
    <mergeCell ref="B30:D30"/>
    <mergeCell ref="E30:K30"/>
    <mergeCell ref="M30:O30"/>
    <mergeCell ref="R30:T30"/>
    <mergeCell ref="U30:AA30"/>
    <mergeCell ref="AC30:AE30"/>
    <mergeCell ref="M31:O31"/>
    <mergeCell ref="AC31:AE31"/>
    <mergeCell ref="R32:T32"/>
    <mergeCell ref="U32:AA32"/>
    <mergeCell ref="AC32:AE32"/>
    <mergeCell ref="B34:AF34"/>
    <mergeCell ref="B35:D35"/>
    <mergeCell ref="E35:AC35"/>
    <mergeCell ref="AD35:AF35"/>
    <mergeCell ref="B36:D36"/>
    <mergeCell ref="E36:K36"/>
    <mergeCell ref="M36:P36"/>
    <mergeCell ref="R36:T36"/>
    <mergeCell ref="U36:AA36"/>
    <mergeCell ref="AC36:AF36"/>
    <mergeCell ref="B37:D37"/>
    <mergeCell ref="E37:K37"/>
    <mergeCell ref="M37:O37"/>
    <mergeCell ref="R37:T37"/>
    <mergeCell ref="U37:AA37"/>
    <mergeCell ref="AC37:AE37"/>
    <mergeCell ref="R38:T38"/>
    <mergeCell ref="U38:AA38"/>
    <mergeCell ref="AC38:AE38"/>
    <mergeCell ref="R39:T39"/>
    <mergeCell ref="U39:AA39"/>
    <mergeCell ref="AC39:AE39"/>
    <mergeCell ref="M40:O40"/>
    <mergeCell ref="AC40:AE40"/>
    <mergeCell ref="B42:AF42"/>
    <mergeCell ref="B43:AF43"/>
    <mergeCell ref="B44:D44"/>
    <mergeCell ref="E44:Q44"/>
    <mergeCell ref="R44:V44"/>
    <mergeCell ref="W44:AA44"/>
    <mergeCell ref="AB44:AF44"/>
    <mergeCell ref="B45:D45"/>
    <mergeCell ref="E45:Q45"/>
    <mergeCell ref="R45:V45"/>
    <mergeCell ref="W45:AA45"/>
    <mergeCell ref="AB45:AF45"/>
    <mergeCell ref="B46:D46"/>
    <mergeCell ref="E46:Q46"/>
    <mergeCell ref="B47:D47"/>
    <mergeCell ref="E47:Q47"/>
    <mergeCell ref="R47:U47"/>
    <mergeCell ref="W47:Z47"/>
    <mergeCell ref="AB47:AE47"/>
    <mergeCell ref="B49:AF49"/>
    <mergeCell ref="B50:S50"/>
    <mergeCell ref="T50:AB50"/>
    <mergeCell ref="B51:AF54"/>
  </mergeCells>
  <conditionalFormatting sqref="B4:AG55">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1">
    <dataValidation allowBlank="true" errorStyle="stop" operator="between" showDropDown="false" showErrorMessage="false" showInputMessage="false" sqref="T50" type="list">
      <formula1>"Business entity,Duality,Money measurement,Historical cost,Going concern,Realisation,Accruals,Consistency,Prudence,Materiality"</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2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229</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230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231</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30" hidden="false" customHeight="true" outlineLevel="0" collapsed="false">
      <c r="B5" s="4" t="s">
        <v>130</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131</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113</v>
      </c>
      <c r="C7" s="12"/>
      <c r="D7" s="12"/>
      <c r="E7" s="12"/>
      <c r="F7" s="12"/>
      <c r="G7" s="12"/>
      <c r="H7" s="12"/>
      <c r="I7" s="12"/>
      <c r="J7" s="12"/>
      <c r="K7" s="12"/>
      <c r="L7" s="12"/>
      <c r="M7" s="12"/>
      <c r="N7" s="12"/>
      <c r="O7" s="12"/>
      <c r="P7" s="12"/>
      <c r="Q7" s="12"/>
      <c r="R7" s="12"/>
      <c r="S7" s="12"/>
      <c r="T7" s="12"/>
      <c r="U7" s="12"/>
      <c r="V7" s="12"/>
      <c r="W7" s="12"/>
      <c r="X7" s="49" t="n">
        <f aca="false">'Q10.9'!X7</f>
        <v>18000</v>
      </c>
      <c r="Y7" s="49"/>
      <c r="Z7" s="49"/>
      <c r="AA7" s="49"/>
      <c r="AB7" s="49"/>
      <c r="AC7" s="49"/>
    </row>
    <row r="8" customFormat="false" ht="16.5" hidden="false" customHeight="true" outlineLevel="0" collapsed="false">
      <c r="B8" s="12" t="s">
        <v>43</v>
      </c>
      <c r="C8" s="12"/>
      <c r="D8" s="12"/>
      <c r="E8" s="12"/>
      <c r="F8" s="12"/>
      <c r="G8" s="12"/>
      <c r="H8" s="12"/>
      <c r="I8" s="12"/>
      <c r="J8" s="12"/>
      <c r="K8" s="12"/>
      <c r="L8" s="12"/>
      <c r="M8" s="12"/>
      <c r="N8" s="12"/>
      <c r="O8" s="12"/>
      <c r="P8" s="12"/>
      <c r="Q8" s="12"/>
      <c r="R8" s="12"/>
      <c r="S8" s="12"/>
      <c r="T8" s="12"/>
      <c r="U8" s="12"/>
      <c r="V8" s="12"/>
      <c r="W8" s="12"/>
      <c r="X8" s="49" t="n">
        <f aca="false">'Q10.9'!X8</f>
        <v>3000</v>
      </c>
      <c r="Y8" s="49"/>
      <c r="Z8" s="49"/>
      <c r="AA8" s="49"/>
      <c r="AB8" s="49"/>
      <c r="AC8" s="49"/>
    </row>
    <row r="9" customFormat="false" ht="16.5" hidden="false" customHeight="true" outlineLevel="0" collapsed="false">
      <c r="B9" s="12" t="s">
        <v>132</v>
      </c>
      <c r="C9" s="12"/>
      <c r="D9" s="12"/>
      <c r="E9" s="12"/>
      <c r="F9" s="12"/>
      <c r="G9" s="12"/>
      <c r="H9" s="12"/>
      <c r="I9" s="12"/>
      <c r="J9" s="12"/>
      <c r="K9" s="12"/>
      <c r="L9" s="12"/>
      <c r="M9" s="12"/>
      <c r="N9" s="12"/>
      <c r="O9" s="12"/>
      <c r="P9" s="12"/>
      <c r="Q9" s="12"/>
      <c r="R9" s="12"/>
      <c r="S9" s="12"/>
      <c r="T9" s="12"/>
      <c r="U9" s="12"/>
      <c r="V9" s="12"/>
      <c r="W9" s="12"/>
      <c r="X9" s="50" t="n">
        <f aca="false">'Q10.9'!X9</f>
        <v>5</v>
      </c>
      <c r="Y9" s="50"/>
      <c r="Z9" s="50"/>
      <c r="AA9" s="50"/>
      <c r="AB9" s="50"/>
      <c r="AC9" s="50"/>
    </row>
    <row r="12" customFormat="false" ht="18.75" hidden="false" customHeight="true" outlineLevel="0" collapsed="false">
      <c r="B12" s="3" t="s">
        <v>133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7.25" hidden="false" customHeight="true" outlineLevel="0" collapsed="false">
      <c r="B13" s="19" t="s">
        <v>45</v>
      </c>
      <c r="C13" s="19"/>
      <c r="D13" s="19"/>
      <c r="E13" s="19"/>
      <c r="F13" s="19"/>
      <c r="G13" s="19"/>
      <c r="H13" s="19"/>
      <c r="I13" s="19"/>
      <c r="J13" s="19"/>
      <c r="K13" s="19"/>
      <c r="L13" s="19"/>
      <c r="M13" s="19"/>
      <c r="N13" s="19"/>
      <c r="O13" s="19"/>
      <c r="P13" s="19"/>
      <c r="Q13" s="19"/>
      <c r="R13" s="19"/>
      <c r="S13" s="19"/>
      <c r="T13" s="19"/>
      <c r="U13" s="19"/>
      <c r="V13" s="19"/>
      <c r="W13" s="19"/>
      <c r="X13" s="51" t="n">
        <f aca="false">($X$7-$X$8)/$X$9</f>
        <v>3000</v>
      </c>
      <c r="Y13" s="51"/>
      <c r="Z13" s="51"/>
      <c r="AA13" s="51"/>
      <c r="AB13" s="51"/>
    </row>
    <row r="15" customFormat="false" ht="18.75" hidden="false" customHeight="true" outlineLevel="0" collapsed="false">
      <c r="B15" s="3" t="s">
        <v>134</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7.25" hidden="false" customHeight="true" outlineLevel="0" collapsed="false">
      <c r="B16" s="10" t="s">
        <v>46</v>
      </c>
      <c r="C16" s="10"/>
      <c r="D16" s="10"/>
      <c r="E16" s="10"/>
      <c r="F16" s="10"/>
      <c r="G16" s="10"/>
      <c r="H16" s="10"/>
      <c r="I16" s="11" t="s">
        <v>91</v>
      </c>
      <c r="J16" s="11"/>
      <c r="K16" s="11"/>
      <c r="L16" s="11"/>
      <c r="M16" s="11"/>
      <c r="N16" s="11"/>
      <c r="O16" s="11"/>
      <c r="P16" s="11"/>
      <c r="Q16" s="11" t="s">
        <v>48</v>
      </c>
      <c r="R16" s="11"/>
      <c r="S16" s="11"/>
      <c r="T16" s="11"/>
      <c r="U16" s="11"/>
      <c r="V16" s="11"/>
      <c r="W16" s="11"/>
      <c r="X16" s="11"/>
      <c r="Y16" s="11" t="s">
        <v>135</v>
      </c>
      <c r="Z16" s="11"/>
      <c r="AA16" s="11"/>
      <c r="AB16" s="11"/>
      <c r="AC16" s="11"/>
      <c r="AD16" s="11"/>
      <c r="AE16" s="11"/>
      <c r="AF16" s="11"/>
    </row>
    <row r="17" customFormat="false" ht="17.25" hidden="false" customHeight="true" outlineLevel="0" collapsed="false">
      <c r="B17" s="12" t="s">
        <v>136</v>
      </c>
      <c r="C17" s="12"/>
      <c r="D17" s="12"/>
      <c r="E17" s="12"/>
      <c r="F17" s="12"/>
      <c r="G17" s="12"/>
      <c r="H17" s="12"/>
      <c r="I17" s="51" t="n">
        <f aca="false">$X$13</f>
        <v>3000</v>
      </c>
      <c r="J17" s="51"/>
      <c r="K17" s="51"/>
      <c r="L17" s="51"/>
      <c r="M17" s="51"/>
      <c r="N17" s="51"/>
      <c r="O17" s="51"/>
      <c r="P17" s="44"/>
      <c r="Q17" s="51" t="n">
        <f aca="false">$X$13</f>
        <v>3000</v>
      </c>
      <c r="R17" s="51"/>
      <c r="S17" s="51"/>
      <c r="T17" s="51"/>
      <c r="U17" s="51"/>
      <c r="V17" s="51"/>
      <c r="W17" s="51"/>
      <c r="X17" s="44"/>
      <c r="Y17" s="51" t="n">
        <f aca="false">$X$7-$X$13</f>
        <v>15000</v>
      </c>
      <c r="Z17" s="51"/>
      <c r="AA17" s="51"/>
      <c r="AB17" s="51"/>
      <c r="AC17" s="51"/>
      <c r="AD17" s="51"/>
      <c r="AE17" s="51"/>
      <c r="AF17" s="44"/>
    </row>
    <row r="18" customFormat="false" ht="17.25" hidden="false" customHeight="true" outlineLevel="0" collapsed="false">
      <c r="B18" s="12" t="s">
        <v>137</v>
      </c>
      <c r="C18" s="12"/>
      <c r="D18" s="12"/>
      <c r="E18" s="12"/>
      <c r="F18" s="12"/>
      <c r="G18" s="12"/>
      <c r="H18" s="12"/>
      <c r="I18" s="51" t="n">
        <f aca="false">$X$13</f>
        <v>3000</v>
      </c>
      <c r="J18" s="51"/>
      <c r="K18" s="51"/>
      <c r="L18" s="51"/>
      <c r="M18" s="51"/>
      <c r="N18" s="51"/>
      <c r="O18" s="51"/>
      <c r="P18" s="44"/>
      <c r="Q18" s="51" t="n">
        <f aca="false">2*$X$13</f>
        <v>6000</v>
      </c>
      <c r="R18" s="51"/>
      <c r="S18" s="51"/>
      <c r="T18" s="51"/>
      <c r="U18" s="51"/>
      <c r="V18" s="51"/>
      <c r="W18" s="51"/>
      <c r="X18" s="44"/>
      <c r="Y18" s="51" t="n">
        <f aca="false">$X$7-2*$X$13</f>
        <v>12000</v>
      </c>
      <c r="Z18" s="51"/>
      <c r="AA18" s="51"/>
      <c r="AB18" s="51"/>
      <c r="AC18" s="51"/>
      <c r="AD18" s="51"/>
      <c r="AE18" s="51"/>
      <c r="AF18" s="44"/>
    </row>
    <row r="20" customFormat="false" ht="18.75" hidden="false" customHeight="true" outlineLevel="0" collapsed="false">
      <c r="B20" s="3" t="s">
        <v>138</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false" outlineLevel="0" collapsed="false">
      <c r="B21" s="22" t="s">
        <v>139</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customFormat="false" ht="15" hidden="false" customHeight="false" outlineLevel="0" collapsed="false">
      <c r="B22" s="34"/>
      <c r="C22" s="34"/>
      <c r="D22" s="34"/>
      <c r="E22" s="15" t="s">
        <v>64</v>
      </c>
      <c r="F22" s="15"/>
      <c r="G22" s="15"/>
      <c r="H22" s="15"/>
      <c r="I22" s="15"/>
      <c r="J22" s="15"/>
      <c r="K22" s="15"/>
      <c r="L22" s="15"/>
      <c r="M22" s="15"/>
      <c r="N22" s="15"/>
      <c r="O22" s="15"/>
      <c r="P22" s="15"/>
      <c r="Q22" s="15"/>
      <c r="R22" s="16" t="s">
        <v>81</v>
      </c>
      <c r="S22" s="16"/>
      <c r="T22" s="16"/>
      <c r="U22" s="16"/>
      <c r="V22" s="16"/>
      <c r="W22" s="16" t="s">
        <v>81</v>
      </c>
      <c r="X22" s="16"/>
      <c r="Y22" s="16"/>
      <c r="Z22" s="16"/>
      <c r="AA22" s="16"/>
      <c r="AB22" s="16" t="s">
        <v>81</v>
      </c>
      <c r="AC22" s="16"/>
      <c r="AD22" s="16"/>
      <c r="AE22" s="16"/>
      <c r="AF22" s="16"/>
    </row>
    <row r="23" customFormat="false" ht="30" hidden="false" customHeight="true" outlineLevel="0" collapsed="false">
      <c r="B23" s="34"/>
      <c r="C23" s="34"/>
      <c r="D23" s="34"/>
      <c r="E23" s="34"/>
      <c r="F23" s="34"/>
      <c r="G23" s="34"/>
      <c r="H23" s="34"/>
      <c r="I23" s="34"/>
      <c r="J23" s="34"/>
      <c r="K23" s="34"/>
      <c r="L23" s="34"/>
      <c r="M23" s="34"/>
      <c r="N23" s="34"/>
      <c r="O23" s="34"/>
      <c r="P23" s="34"/>
      <c r="Q23" s="34"/>
      <c r="R23" s="11" t="s">
        <v>82</v>
      </c>
      <c r="S23" s="11"/>
      <c r="T23" s="11"/>
      <c r="U23" s="11"/>
      <c r="V23" s="11"/>
      <c r="W23" s="11" t="s">
        <v>83</v>
      </c>
      <c r="X23" s="11"/>
      <c r="Y23" s="11"/>
      <c r="Z23" s="11"/>
      <c r="AA23" s="11"/>
      <c r="AB23" s="11" t="s">
        <v>84</v>
      </c>
      <c r="AC23" s="11"/>
      <c r="AD23" s="11"/>
      <c r="AE23" s="11"/>
      <c r="AF23" s="11"/>
    </row>
    <row r="24" customFormat="false" ht="17.25" hidden="false" customHeight="true" outlineLevel="0" collapsed="false">
      <c r="B24" s="35"/>
      <c r="C24" s="35"/>
      <c r="D24" s="35"/>
      <c r="E24" s="36" t="s">
        <v>85</v>
      </c>
      <c r="F24" s="36"/>
      <c r="G24" s="36"/>
      <c r="H24" s="36"/>
      <c r="I24" s="36"/>
      <c r="J24" s="36"/>
      <c r="K24" s="36"/>
      <c r="L24" s="36"/>
      <c r="M24" s="36"/>
      <c r="N24" s="36"/>
      <c r="O24" s="36"/>
      <c r="P24" s="36"/>
      <c r="Q24" s="36"/>
    </row>
    <row r="25" customFormat="false" ht="17.25" hidden="false" customHeight="true" outlineLevel="0" collapsed="false">
      <c r="B25" s="35"/>
      <c r="C25" s="35"/>
      <c r="D25" s="35"/>
      <c r="E25" s="29" t="s">
        <v>140</v>
      </c>
      <c r="F25" s="29"/>
      <c r="G25" s="29"/>
      <c r="H25" s="29"/>
      <c r="I25" s="29"/>
      <c r="J25" s="29"/>
      <c r="K25" s="29"/>
      <c r="L25" s="29"/>
      <c r="M25" s="29"/>
      <c r="N25" s="29"/>
      <c r="O25" s="29"/>
      <c r="P25" s="29"/>
      <c r="Q25" s="29"/>
      <c r="R25" s="51" t="n">
        <f aca="false">$X$7</f>
        <v>18000</v>
      </c>
      <c r="S25" s="51"/>
      <c r="T25" s="51"/>
      <c r="U25" s="51"/>
      <c r="W25" s="51" t="n">
        <f aca="false">2*$X$13</f>
        <v>6000</v>
      </c>
      <c r="X25" s="51"/>
      <c r="Y25" s="51"/>
      <c r="Z25" s="51"/>
      <c r="AB25" s="51" t="n">
        <f aca="false">$X$7-2*$X$13</f>
        <v>12000</v>
      </c>
      <c r="AC25" s="51"/>
      <c r="AD25" s="51"/>
      <c r="AE25" s="51"/>
    </row>
    <row r="27" customFormat="false" ht="18.75" hidden="false" customHeight="true" outlineLevel="0" collapsed="false">
      <c r="B27" s="3" t="s">
        <v>141</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7.25" hidden="false" customHeight="true" outlineLevel="0" collapsed="false">
      <c r="B28" s="19" t="s">
        <v>142</v>
      </c>
      <c r="C28" s="19"/>
      <c r="D28" s="19"/>
      <c r="E28" s="19"/>
      <c r="F28" s="19"/>
      <c r="G28" s="19"/>
      <c r="H28" s="19"/>
      <c r="I28" s="19"/>
      <c r="J28" s="19"/>
      <c r="K28" s="19"/>
      <c r="L28" s="19"/>
      <c r="M28" s="19"/>
      <c r="N28" s="19"/>
      <c r="O28" s="19"/>
      <c r="P28" s="19"/>
      <c r="Q28" s="19"/>
      <c r="R28" s="19"/>
      <c r="S28" s="19"/>
      <c r="T28" s="52" t="str">
        <f aca="false">"Wear and tear"</f>
        <v>Wear and tear</v>
      </c>
      <c r="U28" s="52"/>
      <c r="V28" s="52"/>
      <c r="W28" s="52"/>
      <c r="X28" s="52"/>
      <c r="Y28" s="52"/>
      <c r="Z28" s="52"/>
      <c r="AA28" s="52"/>
      <c r="AB28" s="52"/>
    </row>
  </sheetData>
  <mergeCells count="50">
    <mergeCell ref="B1:AF1"/>
    <mergeCell ref="B2:AF2"/>
    <mergeCell ref="B3:AF3"/>
    <mergeCell ref="B5:AF5"/>
    <mergeCell ref="B6:W6"/>
    <mergeCell ref="X6:AC6"/>
    <mergeCell ref="B7:W7"/>
    <mergeCell ref="X7:AC7"/>
    <mergeCell ref="B8:W8"/>
    <mergeCell ref="X8:AC8"/>
    <mergeCell ref="B9:W9"/>
    <mergeCell ref="X9:AC9"/>
    <mergeCell ref="B12:AF12"/>
    <mergeCell ref="B13:W13"/>
    <mergeCell ref="X13:AB13"/>
    <mergeCell ref="B15:AF15"/>
    <mergeCell ref="B16:H16"/>
    <mergeCell ref="I16:P16"/>
    <mergeCell ref="Q16:X16"/>
    <mergeCell ref="Y16:AF16"/>
    <mergeCell ref="B17:H17"/>
    <mergeCell ref="I17:O17"/>
    <mergeCell ref="Q17:W17"/>
    <mergeCell ref="Y17:AE17"/>
    <mergeCell ref="B18:H18"/>
    <mergeCell ref="I18:O18"/>
    <mergeCell ref="Q18:W18"/>
    <mergeCell ref="Y18:AE18"/>
    <mergeCell ref="B20:AF20"/>
    <mergeCell ref="B21:AF21"/>
    <mergeCell ref="B22:D22"/>
    <mergeCell ref="E22:Q22"/>
    <mergeCell ref="R22:V22"/>
    <mergeCell ref="W22:AA22"/>
    <mergeCell ref="AB22:AF22"/>
    <mergeCell ref="B23:D23"/>
    <mergeCell ref="E23:Q23"/>
    <mergeCell ref="R23:V23"/>
    <mergeCell ref="W23:AA23"/>
    <mergeCell ref="AB23:AF23"/>
    <mergeCell ref="B24:D24"/>
    <mergeCell ref="E24:Q24"/>
    <mergeCell ref="B25:D25"/>
    <mergeCell ref="E25:Q25"/>
    <mergeCell ref="R25:U25"/>
    <mergeCell ref="W25:Z25"/>
    <mergeCell ref="AB25:AE25"/>
    <mergeCell ref="B27:AF27"/>
    <mergeCell ref="B28:S28"/>
    <mergeCell ref="T28:AB28"/>
  </mergeCells>
  <conditionalFormatting sqref="B1:AG29">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2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232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230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231</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16.5" hidden="false" customHeight="true" outlineLevel="0" collapsed="false">
      <c r="B5" s="4" t="s">
        <v>144</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131</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145</v>
      </c>
      <c r="C7" s="12"/>
      <c r="D7" s="12"/>
      <c r="E7" s="12"/>
      <c r="F7" s="12"/>
      <c r="G7" s="12"/>
      <c r="H7" s="12"/>
      <c r="I7" s="12"/>
      <c r="J7" s="12"/>
      <c r="K7" s="12"/>
      <c r="L7" s="12"/>
      <c r="M7" s="12"/>
      <c r="N7" s="12"/>
      <c r="O7" s="12"/>
      <c r="P7" s="12"/>
      <c r="Q7" s="12"/>
      <c r="R7" s="12"/>
      <c r="S7" s="12"/>
      <c r="T7" s="12"/>
      <c r="U7" s="12"/>
      <c r="V7" s="12"/>
      <c r="W7" s="12"/>
      <c r="X7" s="49" t="n">
        <f aca="false">'Q10.10'!X7</f>
        <v>22000</v>
      </c>
      <c r="Y7" s="49"/>
      <c r="Z7" s="49"/>
      <c r="AA7" s="49"/>
      <c r="AB7" s="49"/>
      <c r="AC7" s="49"/>
    </row>
    <row r="8" customFormat="false" ht="16.5" hidden="false" customHeight="true" outlineLevel="0" collapsed="false">
      <c r="B8" s="12" t="s">
        <v>146</v>
      </c>
      <c r="C8" s="12"/>
      <c r="D8" s="12"/>
      <c r="E8" s="12"/>
      <c r="F8" s="12"/>
      <c r="G8" s="12"/>
      <c r="H8" s="12"/>
      <c r="I8" s="12"/>
      <c r="J8" s="12"/>
      <c r="K8" s="12"/>
      <c r="L8" s="12"/>
      <c r="M8" s="12"/>
      <c r="N8" s="12"/>
      <c r="O8" s="12"/>
      <c r="P8" s="12"/>
      <c r="Q8" s="12"/>
      <c r="R8" s="12"/>
      <c r="S8" s="12"/>
      <c r="T8" s="12"/>
      <c r="U8" s="12"/>
      <c r="V8" s="12"/>
      <c r="W8" s="12"/>
      <c r="X8" s="49" t="n">
        <f aca="false">'Q10.10'!X8</f>
        <v>600</v>
      </c>
      <c r="Y8" s="49"/>
      <c r="Z8" s="49"/>
      <c r="AA8" s="49"/>
      <c r="AB8" s="49"/>
      <c r="AC8" s="49"/>
    </row>
    <row r="9" customFormat="false" ht="16.5" hidden="false" customHeight="true" outlineLevel="0" collapsed="false">
      <c r="B9" s="12" t="s">
        <v>147</v>
      </c>
      <c r="C9" s="12"/>
      <c r="D9" s="12"/>
      <c r="E9" s="12"/>
      <c r="F9" s="12"/>
      <c r="G9" s="12"/>
      <c r="H9" s="12"/>
      <c r="I9" s="12"/>
      <c r="J9" s="12"/>
      <c r="K9" s="12"/>
      <c r="L9" s="12"/>
      <c r="M9" s="12"/>
      <c r="N9" s="12"/>
      <c r="O9" s="12"/>
      <c r="P9" s="12"/>
      <c r="Q9" s="12"/>
      <c r="R9" s="12"/>
      <c r="S9" s="12"/>
      <c r="T9" s="12"/>
      <c r="U9" s="12"/>
      <c r="V9" s="12"/>
      <c r="W9" s="12"/>
      <c r="X9" s="49" t="n">
        <f aca="false">'Q10.10'!X9</f>
        <v>900</v>
      </c>
      <c r="Y9" s="49"/>
      <c r="Z9" s="49"/>
      <c r="AA9" s="49"/>
      <c r="AB9" s="49"/>
      <c r="AC9" s="49"/>
    </row>
    <row r="10" customFormat="false" ht="16.5" hidden="false" customHeight="true" outlineLevel="0" collapsed="false">
      <c r="B10" s="12" t="s">
        <v>148</v>
      </c>
      <c r="C10" s="12"/>
      <c r="D10" s="12"/>
      <c r="E10" s="12"/>
      <c r="F10" s="12"/>
      <c r="G10" s="12"/>
      <c r="H10" s="12"/>
      <c r="I10" s="12"/>
      <c r="J10" s="12"/>
      <c r="K10" s="12"/>
      <c r="L10" s="12"/>
      <c r="M10" s="12"/>
      <c r="N10" s="12"/>
      <c r="O10" s="12"/>
      <c r="P10" s="12"/>
      <c r="Q10" s="12"/>
      <c r="R10" s="12"/>
      <c r="S10" s="12"/>
      <c r="T10" s="12"/>
      <c r="U10" s="12"/>
      <c r="V10" s="12"/>
      <c r="W10" s="12"/>
      <c r="X10" s="49" t="n">
        <f aca="false">'Q10.10'!X10</f>
        <v>400</v>
      </c>
      <c r="Y10" s="49"/>
      <c r="Z10" s="49"/>
      <c r="AA10" s="49"/>
      <c r="AB10" s="49"/>
      <c r="AC10" s="49"/>
    </row>
    <row r="11" customFormat="false" ht="16.5" hidden="false" customHeight="true" outlineLevel="0" collapsed="false">
      <c r="B11" s="12" t="s">
        <v>149</v>
      </c>
      <c r="C11" s="12"/>
      <c r="D11" s="12"/>
      <c r="E11" s="12"/>
      <c r="F11" s="12"/>
      <c r="G11" s="12"/>
      <c r="H11" s="12"/>
      <c r="I11" s="12"/>
      <c r="J11" s="12"/>
      <c r="K11" s="12"/>
      <c r="L11" s="12"/>
      <c r="M11" s="12"/>
      <c r="N11" s="12"/>
      <c r="O11" s="12"/>
      <c r="P11" s="12"/>
      <c r="Q11" s="12"/>
      <c r="R11" s="12"/>
      <c r="S11" s="12"/>
      <c r="T11" s="12"/>
      <c r="U11" s="12"/>
      <c r="V11" s="12"/>
      <c r="W11" s="12"/>
      <c r="X11" s="49" t="n">
        <f aca="false">'Q10.10'!X11</f>
        <v>250</v>
      </c>
      <c r="Y11" s="49"/>
      <c r="Z11" s="49"/>
      <c r="AA11" s="49"/>
      <c r="AB11" s="49"/>
      <c r="AC11" s="49"/>
    </row>
    <row r="14" customFormat="false" ht="18.75" hidden="false" customHeight="true" outlineLevel="0" collapsed="false">
      <c r="B14" s="3" t="s">
        <v>150</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7.25" hidden="false" customHeight="true" outlineLevel="0" collapsed="false">
      <c r="B15" s="19" t="s">
        <v>151</v>
      </c>
      <c r="C15" s="19"/>
      <c r="D15" s="19"/>
      <c r="E15" s="19"/>
      <c r="F15" s="19"/>
      <c r="G15" s="19"/>
      <c r="H15" s="19"/>
      <c r="I15" s="19"/>
      <c r="J15" s="19"/>
      <c r="K15" s="19"/>
      <c r="L15" s="19"/>
      <c r="M15" s="19"/>
      <c r="N15" s="19"/>
      <c r="O15" s="19"/>
      <c r="P15" s="19"/>
      <c r="Q15" s="19"/>
      <c r="R15" s="19"/>
      <c r="S15" s="19"/>
      <c r="T15" s="19"/>
      <c r="U15" s="19"/>
      <c r="V15" s="19"/>
      <c r="W15" s="19"/>
      <c r="X15" s="51" t="n">
        <f aca="false">$X$7+$X$8+$X$9</f>
        <v>23500</v>
      </c>
      <c r="Y15" s="51"/>
      <c r="Z15" s="51"/>
      <c r="AA15" s="51"/>
      <c r="AB15" s="51"/>
    </row>
    <row r="17" customFormat="false" ht="18.75" hidden="false" customHeight="true" outlineLevel="0" collapsed="false">
      <c r="B17" s="3" t="s">
        <v>152</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7.25" hidden="false" customHeight="true" outlineLevel="0" collapsed="false">
      <c r="B18" s="19" t="s">
        <v>153</v>
      </c>
      <c r="C18" s="19"/>
      <c r="D18" s="19"/>
      <c r="E18" s="19"/>
      <c r="F18" s="19"/>
      <c r="G18" s="19"/>
      <c r="H18" s="19"/>
      <c r="I18" s="19"/>
      <c r="J18" s="19"/>
      <c r="K18" s="19"/>
      <c r="L18" s="19"/>
      <c r="M18" s="19"/>
      <c r="N18" s="19"/>
      <c r="O18" s="19"/>
      <c r="P18" s="19"/>
      <c r="Q18" s="19"/>
      <c r="R18" s="19"/>
      <c r="S18" s="19"/>
      <c r="T18" s="52" t="str">
        <f aca="false">"Capital expenditure"</f>
        <v>Capital expenditure</v>
      </c>
      <c r="U18" s="52"/>
      <c r="V18" s="52"/>
      <c r="W18" s="52"/>
      <c r="X18" s="52"/>
      <c r="Y18" s="52"/>
      <c r="Z18" s="52"/>
      <c r="AA18" s="52"/>
      <c r="AB18" s="52"/>
    </row>
    <row r="19" customFormat="false" ht="17.25" hidden="false" customHeight="true" outlineLevel="0" collapsed="false">
      <c r="B19" s="19" t="s">
        <v>154</v>
      </c>
      <c r="C19" s="19"/>
      <c r="D19" s="19"/>
      <c r="E19" s="19"/>
      <c r="F19" s="19"/>
      <c r="G19" s="19"/>
      <c r="H19" s="19"/>
      <c r="I19" s="19"/>
      <c r="J19" s="19"/>
      <c r="K19" s="19"/>
      <c r="L19" s="19"/>
      <c r="M19" s="19"/>
      <c r="N19" s="19"/>
      <c r="O19" s="19"/>
      <c r="P19" s="19"/>
      <c r="Q19" s="19"/>
      <c r="R19" s="19"/>
      <c r="S19" s="19"/>
      <c r="T19" s="52" t="str">
        <f aca="false">"Capital expenditure"</f>
        <v>Capital expenditure</v>
      </c>
      <c r="U19" s="52"/>
      <c r="V19" s="52"/>
      <c r="W19" s="52"/>
      <c r="X19" s="52"/>
      <c r="Y19" s="52"/>
      <c r="Z19" s="52"/>
      <c r="AA19" s="52"/>
      <c r="AB19" s="52"/>
    </row>
    <row r="20" customFormat="false" ht="17.25" hidden="false" customHeight="true" outlineLevel="0" collapsed="false">
      <c r="B20" s="19" t="s">
        <v>155</v>
      </c>
      <c r="C20" s="19"/>
      <c r="D20" s="19"/>
      <c r="E20" s="19"/>
      <c r="F20" s="19"/>
      <c r="G20" s="19"/>
      <c r="H20" s="19"/>
      <c r="I20" s="19"/>
      <c r="J20" s="19"/>
      <c r="K20" s="19"/>
      <c r="L20" s="19"/>
      <c r="M20" s="19"/>
      <c r="N20" s="19"/>
      <c r="O20" s="19"/>
      <c r="P20" s="19"/>
      <c r="Q20" s="19"/>
      <c r="R20" s="19"/>
      <c r="S20" s="19"/>
      <c r="T20" s="52" t="str">
        <f aca="false">"Capital expenditure"</f>
        <v>Capital expenditure</v>
      </c>
      <c r="U20" s="52"/>
      <c r="V20" s="52"/>
      <c r="W20" s="52"/>
      <c r="X20" s="52"/>
      <c r="Y20" s="52"/>
      <c r="Z20" s="52"/>
      <c r="AA20" s="52"/>
      <c r="AB20" s="52"/>
    </row>
    <row r="21" customFormat="false" ht="17.25" hidden="false" customHeight="true" outlineLevel="0" collapsed="false">
      <c r="B21" s="19" t="s">
        <v>156</v>
      </c>
      <c r="C21" s="19"/>
      <c r="D21" s="19"/>
      <c r="E21" s="19"/>
      <c r="F21" s="19"/>
      <c r="G21" s="19"/>
      <c r="H21" s="19"/>
      <c r="I21" s="19"/>
      <c r="J21" s="19"/>
      <c r="K21" s="19"/>
      <c r="L21" s="19"/>
      <c r="M21" s="19"/>
      <c r="N21" s="19"/>
      <c r="O21" s="19"/>
      <c r="P21" s="19"/>
      <c r="Q21" s="19"/>
      <c r="R21" s="19"/>
      <c r="S21" s="19"/>
      <c r="T21" s="52" t="str">
        <f aca="false">"Revenue expenditure"</f>
        <v>Revenue expenditure</v>
      </c>
      <c r="U21" s="52"/>
      <c r="V21" s="52"/>
      <c r="W21" s="52"/>
      <c r="X21" s="52"/>
      <c r="Y21" s="52"/>
      <c r="Z21" s="52"/>
      <c r="AA21" s="52"/>
      <c r="AB21" s="52"/>
    </row>
    <row r="22" customFormat="false" ht="17.25" hidden="false" customHeight="true" outlineLevel="0" collapsed="false">
      <c r="B22" s="19" t="s">
        <v>157</v>
      </c>
      <c r="C22" s="19"/>
      <c r="D22" s="19"/>
      <c r="E22" s="19"/>
      <c r="F22" s="19"/>
      <c r="G22" s="19"/>
      <c r="H22" s="19"/>
      <c r="I22" s="19"/>
      <c r="J22" s="19"/>
      <c r="K22" s="19"/>
      <c r="L22" s="19"/>
      <c r="M22" s="19"/>
      <c r="N22" s="19"/>
      <c r="O22" s="19"/>
      <c r="P22" s="19"/>
      <c r="Q22" s="19"/>
      <c r="R22" s="19"/>
      <c r="S22" s="19"/>
      <c r="T22" s="52" t="str">
        <f aca="false">"Revenue expenditure"</f>
        <v>Revenue expenditure</v>
      </c>
      <c r="U22" s="52"/>
      <c r="V22" s="52"/>
      <c r="W22" s="52"/>
      <c r="X22" s="52"/>
      <c r="Y22" s="52"/>
      <c r="Z22" s="52"/>
      <c r="AA22" s="52"/>
      <c r="AB22" s="52"/>
    </row>
    <row r="24" customFormat="false" ht="18.75" hidden="false" customHeight="true" outlineLevel="0" collapsed="false">
      <c r="B24" s="3" t="s">
        <v>158</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7.25" hidden="false" customHeight="true" outlineLevel="0" collapsed="false">
      <c r="B25" s="19" t="s">
        <v>159</v>
      </c>
      <c r="C25" s="19"/>
      <c r="D25" s="19"/>
      <c r="E25" s="19"/>
      <c r="F25" s="19"/>
      <c r="G25" s="19"/>
      <c r="H25" s="19"/>
      <c r="I25" s="19"/>
      <c r="J25" s="19"/>
      <c r="K25" s="19"/>
      <c r="L25" s="19"/>
      <c r="M25" s="19"/>
      <c r="N25" s="19"/>
      <c r="O25" s="19"/>
      <c r="P25" s="19"/>
      <c r="Q25" s="19"/>
      <c r="R25" s="19"/>
      <c r="S25" s="19"/>
      <c r="T25" s="19"/>
      <c r="U25" s="19"/>
      <c r="V25" s="19"/>
      <c r="W25" s="19"/>
      <c r="X25" s="51" t="n">
        <f aca="false">$X$9</f>
        <v>900</v>
      </c>
      <c r="Y25" s="51"/>
      <c r="Z25" s="51"/>
      <c r="AA25" s="51"/>
      <c r="AB25" s="51"/>
    </row>
    <row r="26" customFormat="false" ht="17.25" hidden="false" customHeight="true" outlineLevel="0" collapsed="false">
      <c r="B26" s="19" t="s">
        <v>160</v>
      </c>
      <c r="C26" s="19"/>
      <c r="D26" s="19"/>
      <c r="E26" s="19"/>
      <c r="F26" s="19"/>
      <c r="G26" s="19"/>
      <c r="H26" s="19"/>
      <c r="I26" s="19"/>
      <c r="J26" s="19"/>
      <c r="K26" s="19"/>
      <c r="L26" s="19"/>
      <c r="M26" s="19"/>
      <c r="N26" s="19"/>
      <c r="O26" s="19"/>
      <c r="P26" s="19"/>
      <c r="Q26" s="19"/>
      <c r="R26" s="19"/>
      <c r="S26" s="19"/>
      <c r="T26" s="19"/>
      <c r="U26" s="19"/>
      <c r="V26" s="19"/>
      <c r="W26" s="19"/>
      <c r="X26" s="51" t="n">
        <f aca="false">$X$9</f>
        <v>900</v>
      </c>
      <c r="Y26" s="51"/>
      <c r="Z26" s="51"/>
      <c r="AA26" s="51"/>
      <c r="AB26" s="51"/>
    </row>
  </sheetData>
  <mergeCells count="35">
    <mergeCell ref="B1:AF1"/>
    <mergeCell ref="B2:AF2"/>
    <mergeCell ref="B3:AF3"/>
    <mergeCell ref="B5:AF5"/>
    <mergeCell ref="B6:W6"/>
    <mergeCell ref="X6:AC6"/>
    <mergeCell ref="B7:W7"/>
    <mergeCell ref="X7:AC7"/>
    <mergeCell ref="B8:W8"/>
    <mergeCell ref="X8:AC8"/>
    <mergeCell ref="B9:W9"/>
    <mergeCell ref="X9:AC9"/>
    <mergeCell ref="B10:W10"/>
    <mergeCell ref="X10:AC10"/>
    <mergeCell ref="B11:W11"/>
    <mergeCell ref="X11:AC11"/>
    <mergeCell ref="B14:AF14"/>
    <mergeCell ref="B15:W15"/>
    <mergeCell ref="X15:AB15"/>
    <mergeCell ref="B17:AF17"/>
    <mergeCell ref="B18:S18"/>
    <mergeCell ref="T18:AB18"/>
    <mergeCell ref="B19:S19"/>
    <mergeCell ref="T19:AB19"/>
    <mergeCell ref="B20:S20"/>
    <mergeCell ref="T20:AB20"/>
    <mergeCell ref="B21:S21"/>
    <mergeCell ref="T21:AB21"/>
    <mergeCell ref="B22:S22"/>
    <mergeCell ref="T22:AB22"/>
    <mergeCell ref="B24:AF24"/>
    <mergeCell ref="B25:W25"/>
    <mergeCell ref="X25:AB25"/>
    <mergeCell ref="B26:W26"/>
    <mergeCell ref="X26:AB26"/>
  </mergeCells>
  <conditionalFormatting sqref="B1:AG27">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3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233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230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231</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16.5" hidden="false" customHeight="true" outlineLevel="0" collapsed="false">
      <c r="B5" s="4" t="s">
        <v>162</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C6" s="4" t="s">
        <v>163</v>
      </c>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C7" s="4" t="s">
        <v>164</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5" hidden="false" customHeight="false" outlineLevel="0" collapsed="false">
      <c r="B8" s="15" t="s">
        <v>131</v>
      </c>
      <c r="C8" s="15"/>
      <c r="D8" s="15"/>
      <c r="E8" s="15"/>
      <c r="F8" s="15"/>
      <c r="G8" s="15"/>
      <c r="H8" s="15"/>
      <c r="I8" s="15"/>
      <c r="J8" s="15"/>
      <c r="K8" s="15"/>
      <c r="L8" s="15"/>
      <c r="M8" s="15"/>
      <c r="N8" s="15"/>
      <c r="O8" s="15"/>
      <c r="P8" s="15"/>
      <c r="Q8" s="15"/>
      <c r="R8" s="15"/>
      <c r="S8" s="15"/>
      <c r="T8" s="15"/>
      <c r="U8" s="15"/>
      <c r="V8" s="15"/>
      <c r="W8" s="15"/>
      <c r="X8" s="16" t="s">
        <v>41</v>
      </c>
      <c r="Y8" s="16"/>
      <c r="Z8" s="16"/>
      <c r="AA8" s="16"/>
      <c r="AB8" s="16"/>
      <c r="AC8" s="16"/>
    </row>
    <row r="9" customFormat="false" ht="16.5" hidden="false" customHeight="true" outlineLevel="0" collapsed="false">
      <c r="B9" s="12" t="s">
        <v>42</v>
      </c>
      <c r="C9" s="12"/>
      <c r="D9" s="12"/>
      <c r="E9" s="12"/>
      <c r="F9" s="12"/>
      <c r="G9" s="12"/>
      <c r="H9" s="12"/>
      <c r="I9" s="12"/>
      <c r="J9" s="12"/>
      <c r="K9" s="12"/>
      <c r="L9" s="12"/>
      <c r="M9" s="12"/>
      <c r="N9" s="12"/>
      <c r="O9" s="12"/>
      <c r="P9" s="12"/>
      <c r="Q9" s="12"/>
      <c r="R9" s="12"/>
      <c r="S9" s="12"/>
      <c r="T9" s="12"/>
      <c r="U9" s="12"/>
      <c r="V9" s="12"/>
      <c r="W9" s="12"/>
      <c r="X9" s="49" t="n">
        <f aca="false">'Q10.11'!X9</f>
        <v>12000</v>
      </c>
      <c r="Y9" s="49"/>
      <c r="Z9" s="49"/>
      <c r="AA9" s="49"/>
      <c r="AB9" s="49"/>
      <c r="AC9" s="49"/>
    </row>
    <row r="10" customFormat="false" ht="16.5" hidden="false" customHeight="true" outlineLevel="0" collapsed="false">
      <c r="B10" s="12" t="s">
        <v>165</v>
      </c>
      <c r="C10" s="12"/>
      <c r="D10" s="12"/>
      <c r="E10" s="12"/>
      <c r="F10" s="12"/>
      <c r="G10" s="12"/>
      <c r="H10" s="12"/>
      <c r="I10" s="12"/>
      <c r="J10" s="12"/>
      <c r="K10" s="12"/>
      <c r="L10" s="12"/>
      <c r="M10" s="12"/>
      <c r="N10" s="12"/>
      <c r="O10" s="12"/>
      <c r="P10" s="12"/>
      <c r="Q10" s="12"/>
      <c r="R10" s="12"/>
      <c r="S10" s="12"/>
      <c r="T10" s="12"/>
      <c r="U10" s="12"/>
      <c r="V10" s="12"/>
      <c r="W10" s="12"/>
      <c r="X10" s="53" t="n">
        <f aca="false">'Q10.11'!X10</f>
        <v>0.1</v>
      </c>
      <c r="Y10" s="53"/>
      <c r="Z10" s="53"/>
      <c r="AA10" s="53"/>
      <c r="AB10" s="53"/>
      <c r="AC10" s="53"/>
    </row>
    <row r="11" customFormat="false" ht="16.5" hidden="false" customHeight="true" outlineLevel="0" collapsed="false">
      <c r="B11" s="12" t="s">
        <v>166</v>
      </c>
      <c r="C11" s="12"/>
      <c r="D11" s="12"/>
      <c r="E11" s="12"/>
      <c r="F11" s="12"/>
      <c r="G11" s="12"/>
      <c r="H11" s="12"/>
      <c r="I11" s="12"/>
      <c r="J11" s="12"/>
      <c r="K11" s="12"/>
      <c r="L11" s="12"/>
      <c r="M11" s="12"/>
      <c r="N11" s="12"/>
      <c r="O11" s="12"/>
      <c r="P11" s="12"/>
      <c r="Q11" s="12"/>
      <c r="R11" s="12"/>
      <c r="S11" s="12"/>
      <c r="T11" s="12"/>
      <c r="U11" s="12"/>
      <c r="V11" s="12"/>
      <c r="W11" s="12"/>
      <c r="X11" s="50" t="n">
        <f aca="false">'Q10.11'!X11</f>
        <v>9</v>
      </c>
      <c r="Y11" s="50"/>
      <c r="Z11" s="50"/>
      <c r="AA11" s="50"/>
      <c r="AB11" s="50"/>
      <c r="AC11" s="50"/>
    </row>
    <row r="12" customFormat="false" ht="16.5" hidden="false" customHeight="true" outlineLevel="0" collapsed="false">
      <c r="B12" s="12" t="s">
        <v>167</v>
      </c>
      <c r="C12" s="12"/>
      <c r="D12" s="12"/>
      <c r="E12" s="12"/>
      <c r="F12" s="12"/>
      <c r="G12" s="12"/>
      <c r="H12" s="12"/>
      <c r="I12" s="12"/>
      <c r="J12" s="12"/>
      <c r="K12" s="12"/>
      <c r="L12" s="12"/>
      <c r="M12" s="12"/>
      <c r="N12" s="12"/>
      <c r="O12" s="12"/>
      <c r="P12" s="12"/>
      <c r="Q12" s="12"/>
      <c r="R12" s="12"/>
      <c r="S12" s="12"/>
      <c r="T12" s="12"/>
      <c r="U12" s="12"/>
      <c r="V12" s="12"/>
      <c r="W12" s="12"/>
      <c r="X12" s="49" t="n">
        <f aca="false">'Q10.11'!X12</f>
        <v>2000</v>
      </c>
      <c r="Y12" s="49"/>
      <c r="Z12" s="49"/>
      <c r="AA12" s="49"/>
      <c r="AB12" s="49"/>
      <c r="AC12" s="49"/>
    </row>
    <row r="13" customFormat="false" ht="16.5" hidden="false" customHeight="true" outlineLevel="0" collapsed="false">
      <c r="B13" s="12" t="s">
        <v>168</v>
      </c>
      <c r="C13" s="12"/>
      <c r="D13" s="12"/>
      <c r="E13" s="12"/>
      <c r="F13" s="12"/>
      <c r="G13" s="12"/>
      <c r="H13" s="12"/>
      <c r="I13" s="12"/>
      <c r="J13" s="12"/>
      <c r="K13" s="12"/>
      <c r="L13" s="12"/>
      <c r="M13" s="12"/>
      <c r="N13" s="12"/>
      <c r="O13" s="12"/>
      <c r="P13" s="12"/>
      <c r="Q13" s="12"/>
      <c r="R13" s="12"/>
      <c r="S13" s="12"/>
      <c r="T13" s="12"/>
      <c r="U13" s="12"/>
      <c r="V13" s="12"/>
      <c r="W13" s="12"/>
      <c r="X13" s="49" t="n">
        <f aca="false">'Q10.11'!X13</f>
        <v>800</v>
      </c>
      <c r="Y13" s="49"/>
      <c r="Z13" s="49"/>
      <c r="AA13" s="49"/>
      <c r="AB13" s="49"/>
      <c r="AC13" s="49"/>
    </row>
    <row r="14" customFormat="false" ht="16.5" hidden="false" customHeight="true" outlineLevel="0" collapsed="false">
      <c r="B14" s="12" t="s">
        <v>169</v>
      </c>
      <c r="C14" s="12"/>
      <c r="D14" s="12"/>
      <c r="E14" s="12"/>
      <c r="F14" s="12"/>
      <c r="G14" s="12"/>
      <c r="H14" s="12"/>
      <c r="I14" s="12"/>
      <c r="J14" s="12"/>
      <c r="K14" s="12"/>
      <c r="L14" s="12"/>
      <c r="M14" s="12"/>
      <c r="N14" s="12"/>
      <c r="O14" s="12"/>
      <c r="P14" s="12"/>
      <c r="Q14" s="12"/>
      <c r="R14" s="12"/>
      <c r="S14" s="12"/>
      <c r="T14" s="12"/>
      <c r="U14" s="12"/>
      <c r="V14" s="12"/>
      <c r="W14" s="12"/>
      <c r="X14" s="49" t="n">
        <f aca="false">'Q10.11'!X14</f>
        <v>2100</v>
      </c>
      <c r="Y14" s="49"/>
      <c r="Z14" s="49"/>
      <c r="AA14" s="49"/>
      <c r="AB14" s="49"/>
      <c r="AC14" s="49"/>
    </row>
    <row r="17" customFormat="false" ht="18.75" hidden="false" customHeight="true" outlineLevel="0" collapsed="false">
      <c r="B17" s="3" t="s">
        <v>170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7.25" hidden="false" customHeight="true" outlineLevel="0" collapsed="false">
      <c r="B18" s="19" t="s">
        <v>171</v>
      </c>
      <c r="C18" s="19"/>
      <c r="D18" s="19"/>
      <c r="E18" s="19"/>
      <c r="F18" s="19"/>
      <c r="G18" s="19"/>
      <c r="H18" s="19"/>
      <c r="I18" s="19"/>
      <c r="J18" s="19"/>
      <c r="K18" s="19"/>
      <c r="L18" s="19"/>
      <c r="M18" s="19"/>
      <c r="N18" s="19"/>
      <c r="O18" s="19"/>
      <c r="P18" s="19"/>
      <c r="Q18" s="19"/>
      <c r="R18" s="19"/>
      <c r="S18" s="19"/>
      <c r="T18" s="19"/>
      <c r="U18" s="19"/>
      <c r="V18" s="19"/>
      <c r="W18" s="19"/>
      <c r="X18" s="51" t="n">
        <f aca="false">$X$9*$X$10*$X$11/12</f>
        <v>900</v>
      </c>
      <c r="Y18" s="51"/>
      <c r="Z18" s="51"/>
      <c r="AA18" s="51"/>
      <c r="AB18" s="51"/>
    </row>
    <row r="19" customFormat="false" ht="17.25" hidden="false" customHeight="true" outlineLevel="0" collapsed="false">
      <c r="B19" s="19" t="s">
        <v>172</v>
      </c>
      <c r="C19" s="19"/>
      <c r="D19" s="19"/>
      <c r="E19" s="19"/>
      <c r="F19" s="19"/>
      <c r="G19" s="19"/>
      <c r="H19" s="19"/>
      <c r="I19" s="19"/>
      <c r="J19" s="19"/>
      <c r="K19" s="19"/>
      <c r="L19" s="19"/>
      <c r="M19" s="19"/>
      <c r="N19" s="19"/>
      <c r="O19" s="19"/>
      <c r="P19" s="19"/>
      <c r="Q19" s="19"/>
      <c r="R19" s="19"/>
      <c r="S19" s="19"/>
      <c r="T19" s="19"/>
      <c r="U19" s="19"/>
      <c r="V19" s="19"/>
      <c r="W19" s="19"/>
      <c r="X19" s="51" t="n">
        <f aca="false">$X$9*$X$10</f>
        <v>1200</v>
      </c>
      <c r="Y19" s="51"/>
      <c r="Z19" s="51"/>
      <c r="AA19" s="51"/>
      <c r="AB19" s="51"/>
    </row>
    <row r="21" customFormat="false" ht="18.75" hidden="false" customHeight="true" outlineLevel="0" collapsed="false">
      <c r="B21" s="3" t="s">
        <v>173</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7.25" hidden="false" customHeight="true" outlineLevel="0" collapsed="false">
      <c r="B22" s="19" t="s">
        <v>174</v>
      </c>
      <c r="C22" s="19"/>
      <c r="D22" s="19"/>
      <c r="E22" s="19"/>
      <c r="F22" s="19"/>
      <c r="G22" s="19"/>
      <c r="H22" s="19"/>
      <c r="I22" s="19"/>
      <c r="J22" s="19"/>
      <c r="K22" s="19"/>
      <c r="L22" s="19"/>
      <c r="M22" s="19"/>
      <c r="N22" s="19"/>
      <c r="O22" s="19"/>
      <c r="P22" s="19"/>
      <c r="Q22" s="19"/>
      <c r="R22" s="19"/>
      <c r="S22" s="19"/>
      <c r="T22" s="19"/>
      <c r="U22" s="19"/>
      <c r="V22" s="19"/>
      <c r="W22" s="19"/>
      <c r="X22" s="51" t="n">
        <f aca="false">$X$9-$X$18-$X$19</f>
        <v>9900</v>
      </c>
      <c r="Y22" s="51"/>
      <c r="Z22" s="51"/>
      <c r="AA22" s="51"/>
      <c r="AB22" s="51"/>
    </row>
    <row r="24" customFormat="false" ht="18.75" hidden="false" customHeight="true" outlineLevel="0" collapsed="false">
      <c r="B24" s="3" t="s">
        <v>175</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false" outlineLevel="0" collapsed="false">
      <c r="B25" s="15" t="s">
        <v>63</v>
      </c>
      <c r="C25" s="15"/>
      <c r="D25" s="15"/>
      <c r="E25" s="15" t="s">
        <v>64</v>
      </c>
      <c r="F25" s="15"/>
      <c r="G25" s="15"/>
      <c r="H25" s="15"/>
      <c r="I25" s="15"/>
      <c r="J25" s="15"/>
      <c r="K25" s="15"/>
      <c r="L25" s="15"/>
      <c r="M25" s="15"/>
      <c r="N25" s="15"/>
      <c r="O25" s="15"/>
      <c r="P25" s="15"/>
      <c r="Q25" s="15"/>
      <c r="R25" s="15"/>
      <c r="S25" s="15"/>
      <c r="T25" s="15"/>
      <c r="U25" s="16" t="s">
        <v>176</v>
      </c>
      <c r="V25" s="16"/>
      <c r="W25" s="16"/>
      <c r="X25" s="16"/>
      <c r="Y25" s="16"/>
      <c r="Z25" s="16"/>
      <c r="AA25" s="16" t="s">
        <v>177</v>
      </c>
      <c r="AB25" s="16"/>
      <c r="AC25" s="16"/>
      <c r="AD25" s="16"/>
      <c r="AE25" s="16"/>
      <c r="AF25" s="16"/>
    </row>
    <row r="26" customFormat="false" ht="16.5" hidden="false" customHeight="true" outlineLevel="0" collapsed="false">
      <c r="B26" s="44" t="s">
        <v>178</v>
      </c>
      <c r="C26" s="44"/>
      <c r="D26" s="44"/>
      <c r="E26" s="44" t="s">
        <v>179</v>
      </c>
      <c r="F26" s="44"/>
      <c r="G26" s="44"/>
      <c r="H26" s="44"/>
      <c r="I26" s="44"/>
      <c r="J26" s="44"/>
      <c r="K26" s="44"/>
      <c r="L26" s="44"/>
      <c r="M26" s="44"/>
      <c r="N26" s="44"/>
      <c r="O26" s="44"/>
      <c r="P26" s="44"/>
      <c r="Q26" s="44"/>
      <c r="R26" s="44"/>
      <c r="S26" s="44"/>
      <c r="T26" s="44"/>
      <c r="U26" s="51" t="n">
        <f aca="false">$X$18</f>
        <v>900</v>
      </c>
      <c r="V26" s="51"/>
      <c r="W26" s="51"/>
      <c r="X26" s="51"/>
      <c r="Y26" s="51"/>
      <c r="Z26" s="44"/>
      <c r="AA26" s="44"/>
      <c r="AB26" s="44"/>
      <c r="AC26" s="44"/>
      <c r="AD26" s="44"/>
      <c r="AE26" s="44"/>
      <c r="AF26" s="44"/>
    </row>
    <row r="27" customFormat="false" ht="16.5" hidden="false" customHeight="true" outlineLevel="0" collapsed="false">
      <c r="B27" s="44"/>
      <c r="C27" s="44"/>
      <c r="D27" s="44"/>
      <c r="E27" s="45" t="s">
        <v>180</v>
      </c>
      <c r="F27" s="45"/>
      <c r="G27" s="45"/>
      <c r="H27" s="45"/>
      <c r="I27" s="45"/>
      <c r="J27" s="45"/>
      <c r="K27" s="45"/>
      <c r="L27" s="45"/>
      <c r="M27" s="45"/>
      <c r="N27" s="45"/>
      <c r="O27" s="45"/>
      <c r="P27" s="45"/>
      <c r="Q27" s="45"/>
      <c r="R27" s="45"/>
      <c r="S27" s="45"/>
      <c r="T27" s="45"/>
      <c r="U27" s="44"/>
      <c r="V27" s="44"/>
      <c r="W27" s="44"/>
      <c r="X27" s="44"/>
      <c r="Y27" s="44"/>
      <c r="Z27" s="44"/>
      <c r="AA27" s="51" t="n">
        <f aca="false">$X$18</f>
        <v>900</v>
      </c>
      <c r="AB27" s="51"/>
      <c r="AC27" s="51"/>
      <c r="AD27" s="51"/>
      <c r="AE27" s="51"/>
      <c r="AF27" s="44"/>
    </row>
    <row r="28" customFormat="false" ht="17.25" hidden="false" customHeight="true" outlineLevel="0" collapsed="false">
      <c r="B28" s="44"/>
      <c r="C28" s="44"/>
      <c r="D28" s="44"/>
      <c r="E28" s="46" t="s">
        <v>181</v>
      </c>
      <c r="F28" s="46"/>
      <c r="G28" s="46"/>
      <c r="H28" s="46"/>
      <c r="I28" s="46"/>
      <c r="J28" s="46"/>
      <c r="K28" s="46"/>
      <c r="L28" s="46"/>
      <c r="M28" s="46"/>
      <c r="N28" s="46"/>
      <c r="O28" s="46"/>
      <c r="P28" s="46"/>
      <c r="Q28" s="46"/>
      <c r="R28" s="46"/>
      <c r="S28" s="46"/>
      <c r="T28" s="46"/>
      <c r="U28" s="44"/>
      <c r="V28" s="44"/>
      <c r="W28" s="44"/>
      <c r="X28" s="44"/>
      <c r="Y28" s="44"/>
      <c r="Z28" s="44"/>
      <c r="AA28" s="44"/>
      <c r="AB28" s="44"/>
      <c r="AC28" s="44"/>
      <c r="AD28" s="44"/>
      <c r="AE28" s="44"/>
      <c r="AF28" s="44"/>
    </row>
    <row r="30" customFormat="false" ht="18.75" hidden="false" customHeight="true" outlineLevel="0" collapsed="false">
      <c r="B30" s="3" t="s">
        <v>182</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7.25" hidden="false" customHeight="true" outlineLevel="0" collapsed="false">
      <c r="B31" s="19" t="s">
        <v>183</v>
      </c>
      <c r="C31" s="19"/>
      <c r="D31" s="19"/>
      <c r="E31" s="19"/>
      <c r="F31" s="19"/>
      <c r="G31" s="19"/>
      <c r="H31" s="19"/>
      <c r="I31" s="19"/>
      <c r="J31" s="19"/>
      <c r="K31" s="19"/>
      <c r="L31" s="19"/>
      <c r="M31" s="19"/>
      <c r="N31" s="19"/>
      <c r="O31" s="19"/>
      <c r="P31" s="19"/>
      <c r="Q31" s="19"/>
      <c r="R31" s="19"/>
      <c r="S31" s="19"/>
      <c r="T31" s="19"/>
      <c r="U31" s="19"/>
      <c r="V31" s="19"/>
      <c r="W31" s="19"/>
      <c r="X31" s="51" t="n">
        <f aca="false">$X$12+$X$13-$X$14</f>
        <v>700</v>
      </c>
      <c r="Y31" s="51"/>
      <c r="Z31" s="51"/>
      <c r="AA31" s="51"/>
      <c r="AB31" s="51"/>
    </row>
    <row r="33" customFormat="false" ht="18.75" hidden="false" customHeight="true" outlineLevel="0" collapsed="false">
      <c r="B33" s="3" t="s">
        <v>184</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6.5" hidden="false" customHeight="true" outlineLevel="0" collapsed="false">
      <c r="B34" s="54" t="s">
        <v>234</v>
      </c>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row>
    <row r="35" customFormat="false" ht="16.5" hidden="false" customHeight="true" outlineLevel="0" collapsed="false">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row>
    <row r="36" customFormat="false" ht="16.5" hidden="false" customHeight="true" outlineLevel="0" collapsed="false">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row>
  </sheetData>
  <mergeCells count="50">
    <mergeCell ref="B1:AF1"/>
    <mergeCell ref="B2:AF2"/>
    <mergeCell ref="B3:AF3"/>
    <mergeCell ref="B5:AF5"/>
    <mergeCell ref="C6:AF6"/>
    <mergeCell ref="C7:AF7"/>
    <mergeCell ref="B8:W8"/>
    <mergeCell ref="X8:AC8"/>
    <mergeCell ref="B9:W9"/>
    <mergeCell ref="X9:AC9"/>
    <mergeCell ref="B10:W10"/>
    <mergeCell ref="X10:AC10"/>
    <mergeCell ref="B11:W11"/>
    <mergeCell ref="X11:AC11"/>
    <mergeCell ref="B12:W12"/>
    <mergeCell ref="X12:AC12"/>
    <mergeCell ref="B13:W13"/>
    <mergeCell ref="X13:AC13"/>
    <mergeCell ref="B14:W14"/>
    <mergeCell ref="X14:AC14"/>
    <mergeCell ref="B17:AF17"/>
    <mergeCell ref="B18:W18"/>
    <mergeCell ref="X18:AB18"/>
    <mergeCell ref="B19:W19"/>
    <mergeCell ref="X19:AB19"/>
    <mergeCell ref="B21:AF21"/>
    <mergeCell ref="B22:W22"/>
    <mergeCell ref="X22:AB22"/>
    <mergeCell ref="B24:AF24"/>
    <mergeCell ref="B25:D25"/>
    <mergeCell ref="E25:T25"/>
    <mergeCell ref="U25:Z25"/>
    <mergeCell ref="AA25:AF25"/>
    <mergeCell ref="B26:D26"/>
    <mergeCell ref="E26:T26"/>
    <mergeCell ref="U26:Y26"/>
    <mergeCell ref="AA26:AF26"/>
    <mergeCell ref="B27:D27"/>
    <mergeCell ref="E27:T27"/>
    <mergeCell ref="U27:Z27"/>
    <mergeCell ref="AA27:AE27"/>
    <mergeCell ref="B28:D28"/>
    <mergeCell ref="E28:T28"/>
    <mergeCell ref="U28:Z28"/>
    <mergeCell ref="AA28:AF28"/>
    <mergeCell ref="B30:AF30"/>
    <mergeCell ref="B31:W31"/>
    <mergeCell ref="X31:AB31"/>
    <mergeCell ref="B33:AF33"/>
    <mergeCell ref="B34:AF36"/>
  </mergeCells>
  <conditionalFormatting sqref="B1:AG37">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3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235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230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231</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30" hidden="false" customHeight="true" outlineLevel="0" collapsed="false">
      <c r="B5" s="4" t="s">
        <v>186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15" t="s">
        <v>131</v>
      </c>
      <c r="C6" s="15"/>
      <c r="D6" s="15"/>
      <c r="E6" s="15"/>
      <c r="F6" s="15"/>
      <c r="G6" s="15"/>
      <c r="H6" s="15"/>
      <c r="I6" s="15"/>
      <c r="J6" s="15"/>
      <c r="K6" s="15"/>
      <c r="L6" s="15"/>
      <c r="M6" s="15"/>
      <c r="N6" s="15"/>
      <c r="O6" s="15"/>
      <c r="P6" s="15"/>
      <c r="Q6" s="15"/>
      <c r="R6" s="15"/>
      <c r="S6" s="15"/>
      <c r="T6" s="15"/>
      <c r="U6" s="15"/>
      <c r="V6" s="15"/>
      <c r="W6" s="15"/>
      <c r="X6" s="16" t="s">
        <v>41</v>
      </c>
      <c r="Y6" s="16"/>
      <c r="Z6" s="16"/>
      <c r="AA6" s="16"/>
      <c r="AB6" s="16"/>
      <c r="AC6" s="16"/>
    </row>
    <row r="7" customFormat="false" ht="16.5" hidden="false" customHeight="true" outlineLevel="0" collapsed="false">
      <c r="B7" s="12" t="s">
        <v>42</v>
      </c>
      <c r="C7" s="12"/>
      <c r="D7" s="12"/>
      <c r="E7" s="12"/>
      <c r="F7" s="12"/>
      <c r="G7" s="12"/>
      <c r="H7" s="12"/>
      <c r="I7" s="12"/>
      <c r="J7" s="12"/>
      <c r="K7" s="12"/>
      <c r="L7" s="12"/>
      <c r="M7" s="12"/>
      <c r="N7" s="12"/>
      <c r="O7" s="12"/>
      <c r="P7" s="12"/>
      <c r="Q7" s="12"/>
      <c r="R7" s="12"/>
      <c r="S7" s="12"/>
      <c r="T7" s="12"/>
      <c r="U7" s="12"/>
      <c r="V7" s="12"/>
      <c r="W7" s="12"/>
      <c r="X7" s="49" t="n">
        <f aca="false">'Q10.12'!X7</f>
        <v>40000</v>
      </c>
      <c r="Y7" s="49"/>
      <c r="Z7" s="49"/>
      <c r="AA7" s="49"/>
      <c r="AB7" s="49"/>
      <c r="AC7" s="49"/>
    </row>
    <row r="8" customFormat="false" ht="16.5" hidden="false" customHeight="true" outlineLevel="0" collapsed="false">
      <c r="B8" s="12" t="s">
        <v>187</v>
      </c>
      <c r="C8" s="12"/>
      <c r="D8" s="12"/>
      <c r="E8" s="12"/>
      <c r="F8" s="12"/>
      <c r="G8" s="12"/>
      <c r="H8" s="12"/>
      <c r="I8" s="12"/>
      <c r="J8" s="12"/>
      <c r="K8" s="12"/>
      <c r="L8" s="12"/>
      <c r="M8" s="12"/>
      <c r="N8" s="12"/>
      <c r="O8" s="12"/>
      <c r="P8" s="12"/>
      <c r="Q8" s="12"/>
      <c r="R8" s="12"/>
      <c r="S8" s="12"/>
      <c r="T8" s="12"/>
      <c r="U8" s="12"/>
      <c r="V8" s="12"/>
      <c r="W8" s="12"/>
      <c r="X8" s="53" t="n">
        <f aca="false">'Q10.12'!X8</f>
        <v>0.25</v>
      </c>
      <c r="Y8" s="53"/>
      <c r="Z8" s="53"/>
      <c r="AA8" s="53"/>
      <c r="AB8" s="53"/>
      <c r="AC8" s="53"/>
    </row>
    <row r="9" customFormat="false" ht="16.5" hidden="false" customHeight="true" outlineLevel="0" collapsed="false">
      <c r="B9" s="12" t="s">
        <v>188</v>
      </c>
      <c r="C9" s="12"/>
      <c r="D9" s="12"/>
      <c r="E9" s="12"/>
      <c r="F9" s="12"/>
      <c r="G9" s="12"/>
      <c r="H9" s="12"/>
      <c r="I9" s="12"/>
      <c r="J9" s="12"/>
      <c r="K9" s="12"/>
      <c r="L9" s="12"/>
      <c r="M9" s="12"/>
      <c r="N9" s="12"/>
      <c r="O9" s="12"/>
      <c r="P9" s="12"/>
      <c r="Q9" s="12"/>
      <c r="R9" s="12"/>
      <c r="S9" s="12"/>
      <c r="T9" s="12"/>
      <c r="U9" s="12"/>
      <c r="V9" s="12"/>
      <c r="W9" s="12"/>
      <c r="X9" s="49" t="n">
        <f aca="false">'Q10.12'!X9</f>
        <v>15000</v>
      </c>
      <c r="Y9" s="49"/>
      <c r="Z9" s="49"/>
      <c r="AA9" s="49"/>
      <c r="AB9" s="49"/>
      <c r="AC9" s="49"/>
    </row>
    <row r="12" customFormat="false" ht="18.75" hidden="false" customHeight="true" outlineLevel="0" collapsed="false">
      <c r="B12" s="3" t="s">
        <v>189</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7.25" hidden="false" customHeight="true" outlineLevel="0" collapsed="false">
      <c r="B13" s="10" t="s">
        <v>46</v>
      </c>
      <c r="C13" s="10"/>
      <c r="D13" s="10"/>
      <c r="E13" s="11" t="s">
        <v>90</v>
      </c>
      <c r="F13" s="11"/>
      <c r="G13" s="11"/>
      <c r="H13" s="11"/>
      <c r="I13" s="11"/>
      <c r="J13" s="11"/>
      <c r="K13" s="11"/>
      <c r="L13" s="11" t="s">
        <v>91</v>
      </c>
      <c r="M13" s="11"/>
      <c r="N13" s="11"/>
      <c r="O13" s="11"/>
      <c r="P13" s="11"/>
      <c r="Q13" s="11"/>
      <c r="R13" s="11"/>
      <c r="S13" s="11" t="s">
        <v>48</v>
      </c>
      <c r="T13" s="11"/>
      <c r="U13" s="11"/>
      <c r="V13" s="11"/>
      <c r="W13" s="11"/>
      <c r="X13" s="11"/>
      <c r="Y13" s="11"/>
      <c r="Z13" s="11" t="s">
        <v>49</v>
      </c>
      <c r="AA13" s="11"/>
      <c r="AB13" s="11"/>
      <c r="AC13" s="11"/>
      <c r="AD13" s="11"/>
      <c r="AE13" s="11"/>
      <c r="AF13" s="11"/>
    </row>
    <row r="14" customFormat="false" ht="17.25" hidden="false" customHeight="true" outlineLevel="0" collapsed="false">
      <c r="B14" s="12" t="s">
        <v>190</v>
      </c>
      <c r="C14" s="12"/>
      <c r="D14" s="12"/>
      <c r="E14" s="51" t="n">
        <f aca="false">$X$7</f>
        <v>40000</v>
      </c>
      <c r="F14" s="51"/>
      <c r="G14" s="51"/>
      <c r="H14" s="51"/>
      <c r="I14" s="51"/>
      <c r="J14" s="51"/>
      <c r="K14" s="44"/>
      <c r="L14" s="51" t="n">
        <f aca="false">ROUND($E$14*$X$8,2)</f>
        <v>10000</v>
      </c>
      <c r="M14" s="51"/>
      <c r="N14" s="51"/>
      <c r="O14" s="51"/>
      <c r="P14" s="51"/>
      <c r="Q14" s="51"/>
      <c r="R14" s="44"/>
      <c r="S14" s="51" t="n">
        <f aca="false">$L$14</f>
        <v>10000</v>
      </c>
      <c r="T14" s="51"/>
      <c r="U14" s="51"/>
      <c r="V14" s="51"/>
      <c r="W14" s="51"/>
      <c r="X14" s="51"/>
      <c r="Y14" s="44"/>
      <c r="Z14" s="51" t="n">
        <f aca="false">$E$14-$L$14</f>
        <v>30000</v>
      </c>
      <c r="AA14" s="51"/>
      <c r="AB14" s="51"/>
      <c r="AC14" s="51"/>
      <c r="AD14" s="51"/>
      <c r="AE14" s="51"/>
      <c r="AF14" s="44"/>
    </row>
    <row r="15" customFormat="false" ht="17.25" hidden="false" customHeight="true" outlineLevel="0" collapsed="false">
      <c r="B15" s="12" t="s">
        <v>136</v>
      </c>
      <c r="C15" s="12"/>
      <c r="D15" s="12"/>
      <c r="E15" s="51" t="n">
        <f aca="false">$Z$14</f>
        <v>30000</v>
      </c>
      <c r="F15" s="51"/>
      <c r="G15" s="51"/>
      <c r="H15" s="51"/>
      <c r="I15" s="51"/>
      <c r="J15" s="51"/>
      <c r="K15" s="44"/>
      <c r="L15" s="51" t="n">
        <f aca="false">ROUND($E$15*$X$8,2)</f>
        <v>7500</v>
      </c>
      <c r="M15" s="51"/>
      <c r="N15" s="51"/>
      <c r="O15" s="51"/>
      <c r="P15" s="51"/>
      <c r="Q15" s="51"/>
      <c r="R15" s="44"/>
      <c r="S15" s="51" t="n">
        <f aca="false">$S$14+$L$15</f>
        <v>17500</v>
      </c>
      <c r="T15" s="51"/>
      <c r="U15" s="51"/>
      <c r="V15" s="51"/>
      <c r="W15" s="51"/>
      <c r="X15" s="51"/>
      <c r="Y15" s="44"/>
      <c r="Z15" s="51" t="n">
        <f aca="false">$E$15-$L$15</f>
        <v>22500</v>
      </c>
      <c r="AA15" s="51"/>
      <c r="AB15" s="51"/>
      <c r="AC15" s="51"/>
      <c r="AD15" s="51"/>
      <c r="AE15" s="51"/>
      <c r="AF15" s="44"/>
    </row>
    <row r="16" customFormat="false" ht="17.25" hidden="false" customHeight="true" outlineLevel="0" collapsed="false">
      <c r="B16" s="12" t="s">
        <v>137</v>
      </c>
      <c r="C16" s="12"/>
      <c r="D16" s="12"/>
      <c r="E16" s="51" t="n">
        <f aca="false">$Z$15</f>
        <v>22500</v>
      </c>
      <c r="F16" s="51"/>
      <c r="G16" s="51"/>
      <c r="H16" s="51"/>
      <c r="I16" s="51"/>
      <c r="J16" s="51"/>
      <c r="K16" s="44"/>
      <c r="L16" s="51" t="n">
        <f aca="false">ROUND($E$16*$X$8,2)</f>
        <v>5625</v>
      </c>
      <c r="M16" s="51"/>
      <c r="N16" s="51"/>
      <c r="O16" s="51"/>
      <c r="P16" s="51"/>
      <c r="Q16" s="51"/>
      <c r="R16" s="44"/>
      <c r="S16" s="51" t="n">
        <f aca="false">$S$15+$L$16</f>
        <v>23125</v>
      </c>
      <c r="T16" s="51"/>
      <c r="U16" s="51"/>
      <c r="V16" s="51"/>
      <c r="W16" s="51"/>
      <c r="X16" s="51"/>
      <c r="Y16" s="44"/>
      <c r="Z16" s="51" t="n">
        <f aca="false">$E$16-$L$16</f>
        <v>16875</v>
      </c>
      <c r="AA16" s="51"/>
      <c r="AB16" s="51"/>
      <c r="AC16" s="51"/>
      <c r="AD16" s="51"/>
      <c r="AE16" s="51"/>
      <c r="AF16" s="44"/>
    </row>
    <row r="18" customFormat="false" ht="18.75" hidden="false" customHeight="true" outlineLevel="0" collapsed="false">
      <c r="B18" s="3" t="s">
        <v>191</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7.25" hidden="false" customHeight="true" outlineLevel="0" collapsed="false">
      <c r="B19" s="19" t="s">
        <v>192</v>
      </c>
      <c r="C19" s="19"/>
      <c r="D19" s="19"/>
      <c r="E19" s="19"/>
      <c r="F19" s="19"/>
      <c r="G19" s="19"/>
      <c r="H19" s="19"/>
      <c r="I19" s="19"/>
      <c r="J19" s="19"/>
      <c r="K19" s="19"/>
      <c r="L19" s="19"/>
      <c r="M19" s="19"/>
      <c r="N19" s="19"/>
      <c r="O19" s="19"/>
      <c r="P19" s="19"/>
      <c r="Q19" s="19"/>
      <c r="R19" s="19"/>
      <c r="S19" s="19"/>
      <c r="T19" s="19"/>
      <c r="U19" s="19"/>
      <c r="V19" s="19"/>
      <c r="W19" s="19"/>
      <c r="X19" s="51" t="n">
        <f aca="false">$Z$16</f>
        <v>16875</v>
      </c>
      <c r="Y19" s="51"/>
      <c r="Z19" s="51"/>
      <c r="AA19" s="51"/>
      <c r="AB19" s="51"/>
    </row>
    <row r="21" customFormat="false" ht="18.75" hidden="false" customHeight="true" outlineLevel="0" collapsed="false">
      <c r="B21" s="3" t="s">
        <v>193</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false" outlineLevel="0" collapsed="false">
      <c r="B22" s="21" t="s">
        <v>60</v>
      </c>
      <c r="C22" s="21"/>
      <c r="D22" s="21"/>
      <c r="E22" s="22" t="s">
        <v>194</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3" t="s">
        <v>62</v>
      </c>
      <c r="AE22" s="23"/>
      <c r="AF22" s="23"/>
    </row>
    <row r="23" customFormat="false" ht="15" hidden="false" customHeight="false" outlineLevel="0" collapsed="false">
      <c r="B23" s="24" t="s">
        <v>63</v>
      </c>
      <c r="C23" s="24"/>
      <c r="D23" s="24"/>
      <c r="E23" s="24" t="s">
        <v>64</v>
      </c>
      <c r="F23" s="24"/>
      <c r="G23" s="24"/>
      <c r="H23" s="24"/>
      <c r="I23" s="24"/>
      <c r="J23" s="24"/>
      <c r="K23" s="24"/>
      <c r="L23" s="25" t="s">
        <v>65</v>
      </c>
      <c r="M23" s="26" t="s">
        <v>66</v>
      </c>
      <c r="N23" s="26"/>
      <c r="O23" s="26"/>
      <c r="P23" s="26"/>
      <c r="Q23" s="27"/>
      <c r="R23" s="28" t="s">
        <v>63</v>
      </c>
      <c r="S23" s="28"/>
      <c r="T23" s="28"/>
      <c r="U23" s="24" t="s">
        <v>64</v>
      </c>
      <c r="V23" s="24"/>
      <c r="W23" s="24"/>
      <c r="X23" s="24"/>
      <c r="Y23" s="24"/>
      <c r="Z23" s="24"/>
      <c r="AA23" s="24"/>
      <c r="AB23" s="25" t="s">
        <v>65</v>
      </c>
      <c r="AC23" s="26" t="s">
        <v>66</v>
      </c>
      <c r="AD23" s="26"/>
      <c r="AE23" s="26"/>
      <c r="AF23" s="26"/>
    </row>
    <row r="24" customFormat="false" ht="17.25" hidden="false" customHeight="true" outlineLevel="0" collapsed="false">
      <c r="B24" s="6" t="s">
        <v>195</v>
      </c>
      <c r="C24" s="6"/>
      <c r="D24" s="6"/>
      <c r="E24" s="29" t="s">
        <v>86</v>
      </c>
      <c r="F24" s="29"/>
      <c r="G24" s="29"/>
      <c r="H24" s="29"/>
      <c r="I24" s="29"/>
      <c r="J24" s="29"/>
      <c r="K24" s="29"/>
      <c r="L24" s="30" t="s">
        <v>76</v>
      </c>
      <c r="M24" s="51" t="n">
        <f aca="false">$X$7</f>
        <v>40000</v>
      </c>
      <c r="N24" s="51"/>
      <c r="O24" s="51"/>
      <c r="R24" s="31" t="s">
        <v>195</v>
      </c>
      <c r="S24" s="31"/>
      <c r="T24" s="31"/>
      <c r="U24" s="29" t="s">
        <v>122</v>
      </c>
      <c r="V24" s="29"/>
      <c r="W24" s="29"/>
      <c r="X24" s="29"/>
      <c r="Y24" s="29"/>
      <c r="Z24" s="29"/>
      <c r="AA24" s="29"/>
      <c r="AB24" s="30" t="s">
        <v>76</v>
      </c>
      <c r="AC24" s="51" t="n">
        <f aca="false">$S$16</f>
        <v>23125</v>
      </c>
      <c r="AD24" s="51"/>
      <c r="AE24" s="51"/>
    </row>
    <row r="25" customFormat="false" ht="17.25" hidden="false" customHeight="true" outlineLevel="0" collapsed="false">
      <c r="R25" s="31" t="s">
        <v>196</v>
      </c>
      <c r="S25" s="31"/>
      <c r="T25" s="31"/>
      <c r="U25" s="29" t="s">
        <v>68</v>
      </c>
      <c r="V25" s="29"/>
      <c r="W25" s="29"/>
      <c r="X25" s="29"/>
      <c r="Y25" s="29"/>
      <c r="Z25" s="29"/>
      <c r="AA25" s="29"/>
      <c r="AB25" s="30" t="s">
        <v>69</v>
      </c>
      <c r="AC25" s="51" t="n">
        <f aca="false">$X$9</f>
        <v>15000</v>
      </c>
      <c r="AD25" s="51"/>
      <c r="AE25" s="51"/>
    </row>
    <row r="26" customFormat="false" ht="17.25" hidden="false" customHeight="true" outlineLevel="0" collapsed="false">
      <c r="R26" s="31" t="s">
        <v>197</v>
      </c>
      <c r="S26" s="31"/>
      <c r="T26" s="31"/>
      <c r="U26" s="29" t="s">
        <v>125</v>
      </c>
      <c r="V26" s="29"/>
      <c r="W26" s="29"/>
      <c r="X26" s="29"/>
      <c r="Y26" s="29"/>
      <c r="Z26" s="29"/>
      <c r="AA26" s="29"/>
      <c r="AB26" s="30" t="s">
        <v>78</v>
      </c>
      <c r="AC26" s="51" t="n">
        <f aca="false">$Z$16-$X$9</f>
        <v>1875</v>
      </c>
      <c r="AD26" s="51"/>
      <c r="AE26" s="51"/>
    </row>
    <row r="27" customFormat="false" ht="16.5" hidden="false" customHeight="true" outlineLevel="0" collapsed="false">
      <c r="M27" s="55" t="n">
        <f aca="false">SUM(M24:M26)</f>
        <v>40000</v>
      </c>
      <c r="N27" s="55"/>
      <c r="O27" s="55"/>
      <c r="R27" s="33"/>
      <c r="AC27" s="55" t="n">
        <f aca="false">SUM(AC24:AC26)</f>
        <v>40000</v>
      </c>
      <c r="AD27" s="55"/>
      <c r="AE27" s="55"/>
    </row>
    <row r="29" customFormat="false" ht="18.75" hidden="false" customHeight="true" outlineLevel="0" collapsed="false">
      <c r="B29" s="3" t="s">
        <v>198</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7.25" hidden="false" customHeight="true" outlineLevel="0" collapsed="false">
      <c r="B30" s="19" t="s">
        <v>199</v>
      </c>
      <c r="C30" s="19"/>
      <c r="D30" s="19"/>
      <c r="E30" s="19"/>
      <c r="F30" s="19"/>
      <c r="G30" s="19"/>
      <c r="H30" s="19"/>
      <c r="I30" s="19"/>
      <c r="J30" s="19"/>
      <c r="K30" s="19"/>
      <c r="L30" s="19"/>
      <c r="M30" s="19"/>
      <c r="N30" s="19"/>
      <c r="O30" s="19"/>
      <c r="P30" s="19"/>
      <c r="Q30" s="19"/>
      <c r="R30" s="19"/>
      <c r="S30" s="19"/>
      <c r="T30" s="52" t="str">
        <f aca="false">"Expense in the SPL"</f>
        <v>Expense in the SPL</v>
      </c>
      <c r="U30" s="52"/>
      <c r="V30" s="52"/>
      <c r="W30" s="52"/>
      <c r="X30" s="52"/>
      <c r="Y30" s="52"/>
      <c r="Z30" s="52"/>
      <c r="AA30" s="52"/>
      <c r="AB30" s="52"/>
    </row>
  </sheetData>
  <mergeCells count="63">
    <mergeCell ref="B1:AF1"/>
    <mergeCell ref="B2:AF2"/>
    <mergeCell ref="B3:AF3"/>
    <mergeCell ref="B5:AF5"/>
    <mergeCell ref="B6:W6"/>
    <mergeCell ref="X6:AC6"/>
    <mergeCell ref="B7:W7"/>
    <mergeCell ref="X7:AC7"/>
    <mergeCell ref="B8:W8"/>
    <mergeCell ref="X8:AC8"/>
    <mergeCell ref="B9:W9"/>
    <mergeCell ref="X9:AC9"/>
    <mergeCell ref="B12:AF12"/>
    <mergeCell ref="B13:D13"/>
    <mergeCell ref="E13:K13"/>
    <mergeCell ref="L13:R13"/>
    <mergeCell ref="S13:Y13"/>
    <mergeCell ref="Z13:AF13"/>
    <mergeCell ref="B14:D14"/>
    <mergeCell ref="E14:J14"/>
    <mergeCell ref="L14:Q14"/>
    <mergeCell ref="S14:X14"/>
    <mergeCell ref="Z14:AE14"/>
    <mergeCell ref="B15:D15"/>
    <mergeCell ref="E15:J15"/>
    <mergeCell ref="L15:Q15"/>
    <mergeCell ref="S15:X15"/>
    <mergeCell ref="Z15:AE15"/>
    <mergeCell ref="B16:D16"/>
    <mergeCell ref="E16:J16"/>
    <mergeCell ref="L16:Q16"/>
    <mergeCell ref="S16:X16"/>
    <mergeCell ref="Z16:AE16"/>
    <mergeCell ref="B18:AF18"/>
    <mergeCell ref="B19:W19"/>
    <mergeCell ref="X19:AB19"/>
    <mergeCell ref="B21:AF21"/>
    <mergeCell ref="B22:D22"/>
    <mergeCell ref="E22:AC22"/>
    <mergeCell ref="AD22:AF22"/>
    <mergeCell ref="B23:D23"/>
    <mergeCell ref="E23:K23"/>
    <mergeCell ref="M23:P23"/>
    <mergeCell ref="R23:T23"/>
    <mergeCell ref="U23:AA23"/>
    <mergeCell ref="AC23:AF23"/>
    <mergeCell ref="B24:D24"/>
    <mergeCell ref="E24:K24"/>
    <mergeCell ref="M24:O24"/>
    <mergeCell ref="R24:T24"/>
    <mergeCell ref="U24:AA24"/>
    <mergeCell ref="AC24:AE24"/>
    <mergeCell ref="R25:T25"/>
    <mergeCell ref="U25:AA25"/>
    <mergeCell ref="AC25:AE25"/>
    <mergeCell ref="R26:T26"/>
    <mergeCell ref="U26:AA26"/>
    <mergeCell ref="AC26:AE26"/>
    <mergeCell ref="M27:O27"/>
    <mergeCell ref="AC27:AE27"/>
    <mergeCell ref="B29:AF29"/>
    <mergeCell ref="B30:S30"/>
    <mergeCell ref="T30:AB30"/>
  </mergeCells>
  <conditionalFormatting sqref="B1:AG31">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5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236</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4" t="s">
        <v>230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3" customFormat="false" ht="15" hidden="false" customHeight="false" outlineLevel="0" collapsed="false">
      <c r="B3" s="14" t="s">
        <v>231</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5" customFormat="false" ht="30" hidden="false" customHeight="true" outlineLevel="0" collapsed="false">
      <c r="B5" s="4" t="s">
        <v>201</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C6" s="4" t="s">
        <v>202</v>
      </c>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C7" s="4" t="s">
        <v>203</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6.5" hidden="false" customHeight="true" outlineLevel="0" collapsed="false">
      <c r="C8" s="4" t="s">
        <v>204</v>
      </c>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ustomFormat="false" ht="15" hidden="false" customHeight="false" outlineLevel="0" collapsed="false">
      <c r="B9" s="15" t="s">
        <v>131</v>
      </c>
      <c r="C9" s="15"/>
      <c r="D9" s="15"/>
      <c r="E9" s="15"/>
      <c r="F9" s="15"/>
      <c r="G9" s="15"/>
      <c r="H9" s="15"/>
      <c r="I9" s="15"/>
      <c r="J9" s="15"/>
      <c r="K9" s="15"/>
      <c r="L9" s="15"/>
      <c r="M9" s="15"/>
      <c r="N9" s="15"/>
      <c r="O9" s="15"/>
      <c r="P9" s="15"/>
      <c r="Q9" s="15"/>
      <c r="R9" s="15"/>
      <c r="S9" s="15"/>
      <c r="T9" s="15"/>
      <c r="U9" s="15"/>
      <c r="V9" s="15"/>
      <c r="W9" s="15"/>
      <c r="X9" s="16" t="s">
        <v>41</v>
      </c>
      <c r="Y9" s="16"/>
      <c r="Z9" s="16"/>
      <c r="AA9" s="16"/>
      <c r="AB9" s="16"/>
      <c r="AC9" s="16"/>
    </row>
    <row r="10" customFormat="false" ht="16.5" hidden="false" customHeight="true" outlineLevel="0" collapsed="false">
      <c r="B10" s="12" t="s">
        <v>205</v>
      </c>
      <c r="C10" s="12"/>
      <c r="D10" s="12"/>
      <c r="E10" s="12"/>
      <c r="F10" s="12"/>
      <c r="G10" s="12"/>
      <c r="H10" s="12"/>
      <c r="I10" s="12"/>
      <c r="J10" s="12"/>
      <c r="K10" s="12"/>
      <c r="L10" s="12"/>
      <c r="M10" s="12"/>
      <c r="N10" s="12"/>
      <c r="O10" s="12"/>
      <c r="P10" s="12"/>
      <c r="Q10" s="12"/>
      <c r="R10" s="12"/>
      <c r="S10" s="12"/>
      <c r="T10" s="12"/>
      <c r="U10" s="12"/>
      <c r="V10" s="12"/>
      <c r="W10" s="12"/>
      <c r="X10" s="49" t="n">
        <f aca="false">'Q10.13'!X10</f>
        <v>25000</v>
      </c>
      <c r="Y10" s="49"/>
      <c r="Z10" s="49"/>
      <c r="AA10" s="49"/>
      <c r="AB10" s="49"/>
      <c r="AC10" s="49"/>
    </row>
    <row r="11" customFormat="false" ht="16.5" hidden="false" customHeight="true" outlineLevel="0" collapsed="false">
      <c r="B11" s="12" t="s">
        <v>206</v>
      </c>
      <c r="C11" s="12"/>
      <c r="D11" s="12"/>
      <c r="E11" s="12"/>
      <c r="F11" s="12"/>
      <c r="G11" s="12"/>
      <c r="H11" s="12"/>
      <c r="I11" s="12"/>
      <c r="J11" s="12"/>
      <c r="K11" s="12"/>
      <c r="L11" s="12"/>
      <c r="M11" s="12"/>
      <c r="N11" s="12"/>
      <c r="O11" s="12"/>
      <c r="P11" s="12"/>
      <c r="Q11" s="12"/>
      <c r="R11" s="12"/>
      <c r="S11" s="12"/>
      <c r="T11" s="12"/>
      <c r="U11" s="12"/>
      <c r="V11" s="12"/>
      <c r="W11" s="12"/>
      <c r="X11" s="49" t="n">
        <f aca="false">'Q10.13'!X11</f>
        <v>30000</v>
      </c>
      <c r="Y11" s="49"/>
      <c r="Z11" s="49"/>
      <c r="AA11" s="49"/>
      <c r="AB11" s="49"/>
      <c r="AC11" s="49"/>
    </row>
    <row r="12" customFormat="false" ht="16.5" hidden="false" customHeight="true" outlineLevel="0" collapsed="false">
      <c r="B12" s="12" t="s">
        <v>207</v>
      </c>
      <c r="C12" s="12"/>
      <c r="D12" s="12"/>
      <c r="E12" s="12"/>
      <c r="F12" s="12"/>
      <c r="G12" s="12"/>
      <c r="H12" s="12"/>
      <c r="I12" s="12"/>
      <c r="J12" s="12"/>
      <c r="K12" s="12"/>
      <c r="L12" s="12"/>
      <c r="M12" s="12"/>
      <c r="N12" s="12"/>
      <c r="O12" s="12"/>
      <c r="P12" s="12"/>
      <c r="Q12" s="12"/>
      <c r="R12" s="12"/>
      <c r="S12" s="12"/>
      <c r="T12" s="12"/>
      <c r="U12" s="12"/>
      <c r="V12" s="12"/>
      <c r="W12" s="12"/>
      <c r="X12" s="53" t="n">
        <f aca="false">'Q10.13'!X12</f>
        <v>0.2</v>
      </c>
      <c r="Y12" s="53"/>
      <c r="Z12" s="53"/>
      <c r="AA12" s="53"/>
      <c r="AB12" s="53"/>
      <c r="AC12" s="53"/>
    </row>
    <row r="13" customFormat="false" ht="16.5" hidden="false" customHeight="true" outlineLevel="0" collapsed="false">
      <c r="B13" s="12" t="s">
        <v>208</v>
      </c>
      <c r="C13" s="12"/>
      <c r="D13" s="12"/>
      <c r="E13" s="12"/>
      <c r="F13" s="12"/>
      <c r="G13" s="12"/>
      <c r="H13" s="12"/>
      <c r="I13" s="12"/>
      <c r="J13" s="12"/>
      <c r="K13" s="12"/>
      <c r="L13" s="12"/>
      <c r="M13" s="12"/>
      <c r="N13" s="12"/>
      <c r="O13" s="12"/>
      <c r="P13" s="12"/>
      <c r="Q13" s="12"/>
      <c r="R13" s="12"/>
      <c r="S13" s="12"/>
      <c r="T13" s="12"/>
      <c r="U13" s="12"/>
      <c r="V13" s="12"/>
      <c r="W13" s="12"/>
      <c r="X13" s="49" t="n">
        <f aca="false">'Q10.13'!X13</f>
        <v>12000</v>
      </c>
      <c r="Y13" s="49"/>
      <c r="Z13" s="49"/>
      <c r="AA13" s="49"/>
      <c r="AB13" s="49"/>
      <c r="AC13" s="49"/>
    </row>
    <row r="16" customFormat="false" ht="18.75" hidden="false" customHeight="true" outlineLevel="0" collapsed="false">
      <c r="B16" s="3" t="s">
        <v>209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7.25" hidden="false" customHeight="true" outlineLevel="0" collapsed="false">
      <c r="B17" s="19" t="s">
        <v>210</v>
      </c>
      <c r="C17" s="19"/>
      <c r="D17" s="19"/>
      <c r="E17" s="19"/>
      <c r="F17" s="19"/>
      <c r="G17" s="19"/>
      <c r="H17" s="19"/>
      <c r="I17" s="19"/>
      <c r="J17" s="19"/>
      <c r="K17" s="19"/>
      <c r="L17" s="19"/>
      <c r="M17" s="19"/>
      <c r="N17" s="19"/>
      <c r="O17" s="19"/>
      <c r="P17" s="19"/>
      <c r="Q17" s="19"/>
      <c r="R17" s="19"/>
      <c r="S17" s="19"/>
      <c r="T17" s="19"/>
      <c r="U17" s="19"/>
      <c r="V17" s="19"/>
      <c r="W17" s="19"/>
      <c r="X17" s="51" t="n">
        <f aca="false">$X$10*$X$12</f>
        <v>5000</v>
      </c>
      <c r="Y17" s="51"/>
      <c r="Z17" s="51"/>
      <c r="AA17" s="51"/>
      <c r="AB17" s="51"/>
    </row>
    <row r="18" customFormat="false" ht="17.25" hidden="false" customHeight="true" outlineLevel="0" collapsed="false">
      <c r="B18" s="19" t="s">
        <v>211</v>
      </c>
      <c r="C18" s="19"/>
      <c r="D18" s="19"/>
      <c r="E18" s="19"/>
      <c r="F18" s="19"/>
      <c r="G18" s="19"/>
      <c r="H18" s="19"/>
      <c r="I18" s="19"/>
      <c r="J18" s="19"/>
      <c r="K18" s="19"/>
      <c r="L18" s="19"/>
      <c r="M18" s="19"/>
      <c r="N18" s="19"/>
      <c r="O18" s="19"/>
      <c r="P18" s="19"/>
      <c r="Q18" s="19"/>
      <c r="R18" s="19"/>
      <c r="S18" s="19"/>
      <c r="T18" s="19"/>
      <c r="U18" s="19"/>
      <c r="V18" s="19"/>
      <c r="W18" s="19"/>
      <c r="X18" s="51" t="n">
        <f aca="false">($X$10+$X$11)*$X$12</f>
        <v>11000</v>
      </c>
      <c r="Y18" s="51"/>
      <c r="Z18" s="51"/>
      <c r="AA18" s="51"/>
      <c r="AB18" s="51"/>
    </row>
    <row r="19" customFormat="false" ht="17.25" hidden="false" customHeight="true" outlineLevel="0" collapsed="false">
      <c r="B19" s="19" t="s">
        <v>171</v>
      </c>
      <c r="C19" s="19"/>
      <c r="D19" s="19"/>
      <c r="E19" s="19"/>
      <c r="F19" s="19"/>
      <c r="G19" s="19"/>
      <c r="H19" s="19"/>
      <c r="I19" s="19"/>
      <c r="J19" s="19"/>
      <c r="K19" s="19"/>
      <c r="L19" s="19"/>
      <c r="M19" s="19"/>
      <c r="N19" s="19"/>
      <c r="O19" s="19"/>
      <c r="P19" s="19"/>
      <c r="Q19" s="19"/>
      <c r="R19" s="19"/>
      <c r="S19" s="19"/>
      <c r="T19" s="19"/>
      <c r="U19" s="19"/>
      <c r="V19" s="19"/>
      <c r="W19" s="19"/>
      <c r="X19" s="51" t="n">
        <f aca="false">$X$11*$X$12</f>
        <v>6000</v>
      </c>
      <c r="Y19" s="51"/>
      <c r="Z19" s="51"/>
      <c r="AA19" s="51"/>
      <c r="AB19" s="51"/>
    </row>
    <row r="21" customFormat="false" ht="18.75" hidden="false" customHeight="true" outlineLevel="0" collapsed="false">
      <c r="B21" s="3" t="s">
        <v>212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false" outlineLevel="0" collapsed="false">
      <c r="B22" s="21" t="s">
        <v>60</v>
      </c>
      <c r="C22" s="21"/>
      <c r="D22" s="21"/>
      <c r="E22" s="22" t="s">
        <v>213</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3" t="s">
        <v>62</v>
      </c>
      <c r="AE22" s="23"/>
      <c r="AF22" s="23"/>
    </row>
    <row r="23" customFormat="false" ht="15" hidden="false" customHeight="false" outlineLevel="0" collapsed="false">
      <c r="B23" s="24" t="s">
        <v>63</v>
      </c>
      <c r="C23" s="24"/>
      <c r="D23" s="24"/>
      <c r="E23" s="24" t="s">
        <v>64</v>
      </c>
      <c r="F23" s="24"/>
      <c r="G23" s="24"/>
      <c r="H23" s="24"/>
      <c r="I23" s="24"/>
      <c r="J23" s="24"/>
      <c r="K23" s="24"/>
      <c r="L23" s="25" t="s">
        <v>65</v>
      </c>
      <c r="M23" s="26" t="s">
        <v>66</v>
      </c>
      <c r="N23" s="26"/>
      <c r="O23" s="26"/>
      <c r="P23" s="26"/>
      <c r="Q23" s="27"/>
      <c r="R23" s="28" t="s">
        <v>63</v>
      </c>
      <c r="S23" s="28"/>
      <c r="T23" s="28"/>
      <c r="U23" s="24" t="s">
        <v>64</v>
      </c>
      <c r="V23" s="24"/>
      <c r="W23" s="24"/>
      <c r="X23" s="24"/>
      <c r="Y23" s="24"/>
      <c r="Z23" s="24"/>
      <c r="AA23" s="24"/>
      <c r="AB23" s="25" t="s">
        <v>65</v>
      </c>
      <c r="AC23" s="26" t="s">
        <v>66</v>
      </c>
      <c r="AD23" s="26"/>
      <c r="AE23" s="26"/>
      <c r="AF23" s="26"/>
    </row>
    <row r="24" customFormat="false" ht="17.25" hidden="false" customHeight="true" outlineLevel="0" collapsed="false">
      <c r="B24" s="6" t="s">
        <v>214</v>
      </c>
      <c r="C24" s="6"/>
      <c r="D24" s="6"/>
      <c r="E24" s="29" t="s">
        <v>71</v>
      </c>
      <c r="F24" s="29"/>
      <c r="G24" s="29"/>
      <c r="H24" s="29"/>
      <c r="I24" s="29"/>
      <c r="J24" s="29"/>
      <c r="K24" s="29"/>
      <c r="L24" s="30"/>
      <c r="M24" s="51" t="n">
        <f aca="false">$X$17</f>
        <v>5000</v>
      </c>
      <c r="N24" s="51"/>
      <c r="O24" s="51"/>
      <c r="R24" s="31" t="s">
        <v>214</v>
      </c>
      <c r="S24" s="31"/>
      <c r="T24" s="31"/>
      <c r="U24" s="29" t="s">
        <v>75</v>
      </c>
      <c r="V24" s="29"/>
      <c r="W24" s="29"/>
      <c r="X24" s="29"/>
      <c r="Y24" s="29"/>
      <c r="Z24" s="29"/>
      <c r="AA24" s="29"/>
      <c r="AB24" s="30" t="s">
        <v>76</v>
      </c>
      <c r="AC24" s="51" t="n">
        <f aca="false">$X$17</f>
        <v>5000</v>
      </c>
      <c r="AD24" s="51"/>
      <c r="AE24" s="51"/>
    </row>
    <row r="25" customFormat="false" ht="16.5" hidden="false" customHeight="true" outlineLevel="0" collapsed="false">
      <c r="M25" s="55" t="n">
        <f aca="false">SUM(M24:M24)</f>
        <v>5000</v>
      </c>
      <c r="N25" s="55"/>
      <c r="O25" s="55"/>
      <c r="R25" s="33"/>
      <c r="AC25" s="55" t="n">
        <f aca="false">SUM(AC24:AC24)</f>
        <v>5000</v>
      </c>
      <c r="AD25" s="55"/>
      <c r="AE25" s="55"/>
    </row>
    <row r="26" customFormat="false" ht="17.25" hidden="false" customHeight="true" outlineLevel="0" collapsed="false">
      <c r="R26" s="31" t="s">
        <v>215</v>
      </c>
      <c r="S26" s="31"/>
      <c r="T26" s="31"/>
      <c r="U26" s="29" t="s">
        <v>73</v>
      </c>
      <c r="V26" s="29"/>
      <c r="W26" s="29"/>
      <c r="X26" s="29"/>
      <c r="Y26" s="29"/>
      <c r="Z26" s="29"/>
      <c r="AA26" s="29"/>
      <c r="AB26" s="30"/>
      <c r="AC26" s="51" t="n">
        <f aca="false">$X$17</f>
        <v>5000</v>
      </c>
      <c r="AD26" s="51"/>
      <c r="AE26" s="51"/>
    </row>
    <row r="27" customFormat="false" ht="17.25" hidden="false" customHeight="true" outlineLevel="0" collapsed="false">
      <c r="B27" s="6" t="s">
        <v>216</v>
      </c>
      <c r="C27" s="6"/>
      <c r="D27" s="6"/>
      <c r="E27" s="29" t="s">
        <v>71</v>
      </c>
      <c r="F27" s="29"/>
      <c r="G27" s="29"/>
      <c r="H27" s="29"/>
      <c r="I27" s="29"/>
      <c r="J27" s="29"/>
      <c r="K27" s="29"/>
      <c r="L27" s="30"/>
      <c r="M27" s="51" t="n">
        <f aca="false">$X$17+$X$18</f>
        <v>16000</v>
      </c>
      <c r="N27" s="51"/>
      <c r="O27" s="51"/>
      <c r="R27" s="31" t="s">
        <v>216</v>
      </c>
      <c r="S27" s="31"/>
      <c r="T27" s="31"/>
      <c r="U27" s="29" t="s">
        <v>75</v>
      </c>
      <c r="V27" s="29"/>
      <c r="W27" s="29"/>
      <c r="X27" s="29"/>
      <c r="Y27" s="29"/>
      <c r="Z27" s="29"/>
      <c r="AA27" s="29"/>
      <c r="AB27" s="30" t="s">
        <v>78</v>
      </c>
      <c r="AC27" s="51" t="n">
        <f aca="false">$X$18</f>
        <v>11000</v>
      </c>
      <c r="AD27" s="51"/>
      <c r="AE27" s="51"/>
    </row>
    <row r="28" customFormat="false" ht="16.5" hidden="false" customHeight="true" outlineLevel="0" collapsed="false">
      <c r="M28" s="55" t="n">
        <f aca="false">SUM(M26:M27)</f>
        <v>16000</v>
      </c>
      <c r="N28" s="55"/>
      <c r="O28" s="55"/>
      <c r="R28" s="33"/>
      <c r="AC28" s="55" t="n">
        <f aca="false">SUM(AC26:AC27)</f>
        <v>16000</v>
      </c>
      <c r="AD28" s="55"/>
      <c r="AE28" s="55"/>
    </row>
    <row r="29" customFormat="false" ht="17.25" hidden="false" customHeight="true" outlineLevel="0" collapsed="false">
      <c r="B29" s="6" t="s">
        <v>217</v>
      </c>
      <c r="C29" s="6"/>
      <c r="D29" s="6"/>
      <c r="E29" s="29" t="s">
        <v>218</v>
      </c>
      <c r="F29" s="29"/>
      <c r="G29" s="29"/>
      <c r="H29" s="29"/>
      <c r="I29" s="29"/>
      <c r="J29" s="29"/>
      <c r="K29" s="29"/>
      <c r="L29" s="30" t="s">
        <v>219</v>
      </c>
      <c r="M29" s="51" t="n">
        <f aca="false">2*$X$10*$X$12</f>
        <v>10000</v>
      </c>
      <c r="N29" s="51"/>
      <c r="O29" s="51"/>
      <c r="R29" s="31" t="s">
        <v>220</v>
      </c>
      <c r="S29" s="31"/>
      <c r="T29" s="31"/>
      <c r="U29" s="29" t="s">
        <v>73</v>
      </c>
      <c r="V29" s="29"/>
      <c r="W29" s="29"/>
      <c r="X29" s="29"/>
      <c r="Y29" s="29"/>
      <c r="Z29" s="29"/>
      <c r="AA29" s="29"/>
      <c r="AB29" s="30"/>
      <c r="AC29" s="51" t="n">
        <f aca="false">$X$17+$X$18</f>
        <v>16000</v>
      </c>
      <c r="AD29" s="51"/>
      <c r="AE29" s="51"/>
    </row>
    <row r="30" customFormat="false" ht="17.25" hidden="false" customHeight="true" outlineLevel="0" collapsed="false">
      <c r="B30" s="6" t="s">
        <v>197</v>
      </c>
      <c r="C30" s="6"/>
      <c r="D30" s="6"/>
      <c r="E30" s="29" t="s">
        <v>71</v>
      </c>
      <c r="F30" s="29"/>
      <c r="G30" s="29"/>
      <c r="H30" s="29"/>
      <c r="I30" s="29"/>
      <c r="J30" s="29"/>
      <c r="K30" s="29"/>
      <c r="L30" s="30"/>
      <c r="M30" s="51" t="n">
        <f aca="false">$X$17+$X$18+$X$19-2*$X$10*$X$12</f>
        <v>12000</v>
      </c>
      <c r="N30" s="51"/>
      <c r="O30" s="51"/>
      <c r="R30" s="31" t="s">
        <v>178</v>
      </c>
      <c r="S30" s="31"/>
      <c r="T30" s="31"/>
      <c r="U30" s="29" t="s">
        <v>75</v>
      </c>
      <c r="V30" s="29"/>
      <c r="W30" s="29"/>
      <c r="X30" s="29"/>
      <c r="Y30" s="29"/>
      <c r="Z30" s="29"/>
      <c r="AA30" s="29"/>
      <c r="AB30" s="30" t="s">
        <v>221</v>
      </c>
      <c r="AC30" s="51" t="n">
        <f aca="false">$X$19</f>
        <v>6000</v>
      </c>
      <c r="AD30" s="51"/>
      <c r="AE30" s="51"/>
    </row>
    <row r="31" customFormat="false" ht="16.5" hidden="false" customHeight="true" outlineLevel="0" collapsed="false">
      <c r="M31" s="55" t="n">
        <f aca="false">SUM(M29:M30)</f>
        <v>22000</v>
      </c>
      <c r="N31" s="55"/>
      <c r="O31" s="55"/>
      <c r="R31" s="33"/>
      <c r="AC31" s="55" t="n">
        <f aca="false">SUM(AC29:AC30)</f>
        <v>22000</v>
      </c>
      <c r="AD31" s="55"/>
      <c r="AE31" s="55"/>
    </row>
    <row r="32" customFormat="false" ht="17.25" hidden="false" customHeight="true" outlineLevel="0" collapsed="false">
      <c r="R32" s="31" t="s">
        <v>195</v>
      </c>
      <c r="S32" s="31"/>
      <c r="T32" s="31"/>
      <c r="U32" s="29" t="s">
        <v>73</v>
      </c>
      <c r="V32" s="29"/>
      <c r="W32" s="29"/>
      <c r="X32" s="29"/>
      <c r="Y32" s="29"/>
      <c r="Z32" s="29"/>
      <c r="AA32" s="29"/>
      <c r="AB32" s="30"/>
      <c r="AC32" s="51" t="n">
        <f aca="false">$X$17+$X$18+$X$19-2*$X$10*$X$12</f>
        <v>12000</v>
      </c>
      <c r="AD32" s="51"/>
      <c r="AE32" s="51"/>
    </row>
    <row r="34" customFormat="false" ht="18.75" hidden="false" customHeight="true" outlineLevel="0" collapsed="false">
      <c r="B34" s="3" t="s">
        <v>222</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false" outlineLevel="0" collapsed="false">
      <c r="B35" s="21" t="s">
        <v>60</v>
      </c>
      <c r="C35" s="21"/>
      <c r="D35" s="21"/>
      <c r="E35" s="22" t="s">
        <v>119</v>
      </c>
      <c r="F35" s="22"/>
      <c r="G35" s="22"/>
      <c r="H35" s="22"/>
      <c r="I35" s="22"/>
      <c r="J35" s="22"/>
      <c r="K35" s="22"/>
      <c r="L35" s="22"/>
      <c r="M35" s="22"/>
      <c r="N35" s="22"/>
      <c r="O35" s="22"/>
      <c r="P35" s="22"/>
      <c r="Q35" s="22"/>
      <c r="R35" s="22"/>
      <c r="S35" s="22"/>
      <c r="T35" s="22"/>
      <c r="U35" s="22"/>
      <c r="V35" s="22"/>
      <c r="W35" s="22"/>
      <c r="X35" s="22"/>
      <c r="Y35" s="22"/>
      <c r="Z35" s="22"/>
      <c r="AA35" s="22"/>
      <c r="AB35" s="22"/>
      <c r="AC35" s="22"/>
      <c r="AD35" s="23" t="s">
        <v>62</v>
      </c>
      <c r="AE35" s="23"/>
      <c r="AF35" s="23"/>
    </row>
    <row r="36" customFormat="false" ht="15" hidden="false" customHeight="false" outlineLevel="0" collapsed="false">
      <c r="B36" s="24" t="s">
        <v>63</v>
      </c>
      <c r="C36" s="24"/>
      <c r="D36" s="24"/>
      <c r="E36" s="24" t="s">
        <v>64</v>
      </c>
      <c r="F36" s="24"/>
      <c r="G36" s="24"/>
      <c r="H36" s="24"/>
      <c r="I36" s="24"/>
      <c r="J36" s="24"/>
      <c r="K36" s="24"/>
      <c r="L36" s="25" t="s">
        <v>65</v>
      </c>
      <c r="M36" s="26" t="s">
        <v>66</v>
      </c>
      <c r="N36" s="26"/>
      <c r="O36" s="26"/>
      <c r="P36" s="26"/>
      <c r="Q36" s="27"/>
      <c r="R36" s="28" t="s">
        <v>63</v>
      </c>
      <c r="S36" s="28"/>
      <c r="T36" s="28"/>
      <c r="U36" s="24" t="s">
        <v>64</v>
      </c>
      <c r="V36" s="24"/>
      <c r="W36" s="24"/>
      <c r="X36" s="24"/>
      <c r="Y36" s="24"/>
      <c r="Z36" s="24"/>
      <c r="AA36" s="24"/>
      <c r="AB36" s="25" t="s">
        <v>65</v>
      </c>
      <c r="AC36" s="26" t="s">
        <v>66</v>
      </c>
      <c r="AD36" s="26"/>
      <c r="AE36" s="26"/>
      <c r="AF36" s="26"/>
    </row>
    <row r="37" customFormat="false" ht="17.25" hidden="false" customHeight="true" outlineLevel="0" collapsed="false">
      <c r="B37" s="6" t="s">
        <v>217</v>
      </c>
      <c r="C37" s="6"/>
      <c r="D37" s="6"/>
      <c r="E37" s="29" t="s">
        <v>223</v>
      </c>
      <c r="F37" s="29"/>
      <c r="G37" s="29"/>
      <c r="H37" s="29"/>
      <c r="I37" s="29"/>
      <c r="J37" s="29"/>
      <c r="K37" s="29"/>
      <c r="L37" s="30" t="s">
        <v>219</v>
      </c>
      <c r="M37" s="51" t="n">
        <f aca="false">$X$10</f>
        <v>25000</v>
      </c>
      <c r="N37" s="51"/>
      <c r="O37" s="51"/>
      <c r="R37" s="31" t="s">
        <v>217</v>
      </c>
      <c r="S37" s="31"/>
      <c r="T37" s="31"/>
      <c r="U37" s="29" t="s">
        <v>122</v>
      </c>
      <c r="V37" s="29"/>
      <c r="W37" s="29"/>
      <c r="X37" s="29"/>
      <c r="Y37" s="29"/>
      <c r="Z37" s="29"/>
      <c r="AA37" s="29"/>
      <c r="AB37" s="30" t="s">
        <v>219</v>
      </c>
      <c r="AC37" s="51" t="n">
        <f aca="false">2*$X$10*$X$12</f>
        <v>10000</v>
      </c>
      <c r="AD37" s="51"/>
      <c r="AE37" s="51"/>
    </row>
    <row r="38" customFormat="false" ht="17.25" hidden="false" customHeight="true" outlineLevel="0" collapsed="false">
      <c r="R38" s="31" t="s">
        <v>224</v>
      </c>
      <c r="S38" s="31"/>
      <c r="T38" s="31"/>
      <c r="U38" s="29" t="s">
        <v>68</v>
      </c>
      <c r="V38" s="29"/>
      <c r="W38" s="29"/>
      <c r="X38" s="29"/>
      <c r="Y38" s="29"/>
      <c r="Z38" s="29"/>
      <c r="AA38" s="29"/>
      <c r="AB38" s="30" t="s">
        <v>69</v>
      </c>
      <c r="AC38" s="51" t="n">
        <f aca="false">$X$13</f>
        <v>12000</v>
      </c>
      <c r="AD38" s="51"/>
      <c r="AE38" s="51"/>
    </row>
    <row r="39" customFormat="false" ht="17.25" hidden="false" customHeight="true" outlineLevel="0" collapsed="false">
      <c r="R39" s="31" t="s">
        <v>197</v>
      </c>
      <c r="S39" s="31"/>
      <c r="T39" s="31"/>
      <c r="U39" s="29" t="s">
        <v>125</v>
      </c>
      <c r="V39" s="29"/>
      <c r="W39" s="29"/>
      <c r="X39" s="29"/>
      <c r="Y39" s="29"/>
      <c r="Z39" s="29"/>
      <c r="AA39" s="29"/>
      <c r="AB39" s="30" t="s">
        <v>221</v>
      </c>
      <c r="AC39" s="51" t="n">
        <f aca="false">$X$10-2*$X$10*$X$12-$X$13</f>
        <v>3000</v>
      </c>
      <c r="AD39" s="51"/>
      <c r="AE39" s="51"/>
    </row>
    <row r="40" customFormat="false" ht="16.5" hidden="false" customHeight="true" outlineLevel="0" collapsed="false">
      <c r="M40" s="55" t="n">
        <f aca="false">SUM(M37:M39)</f>
        <v>25000</v>
      </c>
      <c r="N40" s="55"/>
      <c r="O40" s="55"/>
      <c r="R40" s="33"/>
      <c r="AC40" s="55" t="n">
        <f aca="false">SUM(AC37:AC39)</f>
        <v>25000</v>
      </c>
      <c r="AD40" s="55"/>
      <c r="AE40" s="55"/>
    </row>
    <row r="42" customFormat="false" ht="18.75" hidden="false" customHeight="true" outlineLevel="0" collapsed="false">
      <c r="B42" s="3" t="s">
        <v>225</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false" outlineLevel="0" collapsed="false">
      <c r="B43" s="22" t="s">
        <v>139</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customFormat="false" ht="15" hidden="false" customHeight="false" outlineLevel="0" collapsed="false">
      <c r="B44" s="34"/>
      <c r="C44" s="34"/>
      <c r="D44" s="34"/>
      <c r="E44" s="15" t="s">
        <v>64</v>
      </c>
      <c r="F44" s="15"/>
      <c r="G44" s="15"/>
      <c r="H44" s="15"/>
      <c r="I44" s="15"/>
      <c r="J44" s="15"/>
      <c r="K44" s="15"/>
      <c r="L44" s="15"/>
      <c r="M44" s="15"/>
      <c r="N44" s="15"/>
      <c r="O44" s="15"/>
      <c r="P44" s="15"/>
      <c r="Q44" s="15"/>
      <c r="R44" s="16" t="s">
        <v>81</v>
      </c>
      <c r="S44" s="16"/>
      <c r="T44" s="16"/>
      <c r="U44" s="16"/>
      <c r="V44" s="16"/>
      <c r="W44" s="16" t="s">
        <v>81</v>
      </c>
      <c r="X44" s="16"/>
      <c r="Y44" s="16"/>
      <c r="Z44" s="16"/>
      <c r="AA44" s="16"/>
      <c r="AB44" s="16" t="s">
        <v>81</v>
      </c>
      <c r="AC44" s="16"/>
      <c r="AD44" s="16"/>
      <c r="AE44" s="16"/>
      <c r="AF44" s="16"/>
    </row>
    <row r="45" customFormat="false" ht="30" hidden="false" customHeight="true" outlineLevel="0" collapsed="false">
      <c r="B45" s="34"/>
      <c r="C45" s="34"/>
      <c r="D45" s="34"/>
      <c r="E45" s="34"/>
      <c r="F45" s="34"/>
      <c r="G45" s="34"/>
      <c r="H45" s="34"/>
      <c r="I45" s="34"/>
      <c r="J45" s="34"/>
      <c r="K45" s="34"/>
      <c r="L45" s="34"/>
      <c r="M45" s="34"/>
      <c r="N45" s="34"/>
      <c r="O45" s="34"/>
      <c r="P45" s="34"/>
      <c r="Q45" s="34"/>
      <c r="R45" s="11" t="s">
        <v>82</v>
      </c>
      <c r="S45" s="11"/>
      <c r="T45" s="11"/>
      <c r="U45" s="11"/>
      <c r="V45" s="11"/>
      <c r="W45" s="11" t="s">
        <v>83</v>
      </c>
      <c r="X45" s="11"/>
      <c r="Y45" s="11"/>
      <c r="Z45" s="11"/>
      <c r="AA45" s="11"/>
      <c r="AB45" s="11" t="s">
        <v>84</v>
      </c>
      <c r="AC45" s="11"/>
      <c r="AD45" s="11"/>
      <c r="AE45" s="11"/>
      <c r="AF45" s="11"/>
    </row>
    <row r="46" customFormat="false" ht="17.25" hidden="false" customHeight="true" outlineLevel="0" collapsed="false">
      <c r="B46" s="35"/>
      <c r="C46" s="35"/>
      <c r="D46" s="35"/>
      <c r="E46" s="36" t="s">
        <v>85</v>
      </c>
      <c r="F46" s="36"/>
      <c r="G46" s="36"/>
      <c r="H46" s="36"/>
      <c r="I46" s="36"/>
      <c r="J46" s="36"/>
      <c r="K46" s="36"/>
      <c r="L46" s="36"/>
      <c r="M46" s="36"/>
      <c r="N46" s="36"/>
      <c r="O46" s="36"/>
      <c r="P46" s="36"/>
      <c r="Q46" s="36"/>
    </row>
    <row r="47" customFormat="false" ht="17.25" hidden="false" customHeight="true" outlineLevel="0" collapsed="false">
      <c r="B47" s="35"/>
      <c r="C47" s="35"/>
      <c r="D47" s="35"/>
      <c r="E47" s="29" t="s">
        <v>226</v>
      </c>
      <c r="F47" s="29"/>
      <c r="G47" s="29"/>
      <c r="H47" s="29"/>
      <c r="I47" s="29"/>
      <c r="J47" s="29"/>
      <c r="K47" s="29"/>
      <c r="L47" s="29"/>
      <c r="M47" s="29"/>
      <c r="N47" s="29"/>
      <c r="O47" s="29"/>
      <c r="P47" s="29"/>
      <c r="Q47" s="29"/>
      <c r="R47" s="51" t="n">
        <f aca="false">$X$11</f>
        <v>30000</v>
      </c>
      <c r="S47" s="51"/>
      <c r="T47" s="51"/>
      <c r="U47" s="51"/>
      <c r="W47" s="51" t="n">
        <f aca="false">2*$X$11*$X$12</f>
        <v>12000</v>
      </c>
      <c r="X47" s="51"/>
      <c r="Y47" s="51"/>
      <c r="Z47" s="51"/>
      <c r="AB47" s="51" t="n">
        <f aca="false">$X$11-2*$X$11*$X$12</f>
        <v>18000</v>
      </c>
      <c r="AC47" s="51"/>
      <c r="AD47" s="51"/>
      <c r="AE47" s="51"/>
    </row>
    <row r="49" customFormat="false" ht="18.75" hidden="false" customHeight="true" outlineLevel="0" collapsed="false">
      <c r="B49" s="3" t="s">
        <v>227</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7.25" hidden="false" customHeight="true" outlineLevel="0" collapsed="false">
      <c r="B50" s="19" t="s">
        <v>228</v>
      </c>
      <c r="C50" s="19"/>
      <c r="D50" s="19"/>
      <c r="E50" s="19"/>
      <c r="F50" s="19"/>
      <c r="G50" s="19"/>
      <c r="H50" s="19"/>
      <c r="I50" s="19"/>
      <c r="J50" s="19"/>
      <c r="K50" s="19"/>
      <c r="L50" s="19"/>
      <c r="M50" s="19"/>
      <c r="N50" s="19"/>
      <c r="O50" s="19"/>
      <c r="P50" s="19"/>
      <c r="Q50" s="19"/>
      <c r="R50" s="19"/>
      <c r="S50" s="19"/>
      <c r="T50" s="52" t="str">
        <f aca="false">"Consistency"</f>
        <v>Consistency</v>
      </c>
      <c r="U50" s="52"/>
      <c r="V50" s="52"/>
      <c r="W50" s="52"/>
      <c r="X50" s="52"/>
      <c r="Y50" s="52"/>
      <c r="Z50" s="52"/>
      <c r="AA50" s="52"/>
      <c r="AB50" s="52"/>
    </row>
    <row r="51" customFormat="false" ht="16.5" hidden="false" customHeight="true" outlineLevel="0" collapsed="false">
      <c r="B51" s="54" t="s">
        <v>237</v>
      </c>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customFormat="false" ht="16.5" hidden="false" customHeight="true" outlineLevel="0" collapsed="false">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row>
    <row r="53" customFormat="false" ht="16.5" hidden="false" customHeight="true" outlineLevel="0" collapsed="false">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row>
    <row r="54" customFormat="false" ht="16.5" hidden="false" customHeight="true" outlineLevel="0" collapsed="false">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row>
  </sheetData>
  <mergeCells count="117">
    <mergeCell ref="B1:AF1"/>
    <mergeCell ref="B2:AF2"/>
    <mergeCell ref="B3:AF3"/>
    <mergeCell ref="B5:AF5"/>
    <mergeCell ref="C6:AF6"/>
    <mergeCell ref="C7:AF7"/>
    <mergeCell ref="C8:AF8"/>
    <mergeCell ref="B9:W9"/>
    <mergeCell ref="X9:AC9"/>
    <mergeCell ref="B10:W10"/>
    <mergeCell ref="X10:AC10"/>
    <mergeCell ref="B11:W11"/>
    <mergeCell ref="X11:AC11"/>
    <mergeCell ref="B12:W12"/>
    <mergeCell ref="X12:AC12"/>
    <mergeCell ref="B13:W13"/>
    <mergeCell ref="X13:AC13"/>
    <mergeCell ref="B16:AF16"/>
    <mergeCell ref="B17:W17"/>
    <mergeCell ref="X17:AB17"/>
    <mergeCell ref="B18:W18"/>
    <mergeCell ref="X18:AB18"/>
    <mergeCell ref="B19:W19"/>
    <mergeCell ref="X19:AB19"/>
    <mergeCell ref="B21:AF21"/>
    <mergeCell ref="B22:D22"/>
    <mergeCell ref="E22:AC22"/>
    <mergeCell ref="AD22:AF22"/>
    <mergeCell ref="B23:D23"/>
    <mergeCell ref="E23:K23"/>
    <mergeCell ref="M23:P23"/>
    <mergeCell ref="R23:T23"/>
    <mergeCell ref="U23:AA23"/>
    <mergeCell ref="AC23:AF23"/>
    <mergeCell ref="B24:D24"/>
    <mergeCell ref="E24:K24"/>
    <mergeCell ref="M24:O24"/>
    <mergeCell ref="R24:T24"/>
    <mergeCell ref="U24:AA24"/>
    <mergeCell ref="AC24:AE24"/>
    <mergeCell ref="M25:O25"/>
    <mergeCell ref="AC25:AE25"/>
    <mergeCell ref="R26:T26"/>
    <mergeCell ref="U26:AA26"/>
    <mergeCell ref="AC26:AE26"/>
    <mergeCell ref="B27:D27"/>
    <mergeCell ref="E27:K27"/>
    <mergeCell ref="M27:O27"/>
    <mergeCell ref="R27:T27"/>
    <mergeCell ref="U27:AA27"/>
    <mergeCell ref="AC27:AE27"/>
    <mergeCell ref="M28:O28"/>
    <mergeCell ref="AC28:AE28"/>
    <mergeCell ref="B29:D29"/>
    <mergeCell ref="E29:K29"/>
    <mergeCell ref="M29:O29"/>
    <mergeCell ref="R29:T29"/>
    <mergeCell ref="U29:AA29"/>
    <mergeCell ref="AC29:AE29"/>
    <mergeCell ref="B30:D30"/>
    <mergeCell ref="E30:K30"/>
    <mergeCell ref="M30:O30"/>
    <mergeCell ref="R30:T30"/>
    <mergeCell ref="U30:AA30"/>
    <mergeCell ref="AC30:AE30"/>
    <mergeCell ref="M31:O31"/>
    <mergeCell ref="AC31:AE31"/>
    <mergeCell ref="R32:T32"/>
    <mergeCell ref="U32:AA32"/>
    <mergeCell ref="AC32:AE32"/>
    <mergeCell ref="B34:AF34"/>
    <mergeCell ref="B35:D35"/>
    <mergeCell ref="E35:AC35"/>
    <mergeCell ref="AD35:AF35"/>
    <mergeCell ref="B36:D36"/>
    <mergeCell ref="E36:K36"/>
    <mergeCell ref="M36:P36"/>
    <mergeCell ref="R36:T36"/>
    <mergeCell ref="U36:AA36"/>
    <mergeCell ref="AC36:AF36"/>
    <mergeCell ref="B37:D37"/>
    <mergeCell ref="E37:K37"/>
    <mergeCell ref="M37:O37"/>
    <mergeCell ref="R37:T37"/>
    <mergeCell ref="U37:AA37"/>
    <mergeCell ref="AC37:AE37"/>
    <mergeCell ref="R38:T38"/>
    <mergeCell ref="U38:AA38"/>
    <mergeCell ref="AC38:AE38"/>
    <mergeCell ref="R39:T39"/>
    <mergeCell ref="U39:AA39"/>
    <mergeCell ref="AC39:AE39"/>
    <mergeCell ref="M40:O40"/>
    <mergeCell ref="AC40:AE40"/>
    <mergeCell ref="B42:AF42"/>
    <mergeCell ref="B43:AF43"/>
    <mergeCell ref="B44:D44"/>
    <mergeCell ref="E44:Q44"/>
    <mergeCell ref="R44:V44"/>
    <mergeCell ref="W44:AA44"/>
    <mergeCell ref="AB44:AF44"/>
    <mergeCell ref="B45:D45"/>
    <mergeCell ref="E45:Q45"/>
    <mergeCell ref="R45:V45"/>
    <mergeCell ref="W45:AA45"/>
    <mergeCell ref="AB45:AF45"/>
    <mergeCell ref="B46:D46"/>
    <mergeCell ref="E46:Q46"/>
    <mergeCell ref="B47:D47"/>
    <mergeCell ref="E47:Q47"/>
    <mergeCell ref="R47:U47"/>
    <mergeCell ref="W47:Z47"/>
    <mergeCell ref="AB47:AE47"/>
    <mergeCell ref="B49:AF49"/>
    <mergeCell ref="B50:S50"/>
    <mergeCell ref="T50:AB50"/>
    <mergeCell ref="B51:AF54"/>
  </mergeCells>
  <conditionalFormatting sqref="B1:AG55">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2026-09-30T09:44:53Z</dcterms:created>
  <dc:creator>openpyxl</dc:creator>
  <dc:description/>
  <dc:language>en-US</dc:language>
  <cp:lastModifiedBy/>
  <dcterms:modified xsi:type="dcterms:W3CDTF">2026-09-30T09:44:54Z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