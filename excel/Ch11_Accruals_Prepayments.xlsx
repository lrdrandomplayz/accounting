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xpense Calculator" sheetId="2" state="visible" r:id="rId4"/>
    <sheet name="Income Calculator" sheetId="3" state="visible" r:id="rId5"/>
    <sheet name="Time Apportion" sheetId="4" state="visible" r:id="rId6"/>
    <sheet name="Ledger Account" sheetId="5" state="visible" r:id="rId7"/>
    <sheet name="Practice" sheetId="6" state="visible" r:id="rId8"/>
    <sheet name="Answer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<sst xmlns="http://schemas.openxmlformats.org/spreadsheetml/2006/main" count="118" uniqueCount="95">
  <si>
    <t xml:space="preserve">Chapter 11: Accruals and Prepayments</t>
  </si>
  <si>
    <t xml:space="preserve">Senior 1 Accounting. Free to use and share.</t>
  </si>
  <si>
    <t xml:space="preserve">How to use this workbook</t>
  </si>
  <si>
    <t xml:space="preserve">1. Start with the worked example sheets. Change any blue number and watch every answer update.</t>
  </si>
  <si>
    <t xml:space="preserve">2. Then try the Practice sheet. Type your answers in the yellow cells.</t>
  </si>
  <si>
    <t xml:space="preserve">3. The Check column tells you 'Correct' or 'Try again' as soon as you type.</t>
  </si>
  <si>
    <t xml:space="preserve">4. The Answers sheet is hidden. When you finish, right-click any sheet tab and choose Unhide to see full answers.</t>
  </si>
  <si>
    <t xml:space="preserve">Colour key</t>
  </si>
  <si>
    <t xml:space="preserve">Blue text = an input you can change.</t>
  </si>
  <si>
    <t xml:space="preserve">Black text = a formula. Do not type over it.</t>
  </si>
  <si>
    <t xml:space="preserve">Yellow cell = your answer goes here.</t>
  </si>
  <si>
    <t xml:space="preserve">Expense for the year (worked examples 11.1 to 11.3)</t>
  </si>
  <si>
    <t xml:space="preserve">Expense = Paid - Opening accrual + Opening prepayment + Closing accrual - Closing prepayment</t>
  </si>
  <si>
    <t xml:space="preserve">Expense</t>
  </si>
  <si>
    <t xml:space="preserve">Paid in year</t>
  </si>
  <si>
    <t xml:space="preserve">Opening accrual (owing)</t>
  </si>
  <si>
    <t xml:space="preserve">Opening prepayment</t>
  </si>
  <si>
    <t xml:space="preserve">Closing accrual (owing)</t>
  </si>
  <si>
    <t xml:space="preserve">Closing prepayment</t>
  </si>
  <si>
    <t xml:space="preserve">Expense for SPL</t>
  </si>
  <si>
    <t xml:space="preserve">SFP: other payables</t>
  </si>
  <si>
    <t xml:space="preserve">SFP: other receivables</t>
  </si>
  <si>
    <t xml:space="preserve">Rent</t>
  </si>
  <si>
    <t xml:space="preserve">Insurance</t>
  </si>
  <si>
    <t xml:space="preserve">Electricity</t>
  </si>
  <si>
    <t xml:space="preserve">Total</t>
  </si>
  <si>
    <t xml:space="preserve">Accrued expense: ADD to the expense, show as a current liability.</t>
  </si>
  <si>
    <t xml:space="preserve">Prepaid expense: SUBTRACT from the expense, show as a current asset.</t>
  </si>
  <si>
    <t xml:space="preserve">Income for the year (worked examples 11.4 and 11.5)</t>
  </si>
  <si>
    <t xml:space="preserve">Income = Received - Opening accrued + Opening in advance + Closing accrued - Closing in advance</t>
  </si>
  <si>
    <t xml:space="preserve">Income</t>
  </si>
  <si>
    <t xml:space="preserve">Received in year</t>
  </si>
  <si>
    <t xml:space="preserve">Opening accrued income (due)</t>
  </si>
  <si>
    <t xml:space="preserve">Opening income in advance</t>
  </si>
  <si>
    <t xml:space="preserve">Closing accrued income (due)</t>
  </si>
  <si>
    <t xml:space="preserve">Closing income in advance</t>
  </si>
  <si>
    <t xml:space="preserve">Income for SPL</t>
  </si>
  <si>
    <t xml:space="preserve">Rent received</t>
  </si>
  <si>
    <t xml:space="preserve">Commission received</t>
  </si>
  <si>
    <t xml:space="preserve">Accrued income: ADD to income, show as a current asset.</t>
  </si>
  <si>
    <t xml:space="preserve">Income in advance: SUBTRACT from income, show as a current liability.</t>
  </si>
  <si>
    <t xml:space="preserve">Worked example 11.2: splitting a payment by months</t>
  </si>
  <si>
    <t xml:space="preserve">Insurance paid in advance</t>
  </si>
  <si>
    <t xml:space="preserve">Amount paid</t>
  </si>
  <si>
    <t xml:space="preserve">Number of months the payment covers</t>
  </si>
  <si>
    <t xml:space="preserve">Months falling in THIS financial year</t>
  </si>
  <si>
    <t xml:space="preserve">Cost per month</t>
  </si>
  <si>
    <t xml:space="preserve">Expense for this year (SPL)</t>
  </si>
  <si>
    <t xml:space="preserve">Prepayment carried to next year (current asset)</t>
  </si>
  <si>
    <t xml:space="preserve">Electricity account (worked example 11.3)</t>
  </si>
  <si>
    <t xml:space="preserve">Linked to row 7 of the Expense Calculator. Change the inputs there.</t>
  </si>
  <si>
    <t xml:space="preserve">Dr</t>
  </si>
  <si>
    <t xml:space="preserve">Details</t>
  </si>
  <si>
    <t xml:space="preserve">$</t>
  </si>
  <si>
    <t xml:space="preserve">Cr</t>
  </si>
  <si>
    <t xml:space="preserve">Jan 1</t>
  </si>
  <si>
    <t xml:space="preserve">Balance b/d (prepaid)</t>
  </si>
  <si>
    <t xml:space="preserve">Balance b/d (owing)</t>
  </si>
  <si>
    <t xml:space="preserve">Bank (paid during year)</t>
  </si>
  <si>
    <t xml:space="preserve">Dec 31</t>
  </si>
  <si>
    <t xml:space="preserve">Income statement</t>
  </si>
  <si>
    <t xml:space="preserve">Balance c/d (owing)</t>
  </si>
  <si>
    <t xml:space="preserve">Balance c/d (prepaid)</t>
  </si>
  <si>
    <t xml:space="preserve">Both totals must agree. The Income statement figure is the balancing figure.</t>
  </si>
  <si>
    <t xml:space="preserve">Practice: Accruals and prepayments</t>
  </si>
  <si>
    <t xml:space="preserve">Type your answers in the yellow cells. The Check column marks them.</t>
  </si>
  <si>
    <t xml:space="preserve">Use the data below.</t>
  </si>
  <si>
    <t xml:space="preserve">Model Question 11.11 (Zara, year ended 31 March 2026)</t>
  </si>
  <si>
    <t xml:space="preserve">Wages owing at 1 April 2025</t>
  </si>
  <si>
    <t xml:space="preserve">Wages paid during the year</t>
  </si>
  <si>
    <t xml:space="preserve">Wages owing at 31 March 2026</t>
  </si>
  <si>
    <t xml:space="preserve">Rates prepaid at 1 April 2025</t>
  </si>
  <si>
    <t xml:space="preserve">Rates paid during the year</t>
  </si>
  <si>
    <t xml:space="preserve">Rates prepaid at 31 March 2026</t>
  </si>
  <si>
    <t xml:space="preserve">Commission received during the year</t>
  </si>
  <si>
    <t xml:space="preserve">Commission still due at 31 March 2026</t>
  </si>
  <si>
    <t xml:space="preserve">Model Question 11.7</t>
  </si>
  <si>
    <t xml:space="preserve">Insurance paid on 1 October 2025 for 12 months</t>
  </si>
  <si>
    <t xml:space="preserve">Months in the year to 31 December 2025</t>
  </si>
  <si>
    <t xml:space="preserve">Question</t>
  </si>
  <si>
    <t xml:space="preserve">Your answer</t>
  </si>
  <si>
    <t xml:space="preserve">Check</t>
  </si>
  <si>
    <t xml:space="preserve">Model Question 11.11</t>
  </si>
  <si>
    <t xml:space="preserve">Wages expense for the SPL</t>
  </si>
  <si>
    <t xml:space="preserve">Rates expense for the SPL</t>
  </si>
  <si>
    <t xml:space="preserve">Commission receivable for the SPL</t>
  </si>
  <si>
    <t xml:space="preserve">Wages account: total of each side</t>
  </si>
  <si>
    <t xml:space="preserve">SFP: total other receivables</t>
  </si>
  <si>
    <t xml:space="preserve">SFP: total other payables</t>
  </si>
  <si>
    <t xml:space="preserve">Insurance expense for 2025</t>
  </si>
  <si>
    <t xml:space="preserve">Insurance prepaid at 31 December 2025</t>
  </si>
  <si>
    <t xml:space="preserve">Your score (number correct)</t>
  </si>
  <si>
    <t xml:space="preserve">Practice: Accruals and prepayments: Answers</t>
  </si>
  <si>
    <t xml:space="preserve">Every answer is a formula linked to the Practice sheet data.</t>
  </si>
  <si>
    <t xml:space="preserve">Answer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</si>
</sst>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"/>
    <numFmt numFmtId="167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6" min="3" style="0" width="14"/>
    <col collapsed="false" customWidth="true" hidden="false" outlineLevel="0" max="9" min="7" style="0" width="15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45" hidden="false" customHeight="true" outlineLevel="0" collapsed="fals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</row>
    <row r="5" customFormat="false" ht="15" hidden="false" customHeight="false" outlineLevel="0" collapsed="false">
      <c r="A5" s="0" t="s">
        <v>22</v>
      </c>
      <c r="B5" s="8" t="n">
        <v>11000</v>
      </c>
      <c r="C5" s="8" t="n">
        <v>0</v>
      </c>
      <c r="D5" s="8" t="n">
        <v>0</v>
      </c>
      <c r="E5" s="8" t="n">
        <v>1000</v>
      </c>
      <c r="F5" s="8" t="n">
        <v>0</v>
      </c>
      <c r="G5" s="9" t="n">
        <f aca="false">B5-C5+D5+E5-F5</f>
        <v>12000</v>
      </c>
      <c r="H5" s="10" t="n">
        <f aca="false">E5</f>
        <v>1000</v>
      </c>
      <c r="I5" s="10" t="n">
        <f aca="false">F5</f>
        <v>0</v>
      </c>
    </row>
    <row r="6" customFormat="false" ht="15" hidden="false" customHeight="false" outlineLevel="0" collapsed="false">
      <c r="A6" s="0" t="s">
        <v>23</v>
      </c>
      <c r="B6" s="8" t="n">
        <v>3600</v>
      </c>
      <c r="C6" s="8" t="n">
        <v>0</v>
      </c>
      <c r="D6" s="8" t="n">
        <v>0</v>
      </c>
      <c r="E6" s="8" t="n">
        <v>0</v>
      </c>
      <c r="F6" s="8" t="n">
        <v>900</v>
      </c>
      <c r="G6" s="9" t="n">
        <f aca="false">B6-C6+D6+E6-F6</f>
        <v>2700</v>
      </c>
      <c r="H6" s="10" t="n">
        <f aca="false">E6</f>
        <v>0</v>
      </c>
      <c r="I6" s="10" t="n">
        <f aca="false">F6</f>
        <v>900</v>
      </c>
    </row>
    <row r="7" customFormat="false" ht="15" hidden="false" customHeight="false" outlineLevel="0" collapsed="false">
      <c r="A7" s="0" t="s">
        <v>24</v>
      </c>
      <c r="B7" s="8" t="n">
        <v>2500</v>
      </c>
      <c r="C7" s="8" t="n">
        <v>200</v>
      </c>
      <c r="D7" s="8" t="n">
        <v>0</v>
      </c>
      <c r="E7" s="8" t="n">
        <v>300</v>
      </c>
      <c r="F7" s="8" t="n">
        <v>0</v>
      </c>
      <c r="G7" s="9" t="n">
        <f aca="false">B7-C7+D7+E7-F7</f>
        <v>2600</v>
      </c>
      <c r="H7" s="10" t="n">
        <f aca="false">E7</f>
        <v>300</v>
      </c>
      <c r="I7" s="10" t="n">
        <f aca="false">F7</f>
        <v>0</v>
      </c>
    </row>
    <row r="8" customFormat="false" ht="15" hidden="false" customHeight="false" outlineLevel="0" collapsed="false">
      <c r="A8" s="3" t="s">
        <v>25</v>
      </c>
      <c r="B8" s="11" t="n">
        <f aca="false">SUM(B5:B7)</f>
        <v>17100</v>
      </c>
      <c r="C8" s="11" t="n">
        <f aca="false">SUM(C5:C7)</f>
        <v>200</v>
      </c>
      <c r="D8" s="11" t="n">
        <f aca="false">SUM(D5:D7)</f>
        <v>0</v>
      </c>
      <c r="E8" s="11" t="n">
        <f aca="false">SUM(E5:E7)</f>
        <v>1300</v>
      </c>
      <c r="F8" s="11" t="n">
        <f aca="false">SUM(F5:F7)</f>
        <v>900</v>
      </c>
      <c r="G8" s="11" t="n">
        <f aca="false">SUM(G5:G7)</f>
        <v>17300</v>
      </c>
      <c r="H8" s="11" t="n">
        <f aca="false">SUM(H5:H7)</f>
        <v>1300</v>
      </c>
      <c r="I8" s="11" t="n">
        <f aca="false">SUM(I5:I7)</f>
        <v>900</v>
      </c>
    </row>
    <row r="10" customFormat="false" ht="15" hidden="false" customHeight="false" outlineLevel="0" collapsed="false">
      <c r="A10" s="12" t="s">
        <v>26</v>
      </c>
    </row>
    <row r="11" customFormat="false" ht="15" hidden="false" customHeight="false" outlineLevel="0" collapsed="false">
      <c r="A11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6" min="3" style="0" width="14"/>
    <col collapsed="false" customWidth="true" hidden="false" outlineLevel="0" max="9" min="7" style="0" width="15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45" hidden="false" customHeight="true" outlineLevel="0" collapsed="false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21</v>
      </c>
      <c r="I4" s="7" t="s">
        <v>20</v>
      </c>
    </row>
    <row r="5" customFormat="false" ht="15" hidden="false" customHeight="false" outlineLevel="0" collapsed="false">
      <c r="A5" s="0" t="s">
        <v>37</v>
      </c>
      <c r="B5" s="8" t="n">
        <v>6500</v>
      </c>
      <c r="C5" s="8" t="n">
        <v>0</v>
      </c>
      <c r="D5" s="8" t="n">
        <v>0</v>
      </c>
      <c r="E5" s="8" t="n">
        <v>0</v>
      </c>
      <c r="F5" s="8" t="n">
        <v>500</v>
      </c>
      <c r="G5" s="9" t="n">
        <f aca="false">B5-C5+D5+E5-F5</f>
        <v>6000</v>
      </c>
      <c r="H5" s="10" t="n">
        <f aca="false">E5</f>
        <v>0</v>
      </c>
      <c r="I5" s="10" t="n">
        <f aca="false">F5</f>
        <v>500</v>
      </c>
    </row>
    <row r="6" customFormat="false" ht="15" hidden="false" customHeight="false" outlineLevel="0" collapsed="false">
      <c r="A6" s="0" t="s">
        <v>38</v>
      </c>
      <c r="B6" s="8" t="n">
        <v>1800</v>
      </c>
      <c r="C6" s="8" t="n">
        <v>0</v>
      </c>
      <c r="D6" s="8" t="n">
        <v>0</v>
      </c>
      <c r="E6" s="8" t="n">
        <v>200</v>
      </c>
      <c r="F6" s="8" t="n">
        <v>0</v>
      </c>
      <c r="G6" s="9" t="n">
        <f aca="false">B6-C6+D6+E6-F6</f>
        <v>2000</v>
      </c>
      <c r="H6" s="10" t="n">
        <f aca="false">E6</f>
        <v>200</v>
      </c>
      <c r="I6" s="10" t="n">
        <f aca="false">F6</f>
        <v>0</v>
      </c>
    </row>
    <row r="8" customFormat="false" ht="15" hidden="false" customHeight="false" outlineLevel="0" collapsed="false">
      <c r="A8" s="12" t="s">
        <v>39</v>
      </c>
    </row>
    <row r="9" customFormat="false" ht="15" hidden="false" customHeight="false" outlineLevel="0" collapsed="false">
      <c r="A9" s="1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4" t="s">
        <v>43</v>
      </c>
      <c r="B4" s="8" t="n">
        <v>3600</v>
      </c>
    </row>
    <row r="5" customFormat="false" ht="15" hidden="false" customHeight="false" outlineLevel="0" collapsed="false">
      <c r="A5" s="4" t="s">
        <v>44</v>
      </c>
      <c r="B5" s="13" t="n">
        <v>12</v>
      </c>
    </row>
    <row r="6" customFormat="false" ht="15" hidden="false" customHeight="false" outlineLevel="0" collapsed="false">
      <c r="A6" s="4" t="s">
        <v>45</v>
      </c>
      <c r="B6" s="13" t="n">
        <v>9</v>
      </c>
    </row>
    <row r="8" customFormat="false" ht="15" hidden="false" customHeight="false" outlineLevel="0" collapsed="false">
      <c r="A8" s="4" t="s">
        <v>46</v>
      </c>
      <c r="B8" s="14" t="n">
        <f aca="false">B4/B5</f>
        <v>300</v>
      </c>
    </row>
    <row r="9" customFormat="false" ht="15" hidden="false" customHeight="false" outlineLevel="0" collapsed="false">
      <c r="A9" s="3" t="s">
        <v>47</v>
      </c>
      <c r="B9" s="15" t="n">
        <f aca="false">B8*B6</f>
        <v>2700</v>
      </c>
    </row>
    <row r="10" customFormat="false" ht="15" hidden="false" customHeight="false" outlineLevel="0" collapsed="false">
      <c r="A10" s="3" t="s">
        <v>48</v>
      </c>
      <c r="B10" s="15" t="n">
        <f aca="false">B4-B9</f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7" t="s">
        <v>51</v>
      </c>
      <c r="B4" s="7" t="s">
        <v>52</v>
      </c>
      <c r="C4" s="7" t="s">
        <v>53</v>
      </c>
      <c r="D4" s="7"/>
      <c r="E4" s="7" t="s">
        <v>54</v>
      </c>
      <c r="F4" s="7" t="s">
        <v>52</v>
      </c>
      <c r="G4" s="7" t="s">
        <v>53</v>
      </c>
    </row>
    <row r="5" customFormat="false" ht="15" hidden="false" customHeight="false" outlineLevel="0" collapsed="false">
      <c r="A5" s="0" t="s">
        <v>55</v>
      </c>
      <c r="B5" s="0" t="s">
        <v>56</v>
      </c>
      <c r="C5" s="10" t="n">
        <f aca="false">'Expense Calculator'!D7</f>
        <v>0</v>
      </c>
      <c r="E5" s="16" t="s">
        <v>55</v>
      </c>
      <c r="F5" s="16" t="s">
        <v>57</v>
      </c>
      <c r="G5" s="10" t="n">
        <f aca="false">'Expense Calculator'!C7</f>
        <v>200</v>
      </c>
    </row>
    <row r="6" customFormat="false" ht="15" hidden="false" customHeight="false" outlineLevel="0" collapsed="false">
      <c r="B6" s="0" t="s">
        <v>58</v>
      </c>
      <c r="C6" s="10" t="n">
        <f aca="false">'Expense Calculator'!B7</f>
        <v>2500</v>
      </c>
      <c r="E6" s="16" t="s">
        <v>59</v>
      </c>
      <c r="F6" s="16" t="s">
        <v>60</v>
      </c>
      <c r="G6" s="10" t="n">
        <f aca="false">'Expense Calculator'!G7</f>
        <v>2600</v>
      </c>
    </row>
    <row r="7" customFormat="false" ht="15" hidden="false" customHeight="false" outlineLevel="0" collapsed="false">
      <c r="A7" s="0" t="s">
        <v>59</v>
      </c>
      <c r="B7" s="0" t="s">
        <v>61</v>
      </c>
      <c r="C7" s="10" t="n">
        <f aca="false">'Expense Calculator'!E7</f>
        <v>300</v>
      </c>
      <c r="E7" s="16" t="s">
        <v>59</v>
      </c>
      <c r="F7" s="16" t="s">
        <v>62</v>
      </c>
      <c r="G7" s="10" t="n">
        <f aca="false">'Expense Calculator'!F7</f>
        <v>0</v>
      </c>
    </row>
    <row r="8" customFormat="false" ht="15" hidden="false" customHeight="false" outlineLevel="0" collapsed="false">
      <c r="C8" s="11" t="n">
        <f aca="false">SUM(C5:C7)</f>
        <v>2800</v>
      </c>
      <c r="G8" s="11" t="n">
        <f aca="false">SUM(G5:G7)</f>
        <v>2800</v>
      </c>
    </row>
    <row r="9" customFormat="false" ht="15" hidden="false" customHeight="false" outlineLevel="0" collapsed="false">
      <c r="A9" s="0" t="s">
        <v>55</v>
      </c>
      <c r="B9" s="0" t="s">
        <v>56</v>
      </c>
      <c r="C9" s="10" t="n">
        <f aca="false">'Expense Calculator'!F7</f>
        <v>0</v>
      </c>
      <c r="E9" s="16" t="s">
        <v>55</v>
      </c>
      <c r="F9" s="16" t="s">
        <v>57</v>
      </c>
      <c r="G9" s="10" t="n">
        <f aca="false">'Expense Calculator'!E7</f>
        <v>300</v>
      </c>
    </row>
    <row r="11" customFormat="false" ht="15" hidden="false" customHeight="false" outlineLevel="0" collapsed="false">
      <c r="A11" s="1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15" hidden="false" customHeight="false" outlineLevel="0" collapsed="false">
      <c r="A3" s="4" t="s">
        <v>66</v>
      </c>
    </row>
    <row r="5" customFormat="false" ht="15" hidden="false" customHeight="false" outlineLevel="0" collapsed="false">
      <c r="A5" s="3" t="s">
        <v>67</v>
      </c>
    </row>
    <row r="6" customFormat="false" ht="15" hidden="false" customHeight="false" outlineLevel="0" collapsed="false">
      <c r="A6" s="4" t="s">
        <v>68</v>
      </c>
      <c r="B6" s="8" t="n">
        <v>300</v>
      </c>
    </row>
    <row r="7" customFormat="false" ht="15" hidden="false" customHeight="false" outlineLevel="0" collapsed="false">
      <c r="A7" s="4" t="s">
        <v>69</v>
      </c>
      <c r="B7" s="8" t="n">
        <v>18000</v>
      </c>
    </row>
    <row r="8" customFormat="false" ht="15" hidden="false" customHeight="false" outlineLevel="0" collapsed="false">
      <c r="A8" s="4" t="s">
        <v>70</v>
      </c>
      <c r="B8" s="8" t="n">
        <v>450</v>
      </c>
    </row>
    <row r="9" customFormat="false" ht="15" hidden="false" customHeight="false" outlineLevel="0" collapsed="false">
      <c r="A9" s="4" t="s">
        <v>71</v>
      </c>
      <c r="B9" s="8" t="n">
        <v>200</v>
      </c>
    </row>
    <row r="10" customFormat="false" ht="15" hidden="false" customHeight="false" outlineLevel="0" collapsed="false">
      <c r="A10" s="4" t="s">
        <v>72</v>
      </c>
      <c r="B10" s="8" t="n">
        <v>1600</v>
      </c>
    </row>
    <row r="11" customFormat="false" ht="15" hidden="false" customHeight="false" outlineLevel="0" collapsed="false">
      <c r="A11" s="4" t="s">
        <v>73</v>
      </c>
      <c r="B11" s="8" t="n">
        <v>250</v>
      </c>
    </row>
    <row r="12" customFormat="false" ht="15" hidden="false" customHeight="false" outlineLevel="0" collapsed="false">
      <c r="A12" s="4" t="s">
        <v>74</v>
      </c>
      <c r="B12" s="8" t="n">
        <v>3000</v>
      </c>
    </row>
    <row r="13" customFormat="false" ht="15" hidden="false" customHeight="false" outlineLevel="0" collapsed="false">
      <c r="A13" s="4" t="s">
        <v>75</v>
      </c>
      <c r="B13" s="8" t="n">
        <v>250</v>
      </c>
    </row>
    <row r="14" customFormat="false" ht="15" hidden="false" customHeight="false" outlineLevel="0" collapsed="false">
      <c r="A14" s="3" t="s">
        <v>76</v>
      </c>
    </row>
    <row r="15" customFormat="false" ht="15" hidden="false" customHeight="false" outlineLevel="0" collapsed="false">
      <c r="A15" s="4" t="s">
        <v>77</v>
      </c>
      <c r="B15" s="8" t="n">
        <v>4800</v>
      </c>
    </row>
    <row r="16" customFormat="false" ht="15" hidden="false" customHeight="false" outlineLevel="0" collapsed="false">
      <c r="A16" s="4" t="s">
        <v>78</v>
      </c>
      <c r="B16" s="13" t="n">
        <v>3</v>
      </c>
    </row>
    <row r="18" customFormat="false" ht="15" hidden="false" customHeight="false" outlineLevel="0" collapsed="false">
      <c r="A18" s="7" t="s">
        <v>79</v>
      </c>
      <c r="B18" s="7" t="s">
        <v>80</v>
      </c>
      <c r="C18" s="7" t="s">
        <v>81</v>
      </c>
    </row>
    <row r="19" customFormat="false" ht="15" hidden="false" customHeight="false" outlineLevel="0" collapsed="false">
      <c r="A19" s="3" t="s">
        <v>82</v>
      </c>
    </row>
    <row r="20" customFormat="false" ht="15" hidden="false" customHeight="false" outlineLevel="0" collapsed="false">
      <c r="A20" s="4" t="s">
        <v>83</v>
      </c>
      <c r="B20" s="17"/>
      <c r="C20" s="3" t="str">
        <f aca="false">IF(B20="","",IFERROR(IF(ABS(B20-Answers!B20)&lt;0.5,"Correct","Try again"),"Enter a number"))</f>
        <v/>
      </c>
    </row>
    <row r="21" customFormat="false" ht="15" hidden="false" customHeight="false" outlineLevel="0" collapsed="false">
      <c r="A21" s="4" t="s">
        <v>84</v>
      </c>
      <c r="B21" s="17"/>
      <c r="C21" s="3" t="str">
        <f aca="false">IF(B21="","",IFERROR(IF(ABS(B21-Answers!B21)&lt;0.5,"Correct","Try again"),"Enter a number"))</f>
        <v/>
      </c>
    </row>
    <row r="22" customFormat="false" ht="15" hidden="false" customHeight="false" outlineLevel="0" collapsed="false">
      <c r="A22" s="4" t="s">
        <v>85</v>
      </c>
      <c r="B22" s="17"/>
      <c r="C22" s="3" t="str">
        <f aca="false">IF(B22="","",IFERROR(IF(ABS(B22-Answers!B22)&lt;0.5,"Correct","Try again"),"Enter a number"))</f>
        <v/>
      </c>
    </row>
    <row r="23" customFormat="false" ht="15" hidden="false" customHeight="false" outlineLevel="0" collapsed="false">
      <c r="A23" s="4" t="s">
        <v>86</v>
      </c>
      <c r="B23" s="17"/>
      <c r="C23" s="3" t="str">
        <f aca="false">IF(B23="","",IFERROR(IF(ABS(B23-Answers!B23)&lt;0.5,"Correct","Try again"),"Enter a number"))</f>
        <v/>
      </c>
    </row>
    <row r="24" customFormat="false" ht="15" hidden="false" customHeight="false" outlineLevel="0" collapsed="false">
      <c r="A24" s="4" t="s">
        <v>87</v>
      </c>
      <c r="B24" s="17"/>
      <c r="C24" s="3" t="str">
        <f aca="false">IF(B24="","",IFERROR(IF(ABS(B24-Answers!B24)&lt;0.5,"Correct","Try again"),"Enter a number"))</f>
        <v/>
      </c>
    </row>
    <row r="25" customFormat="false" ht="15" hidden="false" customHeight="false" outlineLevel="0" collapsed="false">
      <c r="A25" s="4" t="s">
        <v>88</v>
      </c>
      <c r="B25" s="17"/>
      <c r="C25" s="3" t="str">
        <f aca="false">IF(B25="","",IFERROR(IF(ABS(B25-Answers!B25)&lt;0.5,"Correct","Try again"),"Enter a number"))</f>
        <v/>
      </c>
    </row>
    <row r="26" customFormat="false" ht="15" hidden="false" customHeight="false" outlineLevel="0" collapsed="false">
      <c r="A26" s="3" t="s">
        <v>76</v>
      </c>
    </row>
    <row r="27" customFormat="false" ht="15" hidden="false" customHeight="false" outlineLevel="0" collapsed="false">
      <c r="A27" s="4" t="s">
        <v>89</v>
      </c>
      <c r="B27" s="17"/>
      <c r="C27" s="3" t="str">
        <f aca="false">IF(B27="","",IFERROR(IF(ABS(B27-Answers!B27)&lt;0.5,"Correct","Try again"),"Enter a number"))</f>
        <v/>
      </c>
    </row>
    <row r="28" customFormat="false" ht="15" hidden="false" customHeight="false" outlineLevel="0" collapsed="false">
      <c r="A28" s="4" t="s">
        <v>90</v>
      </c>
      <c r="B28" s="17"/>
      <c r="C28" s="3" t="str">
        <f aca="false">IF(B28="","",IFERROR(IF(ABS(B28-Answers!B28)&lt;0.5,"Correct","Try again"),"Enter a number"))</f>
        <v/>
      </c>
    </row>
    <row r="30" customFormat="false" ht="15" hidden="false" customHeight="false" outlineLevel="0" collapsed="false">
      <c r="A30" s="3" t="s">
        <v>91</v>
      </c>
      <c r="B30" s="3" t="str">
        <f aca="false">COUNTIF(C19:C29,"Correct")&amp;" / "&amp;COUNTA(B19:B29)&amp;" answered"</f>
        <v>0 / 0 answered</v>
      </c>
    </row>
  </sheetData>
  <conditionalFormatting sqref="C19:C29">
    <cfRule type="expression" priority="2" aboveAverage="0" equalAverage="0" bottom="0" percent="0" rank="0" text="" dxfId="0">
      <formula>LEFT(C19,7)="Correct"</formula>
    </cfRule>
    <cfRule type="expression" priority="3" aboveAverage="0" equalAverage="0" bottom="0" percent="0" rank="0" text="" dxfId="1">
      <formula>LEFT(C19,3)="Try"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18" customFormat="false" ht="15" hidden="false" customHeight="false" outlineLevel="0" collapsed="false">
      <c r="A18" s="7" t="s">
        <v>79</v>
      </c>
      <c r="B18" s="7" t="s">
        <v>94</v>
      </c>
    </row>
    <row r="19" customFormat="false" ht="15" hidden="false" customHeight="false" outlineLevel="0" collapsed="false">
      <c r="A19" s="3" t="s">
        <v>82</v>
      </c>
    </row>
    <row r="20" customFormat="false" ht="15" hidden="false" customHeight="false" outlineLevel="0" collapsed="false">
      <c r="A20" s="4" t="s">
        <v>83</v>
      </c>
      <c r="B20" s="9" t="n">
        <f aca="false">Practice!$B$7-Practice!$B$6+Practice!$B$8</f>
        <v>18150</v>
      </c>
    </row>
    <row r="21" customFormat="false" ht="15" hidden="false" customHeight="false" outlineLevel="0" collapsed="false">
      <c r="A21" s="4" t="s">
        <v>84</v>
      </c>
      <c r="B21" s="9" t="n">
        <f aca="false">Practice!$B$10+Practice!$B$9-Practice!$B$11</f>
        <v>1550</v>
      </c>
    </row>
    <row r="22" customFormat="false" ht="15" hidden="false" customHeight="false" outlineLevel="0" collapsed="false">
      <c r="A22" s="4" t="s">
        <v>85</v>
      </c>
      <c r="B22" s="9" t="n">
        <f aca="false">Practice!$B$12+Practice!$B$13</f>
        <v>3250</v>
      </c>
    </row>
    <row r="23" customFormat="false" ht="15" hidden="false" customHeight="false" outlineLevel="0" collapsed="false">
      <c r="A23" s="4" t="s">
        <v>86</v>
      </c>
      <c r="B23" s="9" t="n">
        <f aca="false">Practice!$B$7+Practice!$B$8</f>
        <v>18450</v>
      </c>
    </row>
    <row r="24" customFormat="false" ht="15" hidden="false" customHeight="false" outlineLevel="0" collapsed="false">
      <c r="A24" s="4" t="s">
        <v>87</v>
      </c>
      <c r="B24" s="9" t="n">
        <f aca="false">Practice!$B$11+Practice!$B$13</f>
        <v>500</v>
      </c>
    </row>
    <row r="25" customFormat="false" ht="15" hidden="false" customHeight="false" outlineLevel="0" collapsed="false">
      <c r="A25" s="4" t="s">
        <v>88</v>
      </c>
      <c r="B25" s="9" t="n">
        <f aca="false">Practice!$B$8</f>
        <v>450</v>
      </c>
    </row>
    <row r="26" customFormat="false" ht="15" hidden="false" customHeight="false" outlineLevel="0" collapsed="false">
      <c r="A26" s="3" t="s">
        <v>76</v>
      </c>
    </row>
    <row r="27" customFormat="false" ht="15" hidden="false" customHeight="false" outlineLevel="0" collapsed="false">
      <c r="A27" s="4" t="s">
        <v>89</v>
      </c>
      <c r="B27" s="9" t="n">
        <f aca="false">Practice!$B$15/12*Practice!$B$16</f>
        <v>1200</v>
      </c>
    </row>
    <row r="28" customFormat="false" ht="15" hidden="false" customHeight="false" outlineLevel="0" collapsed="false">
      <c r="A28" s="4" t="s">
        <v>90</v>
      </c>
      <c r="B28" s="9" t="n">
        <f aca="false">Practice!$B$15-Practice!$B$15/12*Practice!$B$16</f>
        <v>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2026-09-30T09:13:09Z</dcterms:created>
  <dc:creator>openpyxl</dc:creator>
  <dc:description/>
  <dc:language>en-US</dc:language>
  <cp:lastModifiedBy/>
  <dcterms:modified xsi:type="dcterms:W3CDTF">2026-09-30T09:13:09Z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