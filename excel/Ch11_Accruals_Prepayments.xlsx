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pense Examples" sheetId="2" state="visible" r:id="rId4"/>
    <sheet name="Income Examples" sheetId="3" state="visible" r:id="rId5"/>
    <sheet name="Q11.8" sheetId="4" state="visible" r:id="rId6"/>
    <sheet name="Q11.9" sheetId="5" state="visible" r:id="rId7"/>
    <sheet name="Q11.10" sheetId="6" state="visible" r:id="rId8"/>
    <sheet name="Q11.11" sheetId="7" state="visible" r:id="rId9"/>
    <sheet name="Q11.12" sheetId="8" state="visible" r:id="rId10"/>
    <sheet name="QJ11.1" sheetId="9" state="visible" r:id="rId11"/>
    <sheet name="QJ11.2" sheetId="10" state="visible" r:id="rId12"/>
    <sheet name="P11.11" sheetId="11" state="visible" r:id="rId13"/>
    <sheet name="Q11.8 Ans" sheetId="12" state="visible" r:id="rId14"/>
    <sheet name="Q11.9 Ans" sheetId="13" state="visible" r:id="rId15"/>
    <sheet name="Q11.10 Ans" sheetId="14" state="visible" r:id="rId16"/>
    <sheet name="Q11.11 Ans" sheetId="15" state="visible" r:id="rId17"/>
    <sheet name="Q11.12 Ans" sheetId="16" state="visible" r:id="rId18"/>
    <sheet name="QJ11.1 Ans" sheetId="17" state="visible" r:id="rId19"/>
    <sheet name="QJ11.2 Ans" sheetId="18" state="visible" r:id="rId20"/>
    <sheet name="P11.11 Ans" sheetId="19" state="visible" r:id="rId21"/>
  </sheets>
  <definedNames>
    <definedName function="false" hidden="false" localSheetId="1" name="_xlnm.Print_Area" vbProcedure="false">'Expense Examples'!$A$1:$AG$51</definedName>
    <definedName function="false" hidden="false" localSheetId="2" name="_xlnm.Print_Area" vbProcedure="false">'Income Examples'!$A$1:$AG$37</definedName>
    <definedName function="false" hidden="false" localSheetId="10" name="_xlnm.Print_Area" vbProcedure="false">'P11.11'!$A$1:$AG$38</definedName>
    <definedName function="false" hidden="false" localSheetId="18" name="_xlnm.Print_Area" vbProcedure="false">'P11.11 Ans'!$A$1:$AG$38</definedName>
    <definedName function="false" hidden="false" localSheetId="5" name="_xlnm.Print_Area" vbProcedure="false">'Q11.10'!$A$1:$AG$43</definedName>
    <definedName function="false" hidden="false" localSheetId="13" name="_xlnm.Print_Area" vbProcedure="false">'Q11.10 Ans'!$A$1:$AG$43</definedName>
    <definedName function="false" hidden="false" localSheetId="6" name="_xlnm.Print_Area" vbProcedure="false">'Q11.11'!$A$1:$AG$38</definedName>
    <definedName function="false" hidden="false" localSheetId="14" name="_xlnm.Print_Area" vbProcedure="false">'Q11.11 Ans'!$A$1:$AG$38</definedName>
    <definedName function="false" hidden="false" localSheetId="7" name="_xlnm.Print_Area" vbProcedure="false">'Q11.12'!$A$1:$AG$58</definedName>
    <definedName function="false" hidden="false" localSheetId="15" name="_xlnm.Print_Area" vbProcedure="false">'Q11.12 Ans'!$A$1:$AG$58</definedName>
    <definedName function="false" hidden="false" localSheetId="3" name="_xlnm.Print_Area" vbProcedure="false">'Q11.8'!$A$1:$AG$28</definedName>
    <definedName function="false" hidden="false" localSheetId="11" name="_xlnm.Print_Area" vbProcedure="false">'Q11.8 Ans'!$A$1:$AG$28</definedName>
    <definedName function="false" hidden="false" localSheetId="4" name="_xlnm.Print_Area" vbProcedure="false">'Q11.9'!$A$1:$AG$47</definedName>
    <definedName function="false" hidden="false" localSheetId="12" name="_xlnm.Print_Area" vbProcedure="false">'Q11.9 Ans'!$A$1:$AG$47</definedName>
    <definedName function="false" hidden="false" localSheetId="8" name="_xlnm.Print_Area" vbProcedure="false">'QJ11.1'!$A$1:$AG$32</definedName>
    <definedName function="false" hidden="false" localSheetId="16" name="_xlnm.Print_Area" vbProcedure="false">'QJ11.1 Ans'!$A$1:$AG$32</definedName>
    <definedName function="false" hidden="false" localSheetId="9" name="_xlnm.Print_Area" vbProcedure="false">'QJ11.2'!$A$1:$AG$32</definedName>
    <definedName function="false" hidden="false" localSheetId="17" name="_xlnm.Print_Area" vbProcedure="false">'QJ11.2 Ans'!$A$1:$AG$32</definedName>
    <definedName function="false" hidden="false" localSheetId="0" name="_xlnm.Print_Area" vbProcedure="false">'Read Me'!$A$1:$AG$37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<sst xmlns="http://schemas.openxmlformats.org/spreadsheetml/2006/main" count="1092" uniqueCount="298">
  <si>
    <t xml:space="preserve">Chapter 11: Accruals and Prepayments</t>
  </si>
  <si>
    <t xml:space="preserve">Senior 1 Accounting. Free to use and share. Not for sale.</t>
  </si>
  <si>
    <t xml:space="preserve">How to use this workbook</t>
  </si>
  <si>
    <t xml:space="preserve">1. Read the notes first. Then open the orange Worked tabs: change any blue figure and watch the answers update.</t>
  </si>
  <si>
    <t xml:space="preserve">2. Try the blue question tabs in order. Type your answers in the yellow cells.</t>
  </si>
  <si>
    <t xml:space="preserve">3. The small column next to each yellow cell shows ✓ (correct) or ✗ (try again). Your score is at the top of each question.</t>
  </si>
  <si>
    <t xml:space="preserve">4. Particulars and dates are given so the sheet can mark your figures. Try writing each account, journal or statement on paper first.</t>
  </si>
  <si>
    <t xml:space="preserve">5. Written answers cannot be marked by Excel. Compare them with the model answers on the green tabs.</t>
  </si>
  <si>
    <t xml:space="preserve">6. The green Ans tabs show the full solutions in exam format.</t>
  </si>
  <si>
    <t xml:space="preserve">7. Purple P tabs are practice with new numbers: type any set number from 1 to 999 to get fresh figures. Their answers are on the matching P ... Ans tab, not in the printed answer key.</t>
  </si>
  <si>
    <t xml:space="preserve">Colour key</t>
  </si>
  <si>
    <t xml:space="preserve">Blue figure: data from the question. Teachers may change it to make a new version.</t>
  </si>
  <si>
    <t xml:space="preserve">Black figure: a formula. Do not type over it.</t>
  </si>
  <si>
    <t xml:space="preserve">Yellow cell: type your answer here (numbers only; enter 0 for nil).</t>
  </si>
  <si>
    <t xml:space="preserve">Green cell: the correct answer (Ans tabs).</t>
  </si>
  <si>
    <t xml:space="preserve">Formats used</t>
  </si>
  <si>
    <t xml:space="preserve">Journal: Date | Particulars | Debit | Credit. The first row shows the year, with RM under Debit and Credit.</t>
  </si>
  <si>
    <t xml:space="preserve">Ledger account: Dr side and Cr side, each with Date | Particulars | Folio | Amount. The first row under the headings shows the year, with RM in the Amount column; entries then show the month and day. Folio: GJ = general journal, CB = cash book.</t>
  </si>
  <si>
    <t xml:space="preserve">Statement of Profit or Loss: marker (Add / Less) | Particulars | RM | RM | RM.</t>
  </si>
  <si>
    <t xml:space="preserve">Statement of Financial Position: the same, with Cost | Accumulated Depreciation | Carrying Amount under the RM headings.</t>
  </si>
  <si>
    <t xml:space="preserve">Sheets in this workbook</t>
  </si>
  <si>
    <t xml:space="preserve">Sheet</t>
  </si>
  <si>
    <t xml:space="preserve">What it is</t>
  </si>
  <si>
    <t xml:space="preserve">Expense Examples</t>
  </si>
  <si>
    <t xml:space="preserve">Worked example (orange tab)</t>
  </si>
  <si>
    <t xml:space="preserve">Income Examples</t>
  </si>
  <si>
    <t xml:space="preserve">Q11.8</t>
  </si>
  <si>
    <t xml:space="preserve">Question 11.8 (Level 1: Easy). Answers: Q11.8 Ans (green tab).</t>
  </si>
  <si>
    <t xml:space="preserve">Q11.9</t>
  </si>
  <si>
    <t xml:space="preserve">Question 11.9 (Level 2: Easy to medium). Answers: Q11.9 Ans (green tab).</t>
  </si>
  <si>
    <t xml:space="preserve">Q11.10</t>
  </si>
  <si>
    <t xml:space="preserve">Question 11.10 (Level 3: Medium). Answers: Q11.10 Ans (green tab).</t>
  </si>
  <si>
    <t xml:space="preserve">Q11.11</t>
  </si>
  <si>
    <t xml:space="preserve">Question 11.11 (Level 4: Hard). Answers: Q11.11 Ans (green tab).</t>
  </si>
  <si>
    <t xml:space="preserve">Q11.12</t>
  </si>
  <si>
    <t xml:space="preserve">Question 11.12 (Level 5: Challenge). Answers: Q11.12 Ans (green tab).</t>
  </si>
  <si>
    <t xml:space="preserve">QJ11.1</t>
  </si>
  <si>
    <t xml:space="preserve">Question J11.1 (Journal practice, Level 2: Easy to medium). Answers: QJ11.1 Ans (green tab).</t>
  </si>
  <si>
    <t xml:space="preserve">QJ11.2</t>
  </si>
  <si>
    <t xml:space="preserve">Question J11.2 (Journal practice, Level 3: Medium). Answers: QJ11.2 Ans (green tab).</t>
  </si>
  <si>
    <t xml:space="preserve">P11.11</t>
  </si>
  <si>
    <t xml:space="preserve">Practice with new numbers for Question 11.11 (purple tab). Answers: P11.11 Ans.</t>
  </si>
  <si>
    <t xml:space="preserve">Worked example. Change any blue figure and every answer below updates.</t>
  </si>
  <si>
    <t xml:space="preserve">Black figures are formulas. Do not type over them.</t>
  </si>
  <si>
    <t xml:space="preserve">Worked examples 11.1 to 11.3. Expense = paid - opening accrual + opening prepayment + closing accrual - closing prepayment.</t>
  </si>
  <si>
    <t xml:space="preserve">Expense</t>
  </si>
  <si>
    <t xml:space="preserve">Paid in year</t>
  </si>
  <si>
    <t xml:space="preserve">Opening accrual (owing)</t>
  </si>
  <si>
    <t xml:space="preserve">Opening prepayment</t>
  </si>
  <si>
    <t xml:space="preserve">Closing accrual (owing)</t>
  </si>
  <si>
    <t xml:space="preserve">Closing prepayment</t>
  </si>
  <si>
    <t xml:space="preserve">Expense for the SPL</t>
  </si>
  <si>
    <t xml:space="preserve">SOFP: other payables</t>
  </si>
  <si>
    <t xml:space="preserve">SOFP: other receivables</t>
  </si>
  <si>
    <t xml:space="preserve">Rent</t>
  </si>
  <si>
    <t xml:space="preserve">Insurance</t>
  </si>
  <si>
    <t xml:space="preserve">Electricity</t>
  </si>
  <si>
    <t xml:space="preserve">All amounts in RM. Accrued expense: ADD, current liability. Prepaid expense: SUBTRACT, current asset.</t>
  </si>
  <si>
    <t xml:space="preserve">How to write an expense account in 4 steps</t>
  </si>
  <si>
    <t xml:space="preserve">Step 1: Start of year (Balance b/d). Bring down last year's closing balance on the first day of the year: an amount owing goes on the credit side, an amount prepaid goes on the debit side.</t>
  </si>
  <si>
    <t xml:space="preserve">Step 2: Bank. Enter the cash paid during the year on the debit side.</t>
  </si>
  <si>
    <t xml:space="preserve">Step 3: Profit or Loss. Enter this year's expense on the credit side (paid - opening accrual + opening prepayment + closing accrual - closing prepayment).</t>
  </si>
  <si>
    <t xml:space="preserve">Step 4: End of year (Balance c/d). Carry down the closing balance: an amount owing on the debit side, an amount prepaid on the credit side. Total both sides (they must agree), then bring the balance down on the opposite side on the first day of next year.</t>
  </si>
  <si>
    <t xml:space="preserve">Example 11.1: Rent account (RM1,000 per month; RM11,000 paid)</t>
  </si>
  <si>
    <t xml:space="preserve">Dr</t>
  </si>
  <si>
    <t xml:space="preserve">Rent Account</t>
  </si>
  <si>
    <t xml:space="preserve">Cr</t>
  </si>
  <si>
    <t xml:space="preserve">Date</t>
  </si>
  <si>
    <t xml:space="preserve">Particulars</t>
  </si>
  <si>
    <t xml:space="preserve">Folio</t>
  </si>
  <si>
    <t xml:space="preserve">Amount</t>
  </si>
  <si>
    <t xml:space="preserve">2025</t>
  </si>
  <si>
    <t xml:space="preserve">RM</t>
  </si>
  <si>
    <t xml:space="preserve">Jan 1</t>
  </si>
  <si>
    <t xml:space="preserve">Balance b/d (prepaid)</t>
  </si>
  <si>
    <t xml:space="preserve">Balance b/d (owing)</t>
  </si>
  <si>
    <t xml:space="preserve">Bank (paid during the year)</t>
  </si>
  <si>
    <t xml:space="preserve">CB1</t>
  </si>
  <si>
    <t xml:space="preserve">Dec 31</t>
  </si>
  <si>
    <t xml:space="preserve">Profit or loss</t>
  </si>
  <si>
    <t xml:space="preserve">GJ1</t>
  </si>
  <si>
    <t xml:space="preserve">Balance c/d (owing)</t>
  </si>
  <si>
    <t xml:space="preserve">Balance c/d (prepaid)</t>
  </si>
  <si>
    <t xml:space="preserve">2026</t>
  </si>
  <si>
    <t xml:space="preserve">Example 11.2: Insurance account (RM3,600 paid on 1 April for 12 months)</t>
  </si>
  <si>
    <t xml:space="preserve">Insurance Account</t>
  </si>
  <si>
    <t xml:space="preserve">Example 11.3: Electricity account (opening and closing balances)</t>
  </si>
  <si>
    <t xml:space="preserve">Electricity Account</t>
  </si>
  <si>
    <t xml:space="preserve">A dash means there is no amount for that line in this example.</t>
  </si>
  <si>
    <t xml:space="preserve">Worked examples 11.4 and 11.5. Income = received - opening accrued income + opening income in advance + closing accrued income - closing income in advance.</t>
  </si>
  <si>
    <t xml:space="preserve">Income</t>
  </si>
  <si>
    <t xml:space="preserve">Received in year</t>
  </si>
  <si>
    <t xml:space="preserve">Opening accrued income (due)</t>
  </si>
  <si>
    <t xml:space="preserve">Opening income in advance</t>
  </si>
  <si>
    <t xml:space="preserve">Closing accrued income (due)</t>
  </si>
  <si>
    <t xml:space="preserve">Closing income in advance</t>
  </si>
  <si>
    <t xml:space="preserve">Income for the SPL</t>
  </si>
  <si>
    <t xml:space="preserve">Rent received</t>
  </si>
  <si>
    <t xml:space="preserve">Commission received</t>
  </si>
  <si>
    <t xml:space="preserve">All amounts in RM. Accrued income: ADD, current asset. Income in advance: SUBTRACT, current liability.</t>
  </si>
  <si>
    <t xml:space="preserve">How to write an income account in 4 steps</t>
  </si>
  <si>
    <t xml:space="preserve">Step 1: Start of year (Balance b/d). Bring down last year's closing balance: income still due goes on the debit side, income received in advance goes on the credit side.</t>
  </si>
  <si>
    <t xml:space="preserve">Step 2: Bank. Enter the cash received during the year on the credit side.</t>
  </si>
  <si>
    <t xml:space="preserve">Step 3: Profit or Loss. Enter this year's income on the debit side (received - opening due + opening in advance + closing due - closing in advance).</t>
  </si>
  <si>
    <t xml:space="preserve">Step 4: End of year (Balance c/d). Carry down the closing balance: income received in advance on the debit side, income still due on the credit side. Total both sides, then bring the balance down on the opposite side on the first day of next year.</t>
  </si>
  <si>
    <t xml:space="preserve">Example 11.4: Rent received account</t>
  </si>
  <si>
    <t xml:space="preserve">Rent Received Account</t>
  </si>
  <si>
    <t xml:space="preserve">Balance b/d (due)</t>
  </si>
  <si>
    <t xml:space="preserve">Balance b/d (in advance)</t>
  </si>
  <si>
    <t xml:space="preserve">Bank (received during the year)</t>
  </si>
  <si>
    <t xml:space="preserve">Balance c/d (in advance)</t>
  </si>
  <si>
    <t xml:space="preserve">Balance c/d (due)</t>
  </si>
  <si>
    <t xml:space="preserve">Splitting a payment by months (example 11.2)</t>
  </si>
  <si>
    <t xml:space="preserve">Inputs</t>
  </si>
  <si>
    <t xml:space="preserve">Figure</t>
  </si>
  <si>
    <t xml:space="preserve">Amount paid (RM)</t>
  </si>
  <si>
    <t xml:space="preserve">Months the payment covers</t>
  </si>
  <si>
    <t xml:space="preserve">Months falling in this financial year</t>
  </si>
  <si>
    <t xml:space="preserve">Cost per month (RM)</t>
  </si>
  <si>
    <t xml:space="preserve">Expense for this year (RM)</t>
  </si>
  <si>
    <t xml:space="preserve">Prepayment carried to next year (RM)</t>
  </si>
  <si>
    <t xml:space="preserve">Question 11.8 (Level 1: Easy)</t>
  </si>
  <si>
    <t xml:space="preserve">Type your answers in the yellow cells. Numbers only: no RM, no commas. Enter 0 where the answer is nil. ✓ = correct, ✗ = try again.</t>
  </si>
  <si>
    <t xml:space="preserve">Your score:</t>
  </si>
  <si>
    <t xml:space="preserve">A business's year ends on 31 December 2025.</t>
  </si>
  <si>
    <t xml:space="preserve">•  Rent is RM800 per month. During the year the business paid RM8,800 rent.</t>
  </si>
  <si>
    <t xml:space="preserve">•  Insurance of RM1,800 was paid during the year. Of this, RM300 is for 2026.</t>
  </si>
  <si>
    <t xml:space="preserve">Figures from the question</t>
  </si>
  <si>
    <t xml:space="preserve">Rent per month (RM)</t>
  </si>
  <si>
    <t xml:space="preserve">Rent paid during the year (RM)</t>
  </si>
  <si>
    <t xml:space="preserve">Insurance paid during the year (RM)</t>
  </si>
  <si>
    <t xml:space="preserve">Insurance for 2026 (RM)</t>
  </si>
  <si>
    <t xml:space="preserve">a) Calculate the rent expense for the year and the amount of rent owing. (2)</t>
  </si>
  <si>
    <t xml:space="preserve">Rent expense for the year (RM)</t>
  </si>
  <si>
    <t xml:space="preserve">Rent owing at 31 December 2025 (RM)</t>
  </si>
  <si>
    <t xml:space="preserve">b) Calculate the insurance expense for the year. (1)</t>
  </si>
  <si>
    <t xml:space="preserve">Insurance expense for the year (RM)</t>
  </si>
  <si>
    <t xml:space="preserve">c) State where the rent owing and the insurance prepaid appear in the Statement of Financial Position. (2)</t>
  </si>
  <si>
    <t xml:space="preserve">Rent owing</t>
  </si>
  <si>
    <t xml:space="preserve">Insurance prepaid</t>
  </si>
  <si>
    <t xml:space="preserve">d) Name the concept which requires these adjustments. (1)</t>
  </si>
  <si>
    <t xml:space="preserve">Concept</t>
  </si>
  <si>
    <t xml:space="preserve">Question 11.9 (Level 2: Easy to medium)</t>
  </si>
  <si>
    <t xml:space="preserve">•  Electricity paid: March RM600, June RM550, September RM500. The bill for October to December, RM580, was paid in January 2026.</t>
  </si>
  <si>
    <t xml:space="preserve">•  On 1 July 2025 the business paid RM2,400 insurance for 12 months.</t>
  </si>
  <si>
    <t xml:space="preserve">Electricity paid in March (RM)</t>
  </si>
  <si>
    <t xml:space="preserve">Electricity paid in June (RM)</t>
  </si>
  <si>
    <t xml:space="preserve">Electricity paid in September (RM)</t>
  </si>
  <si>
    <t xml:space="preserve">Electricity owing at year end (RM)</t>
  </si>
  <si>
    <t xml:space="preserve">Insurance paid on 1 July 2025 for 12 months (RM)</t>
  </si>
  <si>
    <t xml:space="preserve">Months of insurance used in 2025</t>
  </si>
  <si>
    <t xml:space="preserve">a) Prepare the Electricity account for the year. Show the balance carried down and brought down. (4)</t>
  </si>
  <si>
    <t xml:space="preserve">Mar</t>
  </si>
  <si>
    <t xml:space="preserve">Bank</t>
  </si>
  <si>
    <t xml:space="preserve">Jun</t>
  </si>
  <si>
    <t xml:space="preserve">Sep</t>
  </si>
  <si>
    <t xml:space="preserve">Balance c/d</t>
  </si>
  <si>
    <t xml:space="preserve">Balance b/d</t>
  </si>
  <si>
    <t xml:space="preserve">b) Prepare the Insurance account for the year. Show the balance carried down and brought down. (4)</t>
  </si>
  <si>
    <t xml:space="preserve">Jul 1</t>
  </si>
  <si>
    <t xml:space="preserve">c) Show the amounts in the Statement of Financial Position at 31 December 2025. (2)</t>
  </si>
  <si>
    <t xml:space="preserve">Statement of Financial Position (extract) at 31 December 2025</t>
  </si>
  <si>
    <t xml:space="preserve">Cost</t>
  </si>
  <si>
    <t xml:space="preserve">Accumulated Depreciation</t>
  </si>
  <si>
    <t xml:space="preserve">Carrying Amount</t>
  </si>
  <si>
    <t xml:space="preserve">Current assets</t>
  </si>
  <si>
    <t xml:space="preserve">Other receivables (insurance prepaid)</t>
  </si>
  <si>
    <t xml:space="preserve">Less:</t>
  </si>
  <si>
    <t xml:space="preserve">Current liabilities</t>
  </si>
  <si>
    <t xml:space="preserve">Other payables (electricity owing)</t>
  </si>
  <si>
    <t xml:space="preserve">Question 11.10 (Level 3: Medium)</t>
  </si>
  <si>
    <t xml:space="preserve">Sam lets part of his premises for RM600 per month. His year ends on 31 December 2025.</t>
  </si>
  <si>
    <t xml:space="preserve">•  Rent received during 2025 was RM7,800. This includes the rent for January 2026.</t>
  </si>
  <si>
    <t xml:space="preserve">•  Commission received during 2025 was RM2,100. A further RM350 of commission for 2025 is still due.</t>
  </si>
  <si>
    <t xml:space="preserve">Rent received during 2025 (RM)</t>
  </si>
  <si>
    <t xml:space="preserve">Commission received during 2025 (RM)</t>
  </si>
  <si>
    <t xml:space="preserve">Commission still due (RM)</t>
  </si>
  <si>
    <t xml:space="preserve">a) Calculate the rent income for 2025 and the amount received in advance. (2)</t>
  </si>
  <si>
    <t xml:space="preserve">Rent income for 2025 (RM)</t>
  </si>
  <si>
    <t xml:space="preserve">Rent received in advance (RM)</t>
  </si>
  <si>
    <t xml:space="preserve">b) Prepare the Rent receivable account for the year. (4)</t>
  </si>
  <si>
    <t xml:space="preserve">Rent Receivable Account</t>
  </si>
  <si>
    <t xml:space="preserve">c) Calculate the commission income for 2025. (1)</t>
  </si>
  <si>
    <t xml:space="preserve">Commission income for 2025 (RM)</t>
  </si>
  <si>
    <t xml:space="preserve">d) Show the other receivables and other payables in the Statement of Financial Position. (2)</t>
  </si>
  <si>
    <t xml:space="preserve">Other receivables (commission due)</t>
  </si>
  <si>
    <t xml:space="preserve">Other payables (rent received in advance)</t>
  </si>
  <si>
    <t xml:space="preserve">e) State the effect on profit if Sam forgot to adjust for the rent received in advance. (1)</t>
  </si>
  <si>
    <t xml:space="preserve">Profit would be overstated by (RM)</t>
  </si>
  <si>
    <t xml:space="preserve">Question 11.11 (Level 4: Hard)</t>
  </si>
  <si>
    <t xml:space="preserve">Zara's year ends on 31 March 2026. The following information is available.</t>
  </si>
  <si>
    <t xml:space="preserve">Wages</t>
  </si>
  <si>
    <t xml:space="preserve">Owing at 1 April 2025 (RM)</t>
  </si>
  <si>
    <t xml:space="preserve">Paid during the year (RM)</t>
  </si>
  <si>
    <t xml:space="preserve">Owing at 31 March 2026 (RM)</t>
  </si>
  <si>
    <t xml:space="preserve">Rates</t>
  </si>
  <si>
    <t xml:space="preserve">Prepaid at 1 April 2025 (RM)</t>
  </si>
  <si>
    <t xml:space="preserve">Prepaid at 31 March 2026 (RM)</t>
  </si>
  <si>
    <t xml:space="preserve">Commission receivable</t>
  </si>
  <si>
    <t xml:space="preserve">Received during the year (RM)</t>
  </si>
  <si>
    <t xml:space="preserve">Still due at 31 March 2026 (RM)</t>
  </si>
  <si>
    <t xml:space="preserve">a) Calculate the amount for the Statement of Profit or Loss for wages, rates and commission receivable. (3)</t>
  </si>
  <si>
    <t xml:space="preserve">Wages expense (RM)</t>
  </si>
  <si>
    <t xml:space="preserve">Rates expense (RM)</t>
  </si>
  <si>
    <t xml:space="preserve">Commission receivable income (RM)</t>
  </si>
  <si>
    <t xml:space="preserve">b) Prepare the Wages account for the year, showing the balance carried down. (5)</t>
  </si>
  <si>
    <t xml:space="preserve">Wages Account</t>
  </si>
  <si>
    <t xml:space="preserve">Apr 1</t>
  </si>
  <si>
    <t xml:space="preserve">Mar 31</t>
  </si>
  <si>
    <t xml:space="preserve">c) Calculate the total of other receivables and other payables in the Statement of Financial Position at 31 March 2026. (2)</t>
  </si>
  <si>
    <t xml:space="preserve">Other receivables: rates prepaid + commission due (RM)</t>
  </si>
  <si>
    <t xml:space="preserve">Other payables: wages owing (RM)</t>
  </si>
  <si>
    <t xml:space="preserve">Question 11.12 (Level 5: Challenge)</t>
  </si>
  <si>
    <t xml:space="preserve">Tariq calculated a draft profit of RM32,000 for the year ended 31 December 2025. He used only the cash paid and received. No adjustments have been made.</t>
  </si>
  <si>
    <t xml:space="preserve">•  Insurance: RM750 was prepaid at 1 January 2025 (covering January to March 2025). On 1 April 2025 he paid RM3,600 for the year to 31 March 2026.</t>
  </si>
  <si>
    <t xml:space="preserve">•  Rent: RM1,000 per month until 30 June 2025, then RM1,200 per month from 1 July 2025. He paid RM13,000 during the year. Nothing was owing or prepaid at 1 January 2025.</t>
  </si>
  <si>
    <t xml:space="preserve">•  Wages: RM21,000 was paid during 2025. This includes RM400 owing at 1 January 2025. RM650 is owing at 31 December 2025.</t>
  </si>
  <si>
    <t xml:space="preserve">•  Rent received: RM4,500 was received in 2025. This includes RM300 owing from 2024 and RM500 for January 2026.</t>
  </si>
  <si>
    <t xml:space="preserve">•  Stationery: unused stationery at 31 December 2025 cost RM120.</t>
  </si>
  <si>
    <t xml:space="preserve">Draft profit (RM)</t>
  </si>
  <si>
    <t xml:space="preserve">Insurance prepaid at 1 January 2025 (RM)</t>
  </si>
  <si>
    <t xml:space="preserve">Insurance paid on 1 April 2025 for 12 months (RM)</t>
  </si>
  <si>
    <t xml:space="preserve">Months of that policy used in 2025</t>
  </si>
  <si>
    <t xml:space="preserve">Rent per month, January to June (RM)</t>
  </si>
  <si>
    <t xml:space="preserve">Rent per month, July to December (RM)</t>
  </si>
  <si>
    <t xml:space="preserve">Rent paid during 2025 (RM)</t>
  </si>
  <si>
    <t xml:space="preserve">Wages paid during 2025 (RM)</t>
  </si>
  <si>
    <t xml:space="preserve">Wages owing at 1 January 2025 (RM)</t>
  </si>
  <si>
    <t xml:space="preserve">Wages owing at 31 December 2025 (RM)</t>
  </si>
  <si>
    <t xml:space="preserve">Rent received in 2025 (RM)</t>
  </si>
  <si>
    <t xml:space="preserve">Of which: owing from 2024 (RM)</t>
  </si>
  <si>
    <t xml:space="preserve">Of which: for January 2026 (RM)</t>
  </si>
  <si>
    <t xml:space="preserve">Unused stationery (RM)</t>
  </si>
  <si>
    <t xml:space="preserve">a) Calculate the correct amount for the Statement of Profit or Loss for insurance, rent, wages and rent received. (5)</t>
  </si>
  <si>
    <t xml:space="preserve">Insurance expense (RM)</t>
  </si>
  <si>
    <t xml:space="preserve">Rent expense (RM)</t>
  </si>
  <si>
    <t xml:space="preserve">Rent received: income for 2025 (RM)</t>
  </si>
  <si>
    <t xml:space="preserve">b) Calculate the corrected profit for the year. Show each adjustment. (5)</t>
  </si>
  <si>
    <t xml:space="preserve">Tariq: calculation of corrected profit for the year ended 31 December 2025</t>
  </si>
  <si>
    <t xml:space="preserve">Draft profit</t>
  </si>
  <si>
    <t xml:space="preserve">Add:</t>
  </si>
  <si>
    <t xml:space="preserve">Insurance: cash paid less expense</t>
  </si>
  <si>
    <t xml:space="preserve">Rent: expense less cash paid</t>
  </si>
  <si>
    <t xml:space="preserve">Wages: expense less cash paid</t>
  </si>
  <si>
    <t xml:space="preserve">Rent received: cash less income</t>
  </si>
  <si>
    <t xml:space="preserve">Unused stationery</t>
  </si>
  <si>
    <t xml:space="preserve">Corrected profit</t>
  </si>
  <si>
    <t xml:space="preserve">c) Calculate other receivables and other payables for the Statement of Financial Position. (4)</t>
  </si>
  <si>
    <t xml:space="preserve">Other receivables: insurance prepaid + unused stationery (RM)</t>
  </si>
  <si>
    <t xml:space="preserve">Other payables: rent owing + wages owing + rent received in advance (RM)</t>
  </si>
  <si>
    <t xml:space="preserve">d) Prepare the Insurance account for the year. (4)</t>
  </si>
  <si>
    <t xml:space="preserve">Question J11.1 (Journal practice, Level 2: Easy to medium)</t>
  </si>
  <si>
    <t xml:space="preserve">Siva's year ends on 31 December 2025. Prepare the year-end adjustment journals.</t>
  </si>
  <si>
    <t xml:space="preserve">•  Electricity of RM420 for December is owing.</t>
  </si>
  <si>
    <t xml:space="preserve">•  On 1 October 2025 insurance of RM2,400 was paid for 12 months.</t>
  </si>
  <si>
    <t xml:space="preserve">•  Wages of RM650 are owing.</t>
  </si>
  <si>
    <t xml:space="preserve">Electricity owing (RM)</t>
  </si>
  <si>
    <t xml:space="preserve">Insurance paid on 1 October 2025 (RM)</t>
  </si>
  <si>
    <t xml:space="preserve">Wages owing (RM)</t>
  </si>
  <si>
    <t xml:space="preserve">a) Calculate the insurance expense for 2025 and the amount prepaid. (2)</t>
  </si>
  <si>
    <t xml:space="preserve">Insurance expense for 2025 (RM)</t>
  </si>
  <si>
    <t xml:space="preserve">Insurance prepaid at 31 December 2025 (RM)</t>
  </si>
  <si>
    <t xml:space="preserve">b) Prepare the journal entries. (6)</t>
  </si>
  <si>
    <t xml:space="preserve">Debit</t>
  </si>
  <si>
    <t xml:space="preserve">Credit</t>
  </si>
  <si>
    <t xml:space="preserve">Accrued expenses (other payables)</t>
  </si>
  <si>
    <t xml:space="preserve">(Being electricity owing at the year end)</t>
  </si>
  <si>
    <t xml:space="preserve">Prepaid expenses (other receivables)</t>
  </si>
  <si>
    <t xml:space="preserve">(Being insurance paid in advance for 2026)</t>
  </si>
  <si>
    <t xml:space="preserve">(Being wages owing at the year end)</t>
  </si>
  <si>
    <t xml:space="preserve">Question J11.2 (Journal practice, Level 3: Medium)</t>
  </si>
  <si>
    <t xml:space="preserve">•  Siva lets a room for RM500 per month. Rent received in 2025 was RM6,500, which includes January 2026.</t>
  </si>
  <si>
    <t xml:space="preserve">•  Commission receivable of RM380 for 2025 has not been received.</t>
  </si>
  <si>
    <t xml:space="preserve">•  Unused stationery at 31 December 2025 cost RM150.</t>
  </si>
  <si>
    <t xml:space="preserve">Commission receivable due (RM)</t>
  </si>
  <si>
    <t xml:space="preserve">a) Calculate the rent income for 2025 and the rent received in advance. (2)</t>
  </si>
  <si>
    <t xml:space="preserve">Rent receivable</t>
  </si>
  <si>
    <t xml:space="preserve">Income received in advance (other payables)</t>
  </si>
  <si>
    <t xml:space="preserve">(Being rent received in advance for January 2026)</t>
  </si>
  <si>
    <t xml:space="preserve">Accrued income (other receivables)</t>
  </si>
  <si>
    <t xml:space="preserve">(Being commission earned but not yet received)</t>
  </si>
  <si>
    <t xml:space="preserve">Inventory of stationery (other receivables)</t>
  </si>
  <si>
    <t xml:space="preserve">Stationery</t>
  </si>
  <si>
    <t xml:space="preserve">(Being unused stationery carried forward)</t>
  </si>
  <si>
    <t xml:space="preserve">Practice with new numbers: Question 11.11</t>
  </si>
  <si>
    <t xml:space="preserve">Practice with new numbers: the situation matches the printed question, but the figures change with the set number below. Type your answers in the yellow cells. Numbers only: no RM, no commas. Enter 0 where the answer is nil. ✓ = correct, ✗ = try again.</t>
  </si>
  <si>
    <t xml:space="preserve">Question set number (type any whole number from 1 to 999):</t>
  </si>
  <si>
    <t xml:space="preserve">Each number gives a new set of figures.</t>
  </si>
  <si>
    <t xml:space="preserve">Question 11.8 (Level 1: Easy): Answers</t>
  </si>
  <si>
    <t xml:space="preserve">Answer sheet. Green cells hold the correct answers. Each figure is a formula linked to the question sheet, so the answers follow any change to the blue figures.</t>
  </si>
  <si>
    <t xml:space="preserve">Written answers are model answers: other wording that makes the same points also earns the marks.</t>
  </si>
  <si>
    <t xml:space="preserve">Question 11.9 (Level 2: Easy to medium): Answers</t>
  </si>
  <si>
    <t xml:space="preserve">Question 11.10 (Level 3: Medium): Answers</t>
  </si>
  <si>
    <t xml:space="preserve">Question 11.11 (Level 4: Hard): Answers</t>
  </si>
  <si>
    <t xml:space="preserve">Question 11.12 (Level 5: Challenge): Answers</t>
  </si>
  <si>
    <t xml:space="preserve">Question J11.1 (Journal practice, Level 2: Easy to medium): Answers</t>
  </si>
  <si>
    <t xml:space="preserve">Question J11.2 (Journal practice, Level 3: Medium): Answers</t>
  </si>
  <si>
    <t xml:space="preserve">Practice with new numbers: Question 11.11: Answers</t>
  </si>
</sst>
</file>

<file path=xl/styles.xml><?xml version="1.0" encoding="utf-8"?>
<styleSheet xmlns="http://schemas.openxmlformats.org/spreadsheetml/2006/main">
  <numFmts count="4">
    <numFmt numFmtId="164" formatCode="General"/>
    <numFmt numFmtId="165" formatCode="#,##0;\(#,##0\);\-"/>
    <numFmt numFmtId="166" formatCode="0"/>
    <numFmt numFmtId="167" formatCode="#,##0.00;\(#,##0.00\);\-"/>
  </numFmts>
  <fonts count="15">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10"/>
      <color rgb="FF595959"/>
      <name val="Arial"/>
      <family val="0"/>
      <charset val="1"/>
    </font>
    <font>
      <b val="true"/>
      <sz val="10"/>
      <color rgb="FF1F3864"/>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b val="true"/>
      <sz val="9"/>
      <color rgb="FF000000"/>
      <name val="Arial"/>
      <family val="0"/>
      <charset val="1"/>
    </font>
    <font>
      <sz val="9"/>
      <color rgb="FF595959"/>
      <name val="Arial"/>
      <family val="0"/>
      <charset val="1"/>
    </font>
    <font>
      <i val="true"/>
      <sz val="10"/>
      <color rgb="FF000000"/>
      <name val="Arial"/>
      <family val="0"/>
      <charset val="1"/>
    </font>
    <font>
      <b val="true"/>
      <i val="true"/>
      <sz val="10"/>
      <color rgb="FF000000"/>
      <name val="Arial"/>
      <family val="0"/>
      <charset val="1"/>
    </font>
    <font>
      <sz val="10"/>
      <color rgb="FF008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DEBF7"/>
        <bgColor rgb="FFD9E1F2"/>
      </patternFill>
    </fill>
    <fill>
      <patternFill patternType="solid">
        <fgColor rgb="FFF2F2F2"/>
        <bgColor rgb="FFE2EFDA"/>
      </patternFill>
    </fill>
    <fill>
      <patternFill patternType="solid">
        <fgColor rgb="FFFFF59D"/>
        <bgColor rgb="FFE2EFDA"/>
      </patternFill>
    </fill>
    <fill>
      <patternFill patternType="solid">
        <fgColor rgb="FFE2EFDA"/>
        <bgColor rgb="FFDDEBF7"/>
      </patternFill>
    </fill>
    <fill>
      <patternFill patternType="solid">
        <fgColor rgb="FFD9E1F2"/>
        <bgColor rgb="FFDDEBF7"/>
      </patternFill>
    </fill>
  </fills>
  <borders count="9">
    <border diagonalUp="false" diagonalDown="false">
      <left/>
      <right/>
      <top/>
      <bottom/>
      <diagonal/>
    </border>
    <border diagonalUp="false" diagonalDown="false">
      <left style="medium">
        <color rgb="FF1F3864"/>
      </left>
      <right/>
      <top/>
      <bottom/>
      <diagonal/>
    </border>
    <border diagonalUp="false" diagonalDown="false">
      <left style="thin">
        <color rgb="FFB4C6E7"/>
      </left>
      <right style="thin">
        <color rgb="FFB4C6E7"/>
      </right>
      <top style="thin">
        <color rgb="FFB4C6E7"/>
      </top>
      <bottom style="thin">
        <color rgb="FFB4C6E7"/>
      </bottom>
      <diagonal/>
    </border>
    <border diagonalUp="false" diagonalDown="false">
      <left/>
      <right/>
      <top/>
      <bottom style="medium">
        <color rgb="FF1F3864"/>
      </bottom>
      <diagonal/>
    </border>
    <border diagonalUp="false" diagonalDown="false">
      <left style="medium">
        <color rgb="FF1F3864"/>
      </left>
      <right/>
      <top/>
      <bottom style="medium">
        <color rgb="FF1F3864"/>
      </bottom>
      <diagonal/>
    </border>
    <border diagonalUp="false" diagonalDown="false">
      <left/>
      <right/>
      <top style="thin"/>
      <bottom style="double"/>
      <diagonal/>
    </border>
    <border diagonalUp="false" diagonalDown="false">
      <left/>
      <right/>
      <top/>
      <bottom style="thin">
        <color rgb="FFB4C6E7"/>
      </bottom>
      <diagonal/>
    </border>
    <border diagonalUp="false" diagonalDown="false">
      <left style="thin">
        <color rgb="FFB4C6E7"/>
      </left>
      <right style="thin">
        <color rgb="FFB4C6E7"/>
      </right>
      <top style="thin"/>
      <bottom style="double"/>
      <diagonal/>
    </border>
    <border diagonalUp="false" diagonalDown="false">
      <left style="thin">
        <color rgb="FFB4C6E7"/>
      </left>
      <right style="thin">
        <color rgb="FFB4C6E7"/>
      </right>
      <top style="thin">
        <color rgb="FFB4C6E7"/>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5" fontId="8" fillId="4"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5" fontId="7" fillId="0" borderId="0"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5" fontId="9" fillId="6" borderId="0" xfId="0" applyFont="true" applyBorder="true" applyAlignment="true" applyProtection="false">
      <alignment horizontal="right" vertical="center" textRotation="0" wrapText="false" indent="0" shrinkToFit="false"/>
      <protection locked="true" hidden="false"/>
    </xf>
    <xf numFmtId="164" fontId="9" fillId="7" borderId="2" xfId="0" applyFont="true" applyBorder="true" applyAlignment="true" applyProtection="false">
      <alignment horizontal="left" vertical="top" textRotation="0" wrapText="true" indent="0" shrinkToFit="false"/>
      <protection locked="true" hidden="false"/>
    </xf>
    <xf numFmtId="164" fontId="9" fillId="7" borderId="2" xfId="0" applyFont="true" applyBorder="true" applyAlignment="true" applyProtection="false">
      <alignment horizontal="center"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5" fontId="8" fillId="4" borderId="2" xfId="0" applyFont="true" applyBorder="true" applyAlignment="true" applyProtection="false">
      <alignment horizontal="right" vertical="center" textRotation="0" wrapText="false" indent="0" shrinkToFit="false"/>
      <protection locked="true" hidden="false"/>
    </xf>
    <xf numFmtId="165" fontId="7" fillId="0" borderId="2"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4" fontId="9" fillId="7" borderId="3" xfId="0" applyFont="true" applyBorder="true" applyAlignment="true" applyProtection="false">
      <alignment horizontal="left" vertical="center" textRotation="0" wrapText="false" indent="0" shrinkToFit="false"/>
      <protection locked="true" hidden="false"/>
    </xf>
    <xf numFmtId="164" fontId="10" fillId="7" borderId="3" xfId="0" applyFont="true" applyBorder="true" applyAlignment="true" applyProtection="false">
      <alignment horizontal="center" vertical="center" textRotation="0" wrapText="false" indent="0" shrinkToFit="false"/>
      <protection locked="true" hidden="false"/>
    </xf>
    <xf numFmtId="164" fontId="9" fillId="7" borderId="3" xfId="0" applyFont="true" applyBorder="true" applyAlignment="true" applyProtection="false">
      <alignment horizontal="center" vertical="center" textRotation="0" wrapText="false" indent="0" shrinkToFit="false"/>
      <protection locked="true" hidden="false"/>
    </xf>
    <xf numFmtId="164" fontId="7" fillId="0" borderId="3" xfId="0" applyFont="true" applyBorder="true" applyAlignment="true" applyProtection="false">
      <alignment horizontal="left" vertical="center" textRotation="0" wrapText="false" indent="0" shrinkToFit="false"/>
      <protection locked="true" hidden="false"/>
    </xf>
    <xf numFmtId="164" fontId="9" fillId="7" borderId="4"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7" fillId="0" borderId="5" xfId="0" applyFont="tru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6" fontId="8" fillId="4" borderId="2" xfId="0" applyFont="true" applyBorder="true" applyAlignment="true" applyProtection="false">
      <alignment horizontal="right" vertical="center" textRotation="0" wrapText="false" indent="0" shrinkToFit="false"/>
      <protection locked="true" hidden="false"/>
    </xf>
    <xf numFmtId="164" fontId="7" fillId="0" borderId="6" xfId="0" applyFont="true" applyBorder="true" applyAlignment="true" applyProtection="false">
      <alignment horizontal="left" vertical="center" textRotation="0" wrapText="true" indent="0" shrinkToFit="false"/>
      <protection locked="true" hidden="false"/>
    </xf>
    <xf numFmtId="167" fontId="7" fillId="0" borderId="0" xfId="0" applyFont="true" applyBorder="true" applyAlignment="true" applyProtection="false">
      <alignment horizontal="right" vertical="center" textRotation="0" wrapText="fals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5" fontId="7" fillId="5" borderId="7" xfId="0" applyFont="true" applyBorder="true" applyAlignment="true" applyProtection="false">
      <alignment horizontal="right" vertical="center" textRotation="0" wrapText="false" indent="0" shrinkToFit="false"/>
      <protection locked="true" hidden="false"/>
    </xf>
    <xf numFmtId="164" fontId="7" fillId="7" borderId="2"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13" fillId="0" borderId="2" xfId="0" applyFont="true" applyBorder="true" applyAlignment="true" applyProtection="false">
      <alignment horizontal="left" vertical="center" textRotation="0" wrapText="false" indent="0" shrinkToFit="false"/>
      <protection locked="true" hidden="false"/>
    </xf>
    <xf numFmtId="165" fontId="7" fillId="5" borderId="8"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3"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5" fontId="14" fillId="4" borderId="2" xfId="0" applyFont="true" applyBorder="true" applyAlignment="true" applyProtection="false">
      <alignment horizontal="right" vertical="center" textRotation="0" wrapText="false" indent="0" shrinkToFit="false"/>
      <protection locked="true" hidden="false"/>
    </xf>
    <xf numFmtId="165" fontId="9" fillId="6" borderId="2" xfId="0" applyFont="true" applyBorder="true" applyAlignment="true" applyProtection="false">
      <alignment horizontal="right" vertical="center" textRotation="0" wrapText="false" indent="0" shrinkToFit="false"/>
      <protection locked="true" hidden="false"/>
    </xf>
    <xf numFmtId="164" fontId="9" fillId="6" borderId="2" xfId="0" applyFont="true" applyBorder="true" applyAlignment="true" applyProtection="false">
      <alignment horizontal="center" vertical="top" textRotation="0" wrapText="true" indent="0" shrinkToFit="false"/>
      <protection locked="true" hidden="false"/>
    </xf>
    <xf numFmtId="166" fontId="14" fillId="4" borderId="2" xfId="0" applyFont="true" applyBorder="true" applyAlignment="true" applyProtection="false">
      <alignment horizontal="right" vertical="center" textRotation="0" wrapText="false" indent="0" shrinkToFit="false"/>
      <protection locked="true" hidden="false"/>
    </xf>
    <xf numFmtId="165" fontId="9" fillId="6" borderId="7" xfId="0" applyFont="true" applyBorder="true" applyAlignment="true" applyProtection="false">
      <alignment horizontal="right" vertical="center" textRotation="0" wrapText="false" indent="0" shrinkToFit="false"/>
      <protection locked="true" hidden="false"/>
    </xf>
    <xf numFmtId="165" fontId="9" fillId="6" borderId="8"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B050"/>
      </font>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7030A0"/>
      <rgbColor rgb="FFF2F2F2"/>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59D"/>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00B050"/>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AF3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6.5" hidden="false" customHeight="true" outlineLevel="0" collapsed="false">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4" customFormat="false" ht="18.75" hidden="false" customHeight="true" outlineLevel="0" collapsed="false">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ustomFormat="false" ht="16.5" hidden="false" customHeight="true" outlineLevel="0" collapsed="false">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B6" s="4" t="s">
        <v>4</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B7" s="4" t="s">
        <v>5</v>
      </c>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B8" s="4" t="s">
        <v>6</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B9" s="4" t="s">
        <v>7</v>
      </c>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B10" s="4" t="s">
        <v>8</v>
      </c>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ustomFormat="false" ht="30" hidden="false" customHeight="true" outlineLevel="0" collapsed="false">
      <c r="B11" s="4" t="s">
        <v>9</v>
      </c>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3" customFormat="false" ht="18.75" hidden="false" customHeight="true" outlineLevel="0" collapsed="false">
      <c r="B13" s="3" t="s">
        <v>10</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ustomFormat="false" ht="15" hidden="false" customHeight="false" outlineLevel="0" collapsed="false">
      <c r="B14" s="5" t="n">
        <v>1000</v>
      </c>
      <c r="C14" s="5"/>
      <c r="D14" s="5"/>
      <c r="E14" s="5"/>
      <c r="F14" s="5"/>
      <c r="H14" s="6" t="s">
        <v>11</v>
      </c>
      <c r="I14" s="6"/>
      <c r="J14" s="6"/>
      <c r="K14" s="6"/>
      <c r="L14" s="6"/>
      <c r="M14" s="6"/>
      <c r="N14" s="6"/>
      <c r="O14" s="6"/>
      <c r="P14" s="6"/>
      <c r="Q14" s="6"/>
      <c r="R14" s="6"/>
      <c r="S14" s="6"/>
      <c r="T14" s="6"/>
      <c r="U14" s="6"/>
      <c r="V14" s="6"/>
      <c r="W14" s="6"/>
      <c r="X14" s="6"/>
      <c r="Y14" s="6"/>
      <c r="Z14" s="6"/>
      <c r="AA14" s="6"/>
      <c r="AB14" s="6"/>
      <c r="AC14" s="6"/>
      <c r="AD14" s="6"/>
      <c r="AE14" s="6"/>
      <c r="AF14" s="6"/>
    </row>
    <row r="15" customFormat="false" ht="15" hidden="false" customHeight="false" outlineLevel="0" collapsed="false">
      <c r="B15" s="7" t="n">
        <v>1000</v>
      </c>
      <c r="C15" s="7"/>
      <c r="D15" s="7"/>
      <c r="E15" s="7"/>
      <c r="F15" s="7"/>
      <c r="H15" s="6" t="s">
        <v>12</v>
      </c>
      <c r="I15" s="6"/>
      <c r="J15" s="6"/>
      <c r="K15" s="6"/>
      <c r="L15" s="6"/>
      <c r="M15" s="6"/>
      <c r="N15" s="6"/>
      <c r="O15" s="6"/>
      <c r="P15" s="6"/>
      <c r="Q15" s="6"/>
      <c r="R15" s="6"/>
      <c r="S15" s="6"/>
      <c r="T15" s="6"/>
      <c r="U15" s="6"/>
      <c r="V15" s="6"/>
      <c r="W15" s="6"/>
      <c r="X15" s="6"/>
      <c r="Y15" s="6"/>
      <c r="Z15" s="6"/>
      <c r="AA15" s="6"/>
      <c r="AB15" s="6"/>
      <c r="AC15" s="6"/>
      <c r="AD15" s="6"/>
      <c r="AE15" s="6"/>
      <c r="AF15" s="6"/>
    </row>
    <row r="16" customFormat="false" ht="15" hidden="false" customHeight="false" outlineLevel="0" collapsed="false">
      <c r="B16" s="8"/>
      <c r="C16" s="8"/>
      <c r="D16" s="8"/>
      <c r="E16" s="8"/>
      <c r="F16" s="8"/>
      <c r="H16" s="6" t="s">
        <v>13</v>
      </c>
      <c r="I16" s="6"/>
      <c r="J16" s="6"/>
      <c r="K16" s="6"/>
      <c r="L16" s="6"/>
      <c r="M16" s="6"/>
      <c r="N16" s="6"/>
      <c r="O16" s="6"/>
      <c r="P16" s="6"/>
      <c r="Q16" s="6"/>
      <c r="R16" s="6"/>
      <c r="S16" s="6"/>
      <c r="T16" s="6"/>
      <c r="U16" s="6"/>
      <c r="V16" s="6"/>
      <c r="W16" s="6"/>
      <c r="X16" s="6"/>
      <c r="Y16" s="6"/>
      <c r="Z16" s="6"/>
      <c r="AA16" s="6"/>
      <c r="AB16" s="6"/>
      <c r="AC16" s="6"/>
      <c r="AD16" s="6"/>
      <c r="AE16" s="6"/>
      <c r="AF16" s="6"/>
    </row>
    <row r="17" customFormat="false" ht="15" hidden="false" customHeight="false" outlineLevel="0" collapsed="false">
      <c r="B17" s="9" t="n">
        <v>1000</v>
      </c>
      <c r="C17" s="9"/>
      <c r="D17" s="9"/>
      <c r="E17" s="9"/>
      <c r="F17" s="9"/>
      <c r="H17" s="6" t="s">
        <v>14</v>
      </c>
      <c r="I17" s="6"/>
      <c r="J17" s="6"/>
      <c r="K17" s="6"/>
      <c r="L17" s="6"/>
      <c r="M17" s="6"/>
      <c r="N17" s="6"/>
      <c r="O17" s="6"/>
      <c r="P17" s="6"/>
      <c r="Q17" s="6"/>
      <c r="R17" s="6"/>
      <c r="S17" s="6"/>
      <c r="T17" s="6"/>
      <c r="U17" s="6"/>
      <c r="V17" s="6"/>
      <c r="W17" s="6"/>
      <c r="X17" s="6"/>
      <c r="Y17" s="6"/>
      <c r="Z17" s="6"/>
      <c r="AA17" s="6"/>
      <c r="AB17" s="6"/>
      <c r="AC17" s="6"/>
      <c r="AD17" s="6"/>
      <c r="AE17" s="6"/>
      <c r="AF17" s="6"/>
    </row>
    <row r="19" customFormat="false" ht="18.75" hidden="false" customHeight="true" outlineLevel="0" collapsed="false">
      <c r="B19" s="3" t="s">
        <v>15</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ustomFormat="false" ht="16.5" hidden="false" customHeight="true" outlineLevel="0" collapsed="false">
      <c r="B20" s="4" t="s">
        <v>16</v>
      </c>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ustomFormat="false" ht="30" hidden="false" customHeight="true" outlineLevel="0" collapsed="false">
      <c r="B21" s="4" t="s">
        <v>17</v>
      </c>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ustomFormat="false" ht="16.5" hidden="false" customHeight="true" outlineLevel="0" collapsed="false">
      <c r="B22" s="4" t="s">
        <v>18</v>
      </c>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ustomFormat="false" ht="16.5" hidden="false" customHeight="true" outlineLevel="0" collapsed="false">
      <c r="B23" s="4" t="s">
        <v>19</v>
      </c>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5" customFormat="false" ht="18.75" hidden="false" customHeight="true" outlineLevel="0" collapsed="false">
      <c r="B25" s="3" t="s">
        <v>20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0" t="s">
        <v>21</v>
      </c>
      <c r="C26" s="10"/>
      <c r="D26" s="10"/>
      <c r="E26" s="10"/>
      <c r="F26" s="10"/>
      <c r="G26" s="10"/>
      <c r="H26" s="10"/>
      <c r="I26" s="11" t="s">
        <v>22</v>
      </c>
      <c r="J26" s="11"/>
      <c r="K26" s="11"/>
      <c r="L26" s="11"/>
      <c r="M26" s="11"/>
      <c r="N26" s="11"/>
      <c r="O26" s="11"/>
      <c r="P26" s="11"/>
      <c r="Q26" s="11"/>
      <c r="R26" s="11"/>
      <c r="S26" s="11"/>
      <c r="T26" s="11"/>
      <c r="U26" s="11"/>
      <c r="V26" s="11"/>
      <c r="W26" s="11"/>
      <c r="X26" s="11"/>
      <c r="Y26" s="11"/>
      <c r="Z26" s="11"/>
      <c r="AA26" s="11"/>
      <c r="AB26" s="11"/>
      <c r="AC26" s="11"/>
      <c r="AD26" s="11"/>
      <c r="AE26" s="11"/>
      <c r="AF26" s="11"/>
    </row>
    <row r="27" customFormat="false" ht="17.25" hidden="false" customHeight="true" outlineLevel="0" collapsed="false">
      <c r="B27" s="12" t="s">
        <v>23</v>
      </c>
      <c r="C27" s="12"/>
      <c r="D27" s="12"/>
      <c r="E27" s="12"/>
      <c r="F27" s="12"/>
      <c r="G27" s="12"/>
      <c r="H27" s="12"/>
      <c r="I27" s="13" t="s">
        <v>24</v>
      </c>
      <c r="J27" s="13"/>
      <c r="K27" s="13"/>
      <c r="L27" s="13"/>
      <c r="M27" s="13"/>
      <c r="N27" s="13"/>
      <c r="O27" s="13"/>
      <c r="P27" s="13"/>
      <c r="Q27" s="13"/>
      <c r="R27" s="13"/>
      <c r="S27" s="13"/>
      <c r="T27" s="13"/>
      <c r="U27" s="13"/>
      <c r="V27" s="13"/>
      <c r="W27" s="13"/>
      <c r="X27" s="13"/>
      <c r="Y27" s="13"/>
      <c r="Z27" s="13"/>
      <c r="AA27" s="13"/>
      <c r="AB27" s="13"/>
      <c r="AC27" s="13"/>
      <c r="AD27" s="13"/>
      <c r="AE27" s="13"/>
      <c r="AF27" s="13"/>
    </row>
    <row r="28" customFormat="false" ht="17.25" hidden="false" customHeight="true" outlineLevel="0" collapsed="false">
      <c r="B28" s="12" t="s">
        <v>25</v>
      </c>
      <c r="C28" s="12"/>
      <c r="D28" s="12"/>
      <c r="E28" s="12"/>
      <c r="F28" s="12"/>
      <c r="G28" s="12"/>
      <c r="H28" s="12"/>
      <c r="I28" s="13" t="s">
        <v>24</v>
      </c>
      <c r="J28" s="13"/>
      <c r="K28" s="13"/>
      <c r="L28" s="13"/>
      <c r="M28" s="13"/>
      <c r="N28" s="13"/>
      <c r="O28" s="13"/>
      <c r="P28" s="13"/>
      <c r="Q28" s="13"/>
      <c r="R28" s="13"/>
      <c r="S28" s="13"/>
      <c r="T28" s="13"/>
      <c r="U28" s="13"/>
      <c r="V28" s="13"/>
      <c r="W28" s="13"/>
      <c r="X28" s="13"/>
      <c r="Y28" s="13"/>
      <c r="Z28" s="13"/>
      <c r="AA28" s="13"/>
      <c r="AB28" s="13"/>
      <c r="AC28" s="13"/>
      <c r="AD28" s="13"/>
      <c r="AE28" s="13"/>
      <c r="AF28" s="13"/>
    </row>
    <row r="29" customFormat="false" ht="17.25" hidden="false" customHeight="true" outlineLevel="0" collapsed="false">
      <c r="B29" s="12" t="s">
        <v>26</v>
      </c>
      <c r="C29" s="12"/>
      <c r="D29" s="12"/>
      <c r="E29" s="12"/>
      <c r="F29" s="12"/>
      <c r="G29" s="12"/>
      <c r="H29" s="12"/>
      <c r="I29" s="13" t="s">
        <v>27</v>
      </c>
      <c r="J29" s="13"/>
      <c r="K29" s="13"/>
      <c r="L29" s="13"/>
      <c r="M29" s="13"/>
      <c r="N29" s="13"/>
      <c r="O29" s="13"/>
      <c r="P29" s="13"/>
      <c r="Q29" s="13"/>
      <c r="R29" s="13"/>
      <c r="S29" s="13"/>
      <c r="T29" s="13"/>
      <c r="U29" s="13"/>
      <c r="V29" s="13"/>
      <c r="W29" s="13"/>
      <c r="X29" s="13"/>
      <c r="Y29" s="13"/>
      <c r="Z29" s="13"/>
      <c r="AA29" s="13"/>
      <c r="AB29" s="13"/>
      <c r="AC29" s="13"/>
      <c r="AD29" s="13"/>
      <c r="AE29" s="13"/>
      <c r="AF29" s="13"/>
    </row>
    <row r="30" customFormat="false" ht="17.25" hidden="false" customHeight="true" outlineLevel="0" collapsed="false">
      <c r="B30" s="12" t="s">
        <v>28</v>
      </c>
      <c r="C30" s="12"/>
      <c r="D30" s="12"/>
      <c r="E30" s="12"/>
      <c r="F30" s="12"/>
      <c r="G30" s="12"/>
      <c r="H30" s="12"/>
      <c r="I30" s="13" t="s">
        <v>29</v>
      </c>
      <c r="J30" s="13"/>
      <c r="K30" s="13"/>
      <c r="L30" s="13"/>
      <c r="M30" s="13"/>
      <c r="N30" s="13"/>
      <c r="O30" s="13"/>
      <c r="P30" s="13"/>
      <c r="Q30" s="13"/>
      <c r="R30" s="13"/>
      <c r="S30" s="13"/>
      <c r="T30" s="13"/>
      <c r="U30" s="13"/>
      <c r="V30" s="13"/>
      <c r="W30" s="13"/>
      <c r="X30" s="13"/>
      <c r="Y30" s="13"/>
      <c r="Z30" s="13"/>
      <c r="AA30" s="13"/>
      <c r="AB30" s="13"/>
      <c r="AC30" s="13"/>
      <c r="AD30" s="13"/>
      <c r="AE30" s="13"/>
      <c r="AF30" s="13"/>
    </row>
    <row r="31" customFormat="false" ht="17.25" hidden="false" customHeight="true" outlineLevel="0" collapsed="false">
      <c r="B31" s="12" t="s">
        <v>30</v>
      </c>
      <c r="C31" s="12"/>
      <c r="D31" s="12"/>
      <c r="E31" s="12"/>
      <c r="F31" s="12"/>
      <c r="G31" s="12"/>
      <c r="H31" s="12"/>
      <c r="I31" s="13" t="s">
        <v>31</v>
      </c>
      <c r="J31" s="13"/>
      <c r="K31" s="13"/>
      <c r="L31" s="13"/>
      <c r="M31" s="13"/>
      <c r="N31" s="13"/>
      <c r="O31" s="13"/>
      <c r="P31" s="13"/>
      <c r="Q31" s="13"/>
      <c r="R31" s="13"/>
      <c r="S31" s="13"/>
      <c r="T31" s="13"/>
      <c r="U31" s="13"/>
      <c r="V31" s="13"/>
      <c r="W31" s="13"/>
      <c r="X31" s="13"/>
      <c r="Y31" s="13"/>
      <c r="Z31" s="13"/>
      <c r="AA31" s="13"/>
      <c r="AB31" s="13"/>
      <c r="AC31" s="13"/>
      <c r="AD31" s="13"/>
      <c r="AE31" s="13"/>
      <c r="AF31" s="13"/>
    </row>
    <row r="32" customFormat="false" ht="17.25" hidden="false" customHeight="true" outlineLevel="0" collapsed="false">
      <c r="B32" s="12" t="s">
        <v>32</v>
      </c>
      <c r="C32" s="12"/>
      <c r="D32" s="12"/>
      <c r="E32" s="12"/>
      <c r="F32" s="12"/>
      <c r="G32" s="12"/>
      <c r="H32" s="12"/>
      <c r="I32" s="13" t="s">
        <v>33</v>
      </c>
      <c r="J32" s="13"/>
      <c r="K32" s="13"/>
      <c r="L32" s="13"/>
      <c r="M32" s="13"/>
      <c r="N32" s="13"/>
      <c r="O32" s="13"/>
      <c r="P32" s="13"/>
      <c r="Q32" s="13"/>
      <c r="R32" s="13"/>
      <c r="S32" s="13"/>
      <c r="T32" s="13"/>
      <c r="U32" s="13"/>
      <c r="V32" s="13"/>
      <c r="W32" s="13"/>
      <c r="X32" s="13"/>
      <c r="Y32" s="13"/>
      <c r="Z32" s="13"/>
      <c r="AA32" s="13"/>
      <c r="AB32" s="13"/>
      <c r="AC32" s="13"/>
      <c r="AD32" s="13"/>
      <c r="AE32" s="13"/>
      <c r="AF32" s="13"/>
    </row>
    <row r="33" customFormat="false" ht="17.25" hidden="false" customHeight="true" outlineLevel="0" collapsed="false">
      <c r="B33" s="12" t="s">
        <v>34</v>
      </c>
      <c r="C33" s="12"/>
      <c r="D33" s="12"/>
      <c r="E33" s="12"/>
      <c r="F33" s="12"/>
      <c r="G33" s="12"/>
      <c r="H33" s="12"/>
      <c r="I33" s="13" t="s">
        <v>35</v>
      </c>
      <c r="J33" s="13"/>
      <c r="K33" s="13"/>
      <c r="L33" s="13"/>
      <c r="M33" s="13"/>
      <c r="N33" s="13"/>
      <c r="O33" s="13"/>
      <c r="P33" s="13"/>
      <c r="Q33" s="13"/>
      <c r="R33" s="13"/>
      <c r="S33" s="13"/>
      <c r="T33" s="13"/>
      <c r="U33" s="13"/>
      <c r="V33" s="13"/>
      <c r="W33" s="13"/>
      <c r="X33" s="13"/>
      <c r="Y33" s="13"/>
      <c r="Z33" s="13"/>
      <c r="AA33" s="13"/>
      <c r="AB33" s="13"/>
      <c r="AC33" s="13"/>
      <c r="AD33" s="13"/>
      <c r="AE33" s="13"/>
      <c r="AF33" s="13"/>
    </row>
    <row r="34" customFormat="false" ht="17.25" hidden="false" customHeight="true" outlineLevel="0" collapsed="false">
      <c r="B34" s="12" t="s">
        <v>36</v>
      </c>
      <c r="C34" s="12"/>
      <c r="D34" s="12"/>
      <c r="E34" s="12"/>
      <c r="F34" s="12"/>
      <c r="G34" s="12"/>
      <c r="H34" s="12"/>
      <c r="I34" s="13" t="s">
        <v>37</v>
      </c>
      <c r="J34" s="13"/>
      <c r="K34" s="13"/>
      <c r="L34" s="13"/>
      <c r="M34" s="13"/>
      <c r="N34" s="13"/>
      <c r="O34" s="13"/>
      <c r="P34" s="13"/>
      <c r="Q34" s="13"/>
      <c r="R34" s="13"/>
      <c r="S34" s="13"/>
      <c r="T34" s="13"/>
      <c r="U34" s="13"/>
      <c r="V34" s="13"/>
      <c r="W34" s="13"/>
      <c r="X34" s="13"/>
      <c r="Y34" s="13"/>
      <c r="Z34" s="13"/>
      <c r="AA34" s="13"/>
      <c r="AB34" s="13"/>
      <c r="AC34" s="13"/>
      <c r="AD34" s="13"/>
      <c r="AE34" s="13"/>
      <c r="AF34" s="13"/>
    </row>
    <row r="35" customFormat="false" ht="17.25" hidden="false" customHeight="true" outlineLevel="0" collapsed="false">
      <c r="B35" s="12" t="s">
        <v>38</v>
      </c>
      <c r="C35" s="12"/>
      <c r="D35" s="12"/>
      <c r="E35" s="12"/>
      <c r="F35" s="12"/>
      <c r="G35" s="12"/>
      <c r="H35" s="12"/>
      <c r="I35" s="13" t="s">
        <v>39</v>
      </c>
      <c r="J35" s="13"/>
      <c r="K35" s="13"/>
      <c r="L35" s="13"/>
      <c r="M35" s="13"/>
      <c r="N35" s="13"/>
      <c r="O35" s="13"/>
      <c r="P35" s="13"/>
      <c r="Q35" s="13"/>
      <c r="R35" s="13"/>
      <c r="S35" s="13"/>
      <c r="T35" s="13"/>
      <c r="U35" s="13"/>
      <c r="V35" s="13"/>
      <c r="W35" s="13"/>
      <c r="X35" s="13"/>
      <c r="Y35" s="13"/>
      <c r="Z35" s="13"/>
      <c r="AA35" s="13"/>
      <c r="AB35" s="13"/>
      <c r="AC35" s="13"/>
      <c r="AD35" s="13"/>
      <c r="AE35" s="13"/>
      <c r="AF35" s="13"/>
    </row>
    <row r="36" customFormat="false" ht="17.25" hidden="false" customHeight="true" outlineLevel="0" collapsed="false">
      <c r="B36" s="12" t="s">
        <v>40</v>
      </c>
      <c r="C36" s="12"/>
      <c r="D36" s="12"/>
      <c r="E36" s="12"/>
      <c r="F36" s="12"/>
      <c r="G36" s="12"/>
      <c r="H36" s="12"/>
      <c r="I36" s="13" t="s">
        <v>41</v>
      </c>
      <c r="J36" s="13"/>
      <c r="K36" s="13"/>
      <c r="L36" s="13"/>
      <c r="M36" s="13"/>
      <c r="N36" s="13"/>
      <c r="O36" s="13"/>
      <c r="P36" s="13"/>
      <c r="Q36" s="13"/>
      <c r="R36" s="13"/>
      <c r="S36" s="13"/>
      <c r="T36" s="13"/>
      <c r="U36" s="13"/>
      <c r="V36" s="13"/>
      <c r="W36" s="13"/>
      <c r="X36" s="13"/>
      <c r="Y36" s="13"/>
      <c r="Z36" s="13"/>
      <c r="AA36" s="13"/>
      <c r="AB36" s="13"/>
      <c r="AC36" s="13"/>
      <c r="AD36" s="13"/>
      <c r="AE36" s="13"/>
      <c r="AF36" s="13"/>
    </row>
  </sheetData>
  <mergeCells count="47">
    <mergeCell ref="B1:AF1"/>
    <mergeCell ref="B2:AF2"/>
    <mergeCell ref="B4:AF4"/>
    <mergeCell ref="B5:AF5"/>
    <mergeCell ref="B6:AF6"/>
    <mergeCell ref="B7:AF7"/>
    <mergeCell ref="B8:AF8"/>
    <mergeCell ref="B9:AF9"/>
    <mergeCell ref="B10:AF10"/>
    <mergeCell ref="B11:AF11"/>
    <mergeCell ref="B13:AF13"/>
    <mergeCell ref="B14:F14"/>
    <mergeCell ref="H14:AF14"/>
    <mergeCell ref="B15:F15"/>
    <mergeCell ref="H15:AF15"/>
    <mergeCell ref="B16:F16"/>
    <mergeCell ref="H16:AF16"/>
    <mergeCell ref="B17:F17"/>
    <mergeCell ref="H17:AF17"/>
    <mergeCell ref="B19:AF19"/>
    <mergeCell ref="B20:AF20"/>
    <mergeCell ref="B21:AF21"/>
    <mergeCell ref="B22:AF22"/>
    <mergeCell ref="B23:AF23"/>
    <mergeCell ref="B25:AF25"/>
    <mergeCell ref="B26:H26"/>
    <mergeCell ref="I26:AF26"/>
    <mergeCell ref="B27:H27"/>
    <mergeCell ref="I27:AF27"/>
    <mergeCell ref="B28:H28"/>
    <mergeCell ref="I28:AF28"/>
    <mergeCell ref="B29:H29"/>
    <mergeCell ref="I29:AF29"/>
    <mergeCell ref="B30:H30"/>
    <mergeCell ref="I30:AF30"/>
    <mergeCell ref="B31:H31"/>
    <mergeCell ref="I31:AF31"/>
    <mergeCell ref="B32:H32"/>
    <mergeCell ref="I32:AF32"/>
    <mergeCell ref="B33:H33"/>
    <mergeCell ref="I33:AF33"/>
    <mergeCell ref="B34:H34"/>
    <mergeCell ref="I34:AF34"/>
    <mergeCell ref="B35:H35"/>
    <mergeCell ref="I35:AF35"/>
    <mergeCell ref="B36:H36"/>
    <mergeCell ref="I36:AF36"/>
  </mergeCells>
  <conditionalFormatting sqref="B1:AG3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5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42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43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44</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30.75" hidden="false" customHeight="true" outlineLevel="0" collapsed="false">
      <c r="B6" s="10" t="s">
        <v>45</v>
      </c>
      <c r="C6" s="10"/>
      <c r="D6" s="10"/>
      <c r="E6" s="10"/>
      <c r="F6" s="10"/>
      <c r="G6" s="10"/>
      <c r="H6" s="10"/>
      <c r="I6" s="11" t="s">
        <v>46</v>
      </c>
      <c r="J6" s="11"/>
      <c r="K6" s="11"/>
      <c r="L6" s="11" t="s">
        <v>47</v>
      </c>
      <c r="M6" s="11"/>
      <c r="N6" s="11"/>
      <c r="O6" s="11" t="s">
        <v>48</v>
      </c>
      <c r="P6" s="11"/>
      <c r="Q6" s="11"/>
      <c r="R6" s="11" t="s">
        <v>49</v>
      </c>
      <c r="S6" s="11"/>
      <c r="T6" s="11"/>
      <c r="U6" s="11" t="s">
        <v>50</v>
      </c>
      <c r="V6" s="11"/>
      <c r="W6" s="11"/>
      <c r="X6" s="11" t="s">
        <v>51</v>
      </c>
      <c r="Y6" s="11"/>
      <c r="Z6" s="11"/>
      <c r="AA6" s="11" t="s">
        <v>52</v>
      </c>
      <c r="AB6" s="11"/>
      <c r="AC6" s="11"/>
      <c r="AD6" s="11" t="s">
        <v>53</v>
      </c>
      <c r="AE6" s="11"/>
      <c r="AF6" s="11"/>
    </row>
    <row r="7" customFormat="false" ht="17.25" hidden="false" customHeight="true" outlineLevel="0" collapsed="false">
      <c r="B7" s="12" t="s">
        <v>54</v>
      </c>
      <c r="C7" s="12"/>
      <c r="D7" s="12"/>
      <c r="E7" s="12"/>
      <c r="F7" s="12"/>
      <c r="G7" s="12"/>
      <c r="H7" s="12"/>
      <c r="I7" s="15" t="n">
        <v>11000</v>
      </c>
      <c r="J7" s="15"/>
      <c r="K7" s="15"/>
      <c r="L7" s="15" t="n">
        <v>0</v>
      </c>
      <c r="M7" s="15"/>
      <c r="N7" s="15"/>
      <c r="O7" s="15" t="n">
        <v>0</v>
      </c>
      <c r="P7" s="15"/>
      <c r="Q7" s="15"/>
      <c r="R7" s="15" t="n">
        <v>1000</v>
      </c>
      <c r="S7" s="15"/>
      <c r="T7" s="15"/>
      <c r="U7" s="15" t="n">
        <v>0</v>
      </c>
      <c r="V7" s="15"/>
      <c r="W7" s="15"/>
      <c r="X7" s="16" t="n">
        <f aca="false">$I$7-$L$7+$O$7+$R$7-$U$7</f>
        <v>12000</v>
      </c>
      <c r="Y7" s="16"/>
      <c r="Z7" s="16"/>
      <c r="AA7" s="16" t="n">
        <f aca="false">$R$7</f>
        <v>1000</v>
      </c>
      <c r="AB7" s="16"/>
      <c r="AC7" s="16"/>
      <c r="AD7" s="16" t="n">
        <f aca="false">$U$7</f>
        <v>0</v>
      </c>
      <c r="AE7" s="16"/>
      <c r="AF7" s="16"/>
    </row>
    <row r="8" customFormat="false" ht="17.25" hidden="false" customHeight="true" outlineLevel="0" collapsed="false">
      <c r="B8" s="12" t="s">
        <v>55</v>
      </c>
      <c r="C8" s="12"/>
      <c r="D8" s="12"/>
      <c r="E8" s="12"/>
      <c r="F8" s="12"/>
      <c r="G8" s="12"/>
      <c r="H8" s="12"/>
      <c r="I8" s="15" t="n">
        <v>3600</v>
      </c>
      <c r="J8" s="15"/>
      <c r="K8" s="15"/>
      <c r="L8" s="15" t="n">
        <v>0</v>
      </c>
      <c r="M8" s="15"/>
      <c r="N8" s="15"/>
      <c r="O8" s="15" t="n">
        <v>0</v>
      </c>
      <c r="P8" s="15"/>
      <c r="Q8" s="15"/>
      <c r="R8" s="15" t="n">
        <v>0</v>
      </c>
      <c r="S8" s="15"/>
      <c r="T8" s="15"/>
      <c r="U8" s="15" t="n">
        <v>900</v>
      </c>
      <c r="V8" s="15"/>
      <c r="W8" s="15"/>
      <c r="X8" s="16" t="n">
        <f aca="false">$I$8-$L$8+$O$8+$R$8-$U$8</f>
        <v>2700</v>
      </c>
      <c r="Y8" s="16"/>
      <c r="Z8" s="16"/>
      <c r="AA8" s="16" t="n">
        <f aca="false">$R$8</f>
        <v>0</v>
      </c>
      <c r="AB8" s="16"/>
      <c r="AC8" s="16"/>
      <c r="AD8" s="16" t="n">
        <f aca="false">$U$8</f>
        <v>900</v>
      </c>
      <c r="AE8" s="16"/>
      <c r="AF8" s="16"/>
    </row>
    <row r="9" customFormat="false" ht="17.25" hidden="false" customHeight="true" outlineLevel="0" collapsed="false">
      <c r="B9" s="12" t="s">
        <v>56</v>
      </c>
      <c r="C9" s="12"/>
      <c r="D9" s="12"/>
      <c r="E9" s="12"/>
      <c r="F9" s="12"/>
      <c r="G9" s="12"/>
      <c r="H9" s="12"/>
      <c r="I9" s="15" t="n">
        <v>2500</v>
      </c>
      <c r="J9" s="15"/>
      <c r="K9" s="15"/>
      <c r="L9" s="15" t="n">
        <v>200</v>
      </c>
      <c r="M9" s="15"/>
      <c r="N9" s="15"/>
      <c r="O9" s="15" t="n">
        <v>0</v>
      </c>
      <c r="P9" s="15"/>
      <c r="Q9" s="15"/>
      <c r="R9" s="15" t="n">
        <v>300</v>
      </c>
      <c r="S9" s="15"/>
      <c r="T9" s="15"/>
      <c r="U9" s="15" t="n">
        <v>0</v>
      </c>
      <c r="V9" s="15"/>
      <c r="W9" s="15"/>
      <c r="X9" s="16" t="n">
        <f aca="false">$I$9-$L$9+$O$9+$R$9-$U$9</f>
        <v>2600</v>
      </c>
      <c r="Y9" s="16"/>
      <c r="Z9" s="16"/>
      <c r="AA9" s="16" t="n">
        <f aca="false">$R$9</f>
        <v>300</v>
      </c>
      <c r="AB9" s="16"/>
      <c r="AC9" s="16"/>
      <c r="AD9" s="16" t="n">
        <f aca="false">$U$9</f>
        <v>0</v>
      </c>
      <c r="AE9" s="16"/>
      <c r="AF9" s="16"/>
    </row>
    <row r="10" customFormat="false" ht="16.5" hidden="false" customHeight="true" outlineLevel="0" collapsed="false">
      <c r="B10" s="2" t="s">
        <v>57</v>
      </c>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row>
    <row r="12" customFormat="false" ht="18.75" hidden="false" customHeight="true" outlineLevel="0" collapsed="false">
      <c r="B12" s="3" t="s">
        <v>58</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30" hidden="false" customHeight="true" outlineLevel="0" collapsed="false">
      <c r="B13" s="4" t="s">
        <v>59</v>
      </c>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ustomFormat="false" ht="16.5" hidden="false" customHeight="true" outlineLevel="0" collapsed="false">
      <c r="B14" s="4" t="s">
        <v>60</v>
      </c>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ustomFormat="false" ht="16.5" hidden="false" customHeight="true" outlineLevel="0" collapsed="false">
      <c r="B15" s="4" t="s">
        <v>61</v>
      </c>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ustomFormat="false" ht="30" hidden="false" customHeight="true" outlineLevel="0" collapsed="false">
      <c r="B16" s="4" t="s">
        <v>62</v>
      </c>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8" customFormat="false" ht="18.75" hidden="false" customHeight="true" outlineLevel="0" collapsed="false">
      <c r="B18" s="3" t="s">
        <v>63</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5" hidden="false" customHeight="false" outlineLevel="0" collapsed="false">
      <c r="B19" s="17" t="s">
        <v>64</v>
      </c>
      <c r="C19" s="17"/>
      <c r="D19" s="17"/>
      <c r="E19" s="18" t="s">
        <v>65</v>
      </c>
      <c r="F19" s="18"/>
      <c r="G19" s="18"/>
      <c r="H19" s="18"/>
      <c r="I19" s="18"/>
      <c r="J19" s="18"/>
      <c r="K19" s="18"/>
      <c r="L19" s="18"/>
      <c r="M19" s="18"/>
      <c r="N19" s="18"/>
      <c r="O19" s="18"/>
      <c r="P19" s="18"/>
      <c r="Q19" s="18"/>
      <c r="R19" s="18"/>
      <c r="S19" s="18"/>
      <c r="T19" s="18"/>
      <c r="U19" s="18"/>
      <c r="V19" s="18"/>
      <c r="W19" s="18"/>
      <c r="X19" s="18"/>
      <c r="Y19" s="18"/>
      <c r="Z19" s="18"/>
      <c r="AA19" s="18"/>
      <c r="AB19" s="18"/>
      <c r="AC19" s="18"/>
      <c r="AD19" s="19" t="s">
        <v>66</v>
      </c>
      <c r="AE19" s="19"/>
      <c r="AF19" s="19"/>
    </row>
    <row r="20" customFormat="false" ht="15" hidden="false" customHeight="false" outlineLevel="0" collapsed="false">
      <c r="B20" s="20" t="s">
        <v>67</v>
      </c>
      <c r="C20" s="20"/>
      <c r="D20" s="20"/>
      <c r="E20" s="20" t="s">
        <v>68</v>
      </c>
      <c r="F20" s="20"/>
      <c r="G20" s="20"/>
      <c r="H20" s="20"/>
      <c r="I20" s="20"/>
      <c r="J20" s="20"/>
      <c r="K20" s="20"/>
      <c r="L20" s="21" t="s">
        <v>69</v>
      </c>
      <c r="M20" s="22" t="s">
        <v>70</v>
      </c>
      <c r="N20" s="22"/>
      <c r="O20" s="22"/>
      <c r="P20" s="22"/>
      <c r="Q20" s="23"/>
      <c r="R20" s="24" t="s">
        <v>67</v>
      </c>
      <c r="S20" s="24"/>
      <c r="T20" s="24"/>
      <c r="U20" s="20" t="s">
        <v>68</v>
      </c>
      <c r="V20" s="20"/>
      <c r="W20" s="20"/>
      <c r="X20" s="20"/>
      <c r="Y20" s="20"/>
      <c r="Z20" s="20"/>
      <c r="AA20" s="20"/>
      <c r="AB20" s="21" t="s">
        <v>69</v>
      </c>
      <c r="AC20" s="22" t="s">
        <v>70</v>
      </c>
      <c r="AD20" s="22"/>
      <c r="AE20" s="22"/>
      <c r="AF20" s="22"/>
    </row>
    <row r="21" customFormat="false" ht="16.5" hidden="false" customHeight="true" outlineLevel="0" collapsed="false">
      <c r="B21" s="25" t="s">
        <v>71</v>
      </c>
      <c r="C21" s="25"/>
      <c r="D21" s="25"/>
      <c r="M21" s="26" t="s">
        <v>72</v>
      </c>
      <c r="N21" s="26"/>
      <c r="O21" s="26"/>
      <c r="R21" s="27" t="s">
        <v>71</v>
      </c>
      <c r="S21" s="27"/>
      <c r="T21" s="27"/>
      <c r="AC21" s="26" t="s">
        <v>72</v>
      </c>
      <c r="AD21" s="26"/>
      <c r="AE21" s="26"/>
    </row>
    <row r="22" customFormat="false" ht="17.25" hidden="false" customHeight="true" outlineLevel="0" collapsed="false">
      <c r="B22" s="6" t="s">
        <v>73</v>
      </c>
      <c r="C22" s="6"/>
      <c r="D22" s="6"/>
      <c r="E22" s="28" t="s">
        <v>74</v>
      </c>
      <c r="F22" s="28"/>
      <c r="G22" s="28"/>
      <c r="H22" s="28"/>
      <c r="I22" s="28"/>
      <c r="J22" s="28"/>
      <c r="K22" s="28"/>
      <c r="L22" s="29"/>
      <c r="M22" s="7" t="n">
        <f aca="false">$O$7</f>
        <v>0</v>
      </c>
      <c r="N22" s="7"/>
      <c r="O22" s="7"/>
      <c r="R22" s="30" t="s">
        <v>73</v>
      </c>
      <c r="S22" s="30"/>
      <c r="T22" s="30"/>
      <c r="U22" s="28" t="s">
        <v>75</v>
      </c>
      <c r="V22" s="28"/>
      <c r="W22" s="28"/>
      <c r="X22" s="28"/>
      <c r="Y22" s="28"/>
      <c r="Z22" s="28"/>
      <c r="AA22" s="28"/>
      <c r="AB22" s="29"/>
      <c r="AC22" s="7" t="n">
        <f aca="false">$L$7</f>
        <v>0</v>
      </c>
      <c r="AD22" s="7"/>
      <c r="AE22" s="7"/>
    </row>
    <row r="23" customFormat="false" ht="17.25" hidden="false" customHeight="true" outlineLevel="0" collapsed="false">
      <c r="B23" s="6"/>
      <c r="C23" s="6"/>
      <c r="D23" s="6"/>
      <c r="E23" s="28" t="s">
        <v>76</v>
      </c>
      <c r="F23" s="28"/>
      <c r="G23" s="28"/>
      <c r="H23" s="28"/>
      <c r="I23" s="28"/>
      <c r="J23" s="28"/>
      <c r="K23" s="28"/>
      <c r="L23" s="29" t="s">
        <v>77</v>
      </c>
      <c r="M23" s="7" t="n">
        <f aca="false">$I$7</f>
        <v>11000</v>
      </c>
      <c r="N23" s="7"/>
      <c r="O23" s="7"/>
      <c r="R23" s="30" t="s">
        <v>78</v>
      </c>
      <c r="S23" s="30"/>
      <c r="T23" s="30"/>
      <c r="U23" s="28" t="s">
        <v>79</v>
      </c>
      <c r="V23" s="28"/>
      <c r="W23" s="28"/>
      <c r="X23" s="28"/>
      <c r="Y23" s="28"/>
      <c r="Z23" s="28"/>
      <c r="AA23" s="28"/>
      <c r="AB23" s="29" t="s">
        <v>80</v>
      </c>
      <c r="AC23" s="7" t="n">
        <f aca="false">$X$7</f>
        <v>12000</v>
      </c>
      <c r="AD23" s="7"/>
      <c r="AE23" s="7"/>
    </row>
    <row r="24" customFormat="false" ht="17.25" hidden="false" customHeight="true" outlineLevel="0" collapsed="false">
      <c r="B24" s="6" t="s">
        <v>78</v>
      </c>
      <c r="C24" s="6"/>
      <c r="D24" s="6"/>
      <c r="E24" s="28" t="s">
        <v>81</v>
      </c>
      <c r="F24" s="28"/>
      <c r="G24" s="28"/>
      <c r="H24" s="28"/>
      <c r="I24" s="28"/>
      <c r="J24" s="28"/>
      <c r="K24" s="28"/>
      <c r="L24" s="29"/>
      <c r="M24" s="7" t="n">
        <f aca="false">$R$7</f>
        <v>1000</v>
      </c>
      <c r="N24" s="7"/>
      <c r="O24" s="7"/>
      <c r="R24" s="30" t="s">
        <v>78</v>
      </c>
      <c r="S24" s="30"/>
      <c r="T24" s="30"/>
      <c r="U24" s="28" t="s">
        <v>82</v>
      </c>
      <c r="V24" s="28"/>
      <c r="W24" s="28"/>
      <c r="X24" s="28"/>
      <c r="Y24" s="28"/>
      <c r="Z24" s="28"/>
      <c r="AA24" s="28"/>
      <c r="AB24" s="29"/>
      <c r="AC24" s="7" t="n">
        <f aca="false">$U$7</f>
        <v>0</v>
      </c>
      <c r="AD24" s="7"/>
      <c r="AE24" s="7"/>
    </row>
    <row r="25" customFormat="false" ht="16.5" hidden="false" customHeight="true" outlineLevel="0" collapsed="false">
      <c r="M25" s="31" t="n">
        <f aca="false">SUM(M21:M24)</f>
        <v>12000</v>
      </c>
      <c r="N25" s="31"/>
      <c r="O25" s="31"/>
      <c r="R25" s="32"/>
      <c r="AC25" s="31" t="n">
        <f aca="false">SUM(AC21:AC24)</f>
        <v>12000</v>
      </c>
      <c r="AD25" s="31"/>
      <c r="AE25" s="31"/>
    </row>
    <row r="26" customFormat="false" ht="16.5" hidden="false" customHeight="true" outlineLevel="0" collapsed="false">
      <c r="B26" s="25" t="s">
        <v>83</v>
      </c>
      <c r="C26" s="25"/>
      <c r="D26" s="25"/>
      <c r="R26" s="27" t="s">
        <v>83</v>
      </c>
      <c r="S26" s="27"/>
      <c r="T26" s="27"/>
    </row>
    <row r="27" customFormat="false" ht="17.25" hidden="false" customHeight="true" outlineLevel="0" collapsed="false">
      <c r="B27" s="6" t="s">
        <v>73</v>
      </c>
      <c r="C27" s="6"/>
      <c r="D27" s="6"/>
      <c r="E27" s="28" t="s">
        <v>74</v>
      </c>
      <c r="F27" s="28"/>
      <c r="G27" s="28"/>
      <c r="H27" s="28"/>
      <c r="I27" s="28"/>
      <c r="J27" s="28"/>
      <c r="K27" s="28"/>
      <c r="L27" s="29"/>
      <c r="M27" s="7" t="n">
        <f aca="false">$U$7</f>
        <v>0</v>
      </c>
      <c r="N27" s="7"/>
      <c r="O27" s="7"/>
      <c r="R27" s="30" t="s">
        <v>73</v>
      </c>
      <c r="S27" s="30"/>
      <c r="T27" s="30"/>
      <c r="U27" s="28" t="s">
        <v>75</v>
      </c>
      <c r="V27" s="28"/>
      <c r="W27" s="28"/>
      <c r="X27" s="28"/>
      <c r="Y27" s="28"/>
      <c r="Z27" s="28"/>
      <c r="AA27" s="28"/>
      <c r="AB27" s="29"/>
      <c r="AC27" s="7" t="n">
        <f aca="false">$R$7</f>
        <v>1000</v>
      </c>
      <c r="AD27" s="7"/>
      <c r="AE27" s="7"/>
    </row>
    <row r="29" customFormat="false" ht="18.75" hidden="false" customHeight="true" outlineLevel="0" collapsed="false">
      <c r="B29" s="3" t="s">
        <v>84</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ustomFormat="false" ht="15" hidden="false" customHeight="false" outlineLevel="0" collapsed="false">
      <c r="B30" s="17" t="s">
        <v>64</v>
      </c>
      <c r="C30" s="17"/>
      <c r="D30" s="17"/>
      <c r="E30" s="18" t="s">
        <v>85</v>
      </c>
      <c r="F30" s="18"/>
      <c r="G30" s="18"/>
      <c r="H30" s="18"/>
      <c r="I30" s="18"/>
      <c r="J30" s="18"/>
      <c r="K30" s="18"/>
      <c r="L30" s="18"/>
      <c r="M30" s="18"/>
      <c r="N30" s="18"/>
      <c r="O30" s="18"/>
      <c r="P30" s="18"/>
      <c r="Q30" s="18"/>
      <c r="R30" s="18"/>
      <c r="S30" s="18"/>
      <c r="T30" s="18"/>
      <c r="U30" s="18"/>
      <c r="V30" s="18"/>
      <c r="W30" s="18"/>
      <c r="X30" s="18"/>
      <c r="Y30" s="18"/>
      <c r="Z30" s="18"/>
      <c r="AA30" s="18"/>
      <c r="AB30" s="18"/>
      <c r="AC30" s="18"/>
      <c r="AD30" s="19" t="s">
        <v>66</v>
      </c>
      <c r="AE30" s="19"/>
      <c r="AF30" s="19"/>
    </row>
    <row r="31" customFormat="false" ht="15" hidden="false" customHeight="false" outlineLevel="0" collapsed="false">
      <c r="B31" s="20" t="s">
        <v>67</v>
      </c>
      <c r="C31" s="20"/>
      <c r="D31" s="20"/>
      <c r="E31" s="20" t="s">
        <v>68</v>
      </c>
      <c r="F31" s="20"/>
      <c r="G31" s="20"/>
      <c r="H31" s="20"/>
      <c r="I31" s="20"/>
      <c r="J31" s="20"/>
      <c r="K31" s="20"/>
      <c r="L31" s="21" t="s">
        <v>69</v>
      </c>
      <c r="M31" s="22" t="s">
        <v>70</v>
      </c>
      <c r="N31" s="22"/>
      <c r="O31" s="22"/>
      <c r="P31" s="22"/>
      <c r="Q31" s="23"/>
      <c r="R31" s="24" t="s">
        <v>67</v>
      </c>
      <c r="S31" s="24"/>
      <c r="T31" s="24"/>
      <c r="U31" s="20" t="s">
        <v>68</v>
      </c>
      <c r="V31" s="20"/>
      <c r="W31" s="20"/>
      <c r="X31" s="20"/>
      <c r="Y31" s="20"/>
      <c r="Z31" s="20"/>
      <c r="AA31" s="20"/>
      <c r="AB31" s="21" t="s">
        <v>69</v>
      </c>
      <c r="AC31" s="22" t="s">
        <v>70</v>
      </c>
      <c r="AD31" s="22"/>
      <c r="AE31" s="22"/>
      <c r="AF31" s="22"/>
    </row>
    <row r="32" customFormat="false" ht="16.5" hidden="false" customHeight="true" outlineLevel="0" collapsed="false">
      <c r="B32" s="25" t="s">
        <v>71</v>
      </c>
      <c r="C32" s="25"/>
      <c r="D32" s="25"/>
      <c r="M32" s="26" t="s">
        <v>72</v>
      </c>
      <c r="N32" s="26"/>
      <c r="O32" s="26"/>
      <c r="R32" s="27" t="s">
        <v>71</v>
      </c>
      <c r="S32" s="27"/>
      <c r="T32" s="27"/>
      <c r="AC32" s="26" t="s">
        <v>72</v>
      </c>
      <c r="AD32" s="26"/>
      <c r="AE32" s="26"/>
    </row>
    <row r="33" customFormat="false" ht="17.25" hidden="false" customHeight="true" outlineLevel="0" collapsed="false">
      <c r="B33" s="6" t="s">
        <v>73</v>
      </c>
      <c r="C33" s="6"/>
      <c r="D33" s="6"/>
      <c r="E33" s="28" t="s">
        <v>74</v>
      </c>
      <c r="F33" s="28"/>
      <c r="G33" s="28"/>
      <c r="H33" s="28"/>
      <c r="I33" s="28"/>
      <c r="J33" s="28"/>
      <c r="K33" s="28"/>
      <c r="L33" s="29"/>
      <c r="M33" s="7" t="n">
        <f aca="false">$O$8</f>
        <v>0</v>
      </c>
      <c r="N33" s="7"/>
      <c r="O33" s="7"/>
      <c r="R33" s="30" t="s">
        <v>73</v>
      </c>
      <c r="S33" s="30"/>
      <c r="T33" s="30"/>
      <c r="U33" s="28" t="s">
        <v>75</v>
      </c>
      <c r="V33" s="28"/>
      <c r="W33" s="28"/>
      <c r="X33" s="28"/>
      <c r="Y33" s="28"/>
      <c r="Z33" s="28"/>
      <c r="AA33" s="28"/>
      <c r="AB33" s="29"/>
      <c r="AC33" s="7" t="n">
        <f aca="false">$L$8</f>
        <v>0</v>
      </c>
      <c r="AD33" s="7"/>
      <c r="AE33" s="7"/>
    </row>
    <row r="34" customFormat="false" ht="17.25" hidden="false" customHeight="true" outlineLevel="0" collapsed="false">
      <c r="B34" s="6"/>
      <c r="C34" s="6"/>
      <c r="D34" s="6"/>
      <c r="E34" s="28" t="s">
        <v>76</v>
      </c>
      <c r="F34" s="28"/>
      <c r="G34" s="28"/>
      <c r="H34" s="28"/>
      <c r="I34" s="28"/>
      <c r="J34" s="28"/>
      <c r="K34" s="28"/>
      <c r="L34" s="29" t="s">
        <v>77</v>
      </c>
      <c r="M34" s="7" t="n">
        <f aca="false">$I$8</f>
        <v>3600</v>
      </c>
      <c r="N34" s="7"/>
      <c r="O34" s="7"/>
      <c r="R34" s="30" t="s">
        <v>78</v>
      </c>
      <c r="S34" s="30"/>
      <c r="T34" s="30"/>
      <c r="U34" s="28" t="s">
        <v>79</v>
      </c>
      <c r="V34" s="28"/>
      <c r="W34" s="28"/>
      <c r="X34" s="28"/>
      <c r="Y34" s="28"/>
      <c r="Z34" s="28"/>
      <c r="AA34" s="28"/>
      <c r="AB34" s="29" t="s">
        <v>80</v>
      </c>
      <c r="AC34" s="7" t="n">
        <f aca="false">$X$8</f>
        <v>2700</v>
      </c>
      <c r="AD34" s="7"/>
      <c r="AE34" s="7"/>
    </row>
    <row r="35" customFormat="false" ht="17.25" hidden="false" customHeight="true" outlineLevel="0" collapsed="false">
      <c r="B35" s="6" t="s">
        <v>78</v>
      </c>
      <c r="C35" s="6"/>
      <c r="D35" s="6"/>
      <c r="E35" s="28" t="s">
        <v>81</v>
      </c>
      <c r="F35" s="28"/>
      <c r="G35" s="28"/>
      <c r="H35" s="28"/>
      <c r="I35" s="28"/>
      <c r="J35" s="28"/>
      <c r="K35" s="28"/>
      <c r="L35" s="29"/>
      <c r="M35" s="7" t="n">
        <f aca="false">$R$8</f>
        <v>0</v>
      </c>
      <c r="N35" s="7"/>
      <c r="O35" s="7"/>
      <c r="R35" s="30" t="s">
        <v>78</v>
      </c>
      <c r="S35" s="30"/>
      <c r="T35" s="30"/>
      <c r="U35" s="28" t="s">
        <v>82</v>
      </c>
      <c r="V35" s="28"/>
      <c r="W35" s="28"/>
      <c r="X35" s="28"/>
      <c r="Y35" s="28"/>
      <c r="Z35" s="28"/>
      <c r="AA35" s="28"/>
      <c r="AB35" s="29"/>
      <c r="AC35" s="7" t="n">
        <f aca="false">$U$8</f>
        <v>900</v>
      </c>
      <c r="AD35" s="7"/>
      <c r="AE35" s="7"/>
    </row>
    <row r="36" customFormat="false" ht="16.5" hidden="false" customHeight="true" outlineLevel="0" collapsed="false">
      <c r="M36" s="31" t="n">
        <f aca="false">SUM(M32:M35)</f>
        <v>3600</v>
      </c>
      <c r="N36" s="31"/>
      <c r="O36" s="31"/>
      <c r="R36" s="32"/>
      <c r="AC36" s="31" t="n">
        <f aca="false">SUM(AC32:AC35)</f>
        <v>3600</v>
      </c>
      <c r="AD36" s="31"/>
      <c r="AE36" s="31"/>
    </row>
    <row r="37" customFormat="false" ht="16.5" hidden="false" customHeight="true" outlineLevel="0" collapsed="false">
      <c r="B37" s="25" t="s">
        <v>83</v>
      </c>
      <c r="C37" s="25"/>
      <c r="D37" s="25"/>
      <c r="R37" s="27" t="s">
        <v>83</v>
      </c>
      <c r="S37" s="27"/>
      <c r="T37" s="27"/>
    </row>
    <row r="38" customFormat="false" ht="17.25" hidden="false" customHeight="true" outlineLevel="0" collapsed="false">
      <c r="B38" s="6" t="s">
        <v>73</v>
      </c>
      <c r="C38" s="6"/>
      <c r="D38" s="6"/>
      <c r="E38" s="28" t="s">
        <v>74</v>
      </c>
      <c r="F38" s="28"/>
      <c r="G38" s="28"/>
      <c r="H38" s="28"/>
      <c r="I38" s="28"/>
      <c r="J38" s="28"/>
      <c r="K38" s="28"/>
      <c r="L38" s="29"/>
      <c r="M38" s="7" t="n">
        <f aca="false">$U$8</f>
        <v>900</v>
      </c>
      <c r="N38" s="7"/>
      <c r="O38" s="7"/>
      <c r="R38" s="30" t="s">
        <v>73</v>
      </c>
      <c r="S38" s="30"/>
      <c r="T38" s="30"/>
      <c r="U38" s="28" t="s">
        <v>75</v>
      </c>
      <c r="V38" s="28"/>
      <c r="W38" s="28"/>
      <c r="X38" s="28"/>
      <c r="Y38" s="28"/>
      <c r="Z38" s="28"/>
      <c r="AA38" s="28"/>
      <c r="AB38" s="29"/>
      <c r="AC38" s="7" t="n">
        <f aca="false">$R$8</f>
        <v>0</v>
      </c>
      <c r="AD38" s="7"/>
      <c r="AE38" s="7"/>
    </row>
    <row r="40" customFormat="false" ht="18.75" hidden="false" customHeight="true" outlineLevel="0" collapsed="false">
      <c r="B40" s="3" t="s">
        <v>86</v>
      </c>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ustomFormat="false" ht="15" hidden="false" customHeight="false" outlineLevel="0" collapsed="false">
      <c r="B41" s="17" t="s">
        <v>64</v>
      </c>
      <c r="C41" s="17"/>
      <c r="D41" s="17"/>
      <c r="E41" s="18" t="s">
        <v>87</v>
      </c>
      <c r="F41" s="18"/>
      <c r="G41" s="18"/>
      <c r="H41" s="18"/>
      <c r="I41" s="18"/>
      <c r="J41" s="18"/>
      <c r="K41" s="18"/>
      <c r="L41" s="18"/>
      <c r="M41" s="18"/>
      <c r="N41" s="18"/>
      <c r="O41" s="18"/>
      <c r="P41" s="18"/>
      <c r="Q41" s="18"/>
      <c r="R41" s="18"/>
      <c r="S41" s="18"/>
      <c r="T41" s="18"/>
      <c r="U41" s="18"/>
      <c r="V41" s="18"/>
      <c r="W41" s="18"/>
      <c r="X41" s="18"/>
      <c r="Y41" s="18"/>
      <c r="Z41" s="18"/>
      <c r="AA41" s="18"/>
      <c r="AB41" s="18"/>
      <c r="AC41" s="18"/>
      <c r="AD41" s="19" t="s">
        <v>66</v>
      </c>
      <c r="AE41" s="19"/>
      <c r="AF41" s="19"/>
    </row>
    <row r="42" customFormat="false" ht="15" hidden="false" customHeight="false" outlineLevel="0" collapsed="false">
      <c r="B42" s="20" t="s">
        <v>67</v>
      </c>
      <c r="C42" s="20"/>
      <c r="D42" s="20"/>
      <c r="E42" s="20" t="s">
        <v>68</v>
      </c>
      <c r="F42" s="20"/>
      <c r="G42" s="20"/>
      <c r="H42" s="20"/>
      <c r="I42" s="20"/>
      <c r="J42" s="20"/>
      <c r="K42" s="20"/>
      <c r="L42" s="21" t="s">
        <v>69</v>
      </c>
      <c r="M42" s="22" t="s">
        <v>70</v>
      </c>
      <c r="N42" s="22"/>
      <c r="O42" s="22"/>
      <c r="P42" s="22"/>
      <c r="Q42" s="23"/>
      <c r="R42" s="24" t="s">
        <v>67</v>
      </c>
      <c r="S42" s="24"/>
      <c r="T42" s="24"/>
      <c r="U42" s="20" t="s">
        <v>68</v>
      </c>
      <c r="V42" s="20"/>
      <c r="W42" s="20"/>
      <c r="X42" s="20"/>
      <c r="Y42" s="20"/>
      <c r="Z42" s="20"/>
      <c r="AA42" s="20"/>
      <c r="AB42" s="21" t="s">
        <v>69</v>
      </c>
      <c r="AC42" s="22" t="s">
        <v>70</v>
      </c>
      <c r="AD42" s="22"/>
      <c r="AE42" s="22"/>
      <c r="AF42" s="22"/>
    </row>
    <row r="43" customFormat="false" ht="16.5" hidden="false" customHeight="true" outlineLevel="0" collapsed="false">
      <c r="B43" s="25" t="s">
        <v>71</v>
      </c>
      <c r="C43" s="25"/>
      <c r="D43" s="25"/>
      <c r="M43" s="26" t="s">
        <v>72</v>
      </c>
      <c r="N43" s="26"/>
      <c r="O43" s="26"/>
      <c r="R43" s="27" t="s">
        <v>71</v>
      </c>
      <c r="S43" s="27"/>
      <c r="T43" s="27"/>
      <c r="AC43" s="26" t="s">
        <v>72</v>
      </c>
      <c r="AD43" s="26"/>
      <c r="AE43" s="26"/>
    </row>
    <row r="44" customFormat="false" ht="17.25" hidden="false" customHeight="true" outlineLevel="0" collapsed="false">
      <c r="B44" s="6" t="s">
        <v>73</v>
      </c>
      <c r="C44" s="6"/>
      <c r="D44" s="6"/>
      <c r="E44" s="28" t="s">
        <v>74</v>
      </c>
      <c r="F44" s="28"/>
      <c r="G44" s="28"/>
      <c r="H44" s="28"/>
      <c r="I44" s="28"/>
      <c r="J44" s="28"/>
      <c r="K44" s="28"/>
      <c r="L44" s="29"/>
      <c r="M44" s="7" t="n">
        <f aca="false">$O$9</f>
        <v>0</v>
      </c>
      <c r="N44" s="7"/>
      <c r="O44" s="7"/>
      <c r="R44" s="30" t="s">
        <v>73</v>
      </c>
      <c r="S44" s="30"/>
      <c r="T44" s="30"/>
      <c r="U44" s="28" t="s">
        <v>75</v>
      </c>
      <c r="V44" s="28"/>
      <c r="W44" s="28"/>
      <c r="X44" s="28"/>
      <c r="Y44" s="28"/>
      <c r="Z44" s="28"/>
      <c r="AA44" s="28"/>
      <c r="AB44" s="29"/>
      <c r="AC44" s="7" t="n">
        <f aca="false">$L$9</f>
        <v>200</v>
      </c>
      <c r="AD44" s="7"/>
      <c r="AE44" s="7"/>
    </row>
    <row r="45" customFormat="false" ht="17.25" hidden="false" customHeight="true" outlineLevel="0" collapsed="false">
      <c r="B45" s="6"/>
      <c r="C45" s="6"/>
      <c r="D45" s="6"/>
      <c r="E45" s="28" t="s">
        <v>76</v>
      </c>
      <c r="F45" s="28"/>
      <c r="G45" s="28"/>
      <c r="H45" s="28"/>
      <c r="I45" s="28"/>
      <c r="J45" s="28"/>
      <c r="K45" s="28"/>
      <c r="L45" s="29" t="s">
        <v>77</v>
      </c>
      <c r="M45" s="7" t="n">
        <f aca="false">$I$9</f>
        <v>2500</v>
      </c>
      <c r="N45" s="7"/>
      <c r="O45" s="7"/>
      <c r="R45" s="30" t="s">
        <v>78</v>
      </c>
      <c r="S45" s="30"/>
      <c r="T45" s="30"/>
      <c r="U45" s="28" t="s">
        <v>79</v>
      </c>
      <c r="V45" s="28"/>
      <c r="W45" s="28"/>
      <c r="X45" s="28"/>
      <c r="Y45" s="28"/>
      <c r="Z45" s="28"/>
      <c r="AA45" s="28"/>
      <c r="AB45" s="29" t="s">
        <v>80</v>
      </c>
      <c r="AC45" s="7" t="n">
        <f aca="false">$X$9</f>
        <v>2600</v>
      </c>
      <c r="AD45" s="7"/>
      <c r="AE45" s="7"/>
    </row>
    <row r="46" customFormat="false" ht="17.25" hidden="false" customHeight="true" outlineLevel="0" collapsed="false">
      <c r="B46" s="6" t="s">
        <v>78</v>
      </c>
      <c r="C46" s="6"/>
      <c r="D46" s="6"/>
      <c r="E46" s="28" t="s">
        <v>81</v>
      </c>
      <c r="F46" s="28"/>
      <c r="G46" s="28"/>
      <c r="H46" s="28"/>
      <c r="I46" s="28"/>
      <c r="J46" s="28"/>
      <c r="K46" s="28"/>
      <c r="L46" s="29"/>
      <c r="M46" s="7" t="n">
        <f aca="false">$R$9</f>
        <v>300</v>
      </c>
      <c r="N46" s="7"/>
      <c r="O46" s="7"/>
      <c r="R46" s="30" t="s">
        <v>78</v>
      </c>
      <c r="S46" s="30"/>
      <c r="T46" s="30"/>
      <c r="U46" s="28" t="s">
        <v>82</v>
      </c>
      <c r="V46" s="28"/>
      <c r="W46" s="28"/>
      <c r="X46" s="28"/>
      <c r="Y46" s="28"/>
      <c r="Z46" s="28"/>
      <c r="AA46" s="28"/>
      <c r="AB46" s="29"/>
      <c r="AC46" s="7" t="n">
        <f aca="false">$U$9</f>
        <v>0</v>
      </c>
      <c r="AD46" s="7"/>
      <c r="AE46" s="7"/>
    </row>
    <row r="47" customFormat="false" ht="16.5" hidden="false" customHeight="true" outlineLevel="0" collapsed="false">
      <c r="M47" s="31" t="n">
        <f aca="false">SUM(M43:M46)</f>
        <v>2800</v>
      </c>
      <c r="N47" s="31"/>
      <c r="O47" s="31"/>
      <c r="R47" s="32"/>
      <c r="AC47" s="31" t="n">
        <f aca="false">SUM(AC43:AC46)</f>
        <v>2800</v>
      </c>
      <c r="AD47" s="31"/>
      <c r="AE47" s="31"/>
    </row>
    <row r="48" customFormat="false" ht="16.5" hidden="false" customHeight="true" outlineLevel="0" collapsed="false">
      <c r="B48" s="25" t="s">
        <v>83</v>
      </c>
      <c r="C48" s="25"/>
      <c r="D48" s="25"/>
      <c r="R48" s="27" t="s">
        <v>83</v>
      </c>
      <c r="S48" s="27"/>
      <c r="T48" s="27"/>
    </row>
    <row r="49" customFormat="false" ht="17.25" hidden="false" customHeight="true" outlineLevel="0" collapsed="false">
      <c r="B49" s="6" t="s">
        <v>73</v>
      </c>
      <c r="C49" s="6"/>
      <c r="D49" s="6"/>
      <c r="E49" s="28" t="s">
        <v>74</v>
      </c>
      <c r="F49" s="28"/>
      <c r="G49" s="28"/>
      <c r="H49" s="28"/>
      <c r="I49" s="28"/>
      <c r="J49" s="28"/>
      <c r="K49" s="28"/>
      <c r="L49" s="29"/>
      <c r="M49" s="7" t="n">
        <f aca="false">$U$9</f>
        <v>0</v>
      </c>
      <c r="N49" s="7"/>
      <c r="O49" s="7"/>
      <c r="R49" s="30" t="s">
        <v>73</v>
      </c>
      <c r="S49" s="30"/>
      <c r="T49" s="30"/>
      <c r="U49" s="28" t="s">
        <v>75</v>
      </c>
      <c r="V49" s="28"/>
      <c r="W49" s="28"/>
      <c r="X49" s="28"/>
      <c r="Y49" s="28"/>
      <c r="Z49" s="28"/>
      <c r="AA49" s="28"/>
      <c r="AB49" s="29"/>
      <c r="AC49" s="7" t="n">
        <f aca="false">$R$9</f>
        <v>300</v>
      </c>
      <c r="AD49" s="7"/>
      <c r="AE49" s="7"/>
    </row>
    <row r="50" customFormat="false" ht="16.5" hidden="false" customHeight="true" outlineLevel="0" collapsed="false">
      <c r="B50" s="2" t="s">
        <v>88</v>
      </c>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sheetData>
  <mergeCells count="173">
    <mergeCell ref="B1:AF1"/>
    <mergeCell ref="B2:AF2"/>
    <mergeCell ref="B3:AF3"/>
    <mergeCell ref="B5:AF5"/>
    <mergeCell ref="B6:H6"/>
    <mergeCell ref="I6:K6"/>
    <mergeCell ref="L6:N6"/>
    <mergeCell ref="O6:Q6"/>
    <mergeCell ref="R6:T6"/>
    <mergeCell ref="U6:W6"/>
    <mergeCell ref="X6:Z6"/>
    <mergeCell ref="AA6:AC6"/>
    <mergeCell ref="AD6:AF6"/>
    <mergeCell ref="B7:H7"/>
    <mergeCell ref="I7:K7"/>
    <mergeCell ref="L7:N7"/>
    <mergeCell ref="O7:Q7"/>
    <mergeCell ref="R7:T7"/>
    <mergeCell ref="U7:W7"/>
    <mergeCell ref="X7:Z7"/>
    <mergeCell ref="AA7:AC7"/>
    <mergeCell ref="AD7:AF7"/>
    <mergeCell ref="B8:H8"/>
    <mergeCell ref="I8:K8"/>
    <mergeCell ref="L8:N8"/>
    <mergeCell ref="O8:Q8"/>
    <mergeCell ref="R8:T8"/>
    <mergeCell ref="U8:W8"/>
    <mergeCell ref="X8:Z8"/>
    <mergeCell ref="AA8:AC8"/>
    <mergeCell ref="AD8:AF8"/>
    <mergeCell ref="B9:H9"/>
    <mergeCell ref="I9:K9"/>
    <mergeCell ref="L9:N9"/>
    <mergeCell ref="O9:Q9"/>
    <mergeCell ref="R9:T9"/>
    <mergeCell ref="U9:W9"/>
    <mergeCell ref="X9:Z9"/>
    <mergeCell ref="AA9:AC9"/>
    <mergeCell ref="AD9:AF9"/>
    <mergeCell ref="B10:AF10"/>
    <mergeCell ref="B12:AF12"/>
    <mergeCell ref="B13:AF13"/>
    <mergeCell ref="B14:AF14"/>
    <mergeCell ref="B15:AF15"/>
    <mergeCell ref="B16:AF16"/>
    <mergeCell ref="B18:AF18"/>
    <mergeCell ref="B19:D19"/>
    <mergeCell ref="E19:AC19"/>
    <mergeCell ref="AD19:AF19"/>
    <mergeCell ref="B20:D20"/>
    <mergeCell ref="E20:K20"/>
    <mergeCell ref="M20:P20"/>
    <mergeCell ref="R20:T20"/>
    <mergeCell ref="U20:AA20"/>
    <mergeCell ref="AC20:AF20"/>
    <mergeCell ref="B21:D21"/>
    <mergeCell ref="M21:O21"/>
    <mergeCell ref="R21:T21"/>
    <mergeCell ref="AC21:AE21"/>
    <mergeCell ref="B22:D22"/>
    <mergeCell ref="E22:K22"/>
    <mergeCell ref="M22:O22"/>
    <mergeCell ref="R22:T22"/>
    <mergeCell ref="U22:AA22"/>
    <mergeCell ref="AC22:AE22"/>
    <mergeCell ref="B23:D23"/>
    <mergeCell ref="E23:K23"/>
    <mergeCell ref="M23:O23"/>
    <mergeCell ref="R23:T23"/>
    <mergeCell ref="U23:AA23"/>
    <mergeCell ref="AC23:AE23"/>
    <mergeCell ref="B24:D24"/>
    <mergeCell ref="E24:K24"/>
    <mergeCell ref="M24:O24"/>
    <mergeCell ref="R24:T24"/>
    <mergeCell ref="U24:AA24"/>
    <mergeCell ref="AC24:AE24"/>
    <mergeCell ref="M25:O25"/>
    <mergeCell ref="AC25:AE25"/>
    <mergeCell ref="B26:D26"/>
    <mergeCell ref="R26:T26"/>
    <mergeCell ref="B27:D27"/>
    <mergeCell ref="E27:K27"/>
    <mergeCell ref="M27:O27"/>
    <mergeCell ref="R27:T27"/>
    <mergeCell ref="U27:AA27"/>
    <mergeCell ref="AC27:AE27"/>
    <mergeCell ref="B29:AF29"/>
    <mergeCell ref="B30:D30"/>
    <mergeCell ref="E30:AC30"/>
    <mergeCell ref="AD30:AF30"/>
    <mergeCell ref="B31:D31"/>
    <mergeCell ref="E31:K31"/>
    <mergeCell ref="M31:P31"/>
    <mergeCell ref="R31:T31"/>
    <mergeCell ref="U31:AA31"/>
    <mergeCell ref="AC31:AF31"/>
    <mergeCell ref="B32:D32"/>
    <mergeCell ref="M32:O32"/>
    <mergeCell ref="R32:T32"/>
    <mergeCell ref="AC32:AE32"/>
    <mergeCell ref="B33:D33"/>
    <mergeCell ref="E33:K33"/>
    <mergeCell ref="M33:O33"/>
    <mergeCell ref="R33:T33"/>
    <mergeCell ref="U33:AA33"/>
    <mergeCell ref="AC33:AE33"/>
    <mergeCell ref="B34:D34"/>
    <mergeCell ref="E34:K34"/>
    <mergeCell ref="M34:O34"/>
    <mergeCell ref="R34:T34"/>
    <mergeCell ref="U34:AA34"/>
    <mergeCell ref="AC34:AE34"/>
    <mergeCell ref="B35:D35"/>
    <mergeCell ref="E35:K35"/>
    <mergeCell ref="M35:O35"/>
    <mergeCell ref="R35:T35"/>
    <mergeCell ref="U35:AA35"/>
    <mergeCell ref="AC35:AE35"/>
    <mergeCell ref="M36:O36"/>
    <mergeCell ref="AC36:AE36"/>
    <mergeCell ref="B37:D37"/>
    <mergeCell ref="R37:T37"/>
    <mergeCell ref="B38:D38"/>
    <mergeCell ref="E38:K38"/>
    <mergeCell ref="M38:O38"/>
    <mergeCell ref="R38:T38"/>
    <mergeCell ref="U38:AA38"/>
    <mergeCell ref="AC38:AE38"/>
    <mergeCell ref="B40:AF40"/>
    <mergeCell ref="B41:D41"/>
    <mergeCell ref="E41:AC41"/>
    <mergeCell ref="AD41:AF41"/>
    <mergeCell ref="B42:D42"/>
    <mergeCell ref="E42:K42"/>
    <mergeCell ref="M42:P42"/>
    <mergeCell ref="R42:T42"/>
    <mergeCell ref="U42:AA42"/>
    <mergeCell ref="AC42:AF42"/>
    <mergeCell ref="B43:D43"/>
    <mergeCell ref="M43:O43"/>
    <mergeCell ref="R43:T43"/>
    <mergeCell ref="AC43:AE43"/>
    <mergeCell ref="B44:D44"/>
    <mergeCell ref="E44:K44"/>
    <mergeCell ref="M44:O44"/>
    <mergeCell ref="R44:T44"/>
    <mergeCell ref="U44:AA44"/>
    <mergeCell ref="AC44:AE44"/>
    <mergeCell ref="B45:D45"/>
    <mergeCell ref="E45:K45"/>
    <mergeCell ref="M45:O45"/>
    <mergeCell ref="R45:T45"/>
    <mergeCell ref="U45:AA45"/>
    <mergeCell ref="AC45:AE45"/>
    <mergeCell ref="B46:D46"/>
    <mergeCell ref="E46:K46"/>
    <mergeCell ref="M46:O46"/>
    <mergeCell ref="R46:T46"/>
    <mergeCell ref="U46:AA46"/>
    <mergeCell ref="AC46:AE46"/>
    <mergeCell ref="M47:O47"/>
    <mergeCell ref="AC47:AE47"/>
    <mergeCell ref="B48:D48"/>
    <mergeCell ref="R48:T48"/>
    <mergeCell ref="B49:D49"/>
    <mergeCell ref="E49:K49"/>
    <mergeCell ref="M49:O49"/>
    <mergeCell ref="R49:T49"/>
    <mergeCell ref="U49:AA49"/>
    <mergeCell ref="AC49:AE49"/>
    <mergeCell ref="B50:AF50"/>
  </mergeCells>
  <conditionalFormatting sqref="B1:AG5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3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42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43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89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30.75" hidden="false" customHeight="true" outlineLevel="0" collapsed="false">
      <c r="B6" s="10" t="s">
        <v>90</v>
      </c>
      <c r="C6" s="10"/>
      <c r="D6" s="10"/>
      <c r="E6" s="10"/>
      <c r="F6" s="10"/>
      <c r="G6" s="10"/>
      <c r="H6" s="10"/>
      <c r="I6" s="11" t="s">
        <v>91</v>
      </c>
      <c r="J6" s="11"/>
      <c r="K6" s="11"/>
      <c r="L6" s="11" t="s">
        <v>92</v>
      </c>
      <c r="M6" s="11"/>
      <c r="N6" s="11"/>
      <c r="O6" s="11" t="s">
        <v>93</v>
      </c>
      <c r="P6" s="11"/>
      <c r="Q6" s="11"/>
      <c r="R6" s="11" t="s">
        <v>94</v>
      </c>
      <c r="S6" s="11"/>
      <c r="T6" s="11"/>
      <c r="U6" s="11" t="s">
        <v>95</v>
      </c>
      <c r="V6" s="11"/>
      <c r="W6" s="11"/>
      <c r="X6" s="11" t="s">
        <v>96</v>
      </c>
      <c r="Y6" s="11"/>
      <c r="Z6" s="11"/>
      <c r="AA6" s="11" t="s">
        <v>53</v>
      </c>
      <c r="AB6" s="11"/>
      <c r="AC6" s="11"/>
      <c r="AD6" s="11" t="s">
        <v>52</v>
      </c>
      <c r="AE6" s="11"/>
      <c r="AF6" s="11"/>
    </row>
    <row r="7" customFormat="false" ht="17.25" hidden="false" customHeight="true" outlineLevel="0" collapsed="false">
      <c r="B7" s="12" t="s">
        <v>97</v>
      </c>
      <c r="C7" s="12"/>
      <c r="D7" s="12"/>
      <c r="E7" s="12"/>
      <c r="F7" s="12"/>
      <c r="G7" s="12"/>
      <c r="H7" s="12"/>
      <c r="I7" s="15" t="n">
        <v>6500</v>
      </c>
      <c r="J7" s="15"/>
      <c r="K7" s="15"/>
      <c r="L7" s="15" t="n">
        <v>0</v>
      </c>
      <c r="M7" s="15"/>
      <c r="N7" s="15"/>
      <c r="O7" s="15" t="n">
        <v>0</v>
      </c>
      <c r="P7" s="15"/>
      <c r="Q7" s="15"/>
      <c r="R7" s="15" t="n">
        <v>0</v>
      </c>
      <c r="S7" s="15"/>
      <c r="T7" s="15"/>
      <c r="U7" s="15" t="n">
        <v>500</v>
      </c>
      <c r="V7" s="15"/>
      <c r="W7" s="15"/>
      <c r="X7" s="16" t="n">
        <f aca="false">$I$7-$L$7+$O$7+$R$7-$U$7</f>
        <v>6000</v>
      </c>
      <c r="Y7" s="16"/>
      <c r="Z7" s="16"/>
      <c r="AA7" s="16" t="n">
        <f aca="false">$R$7</f>
        <v>0</v>
      </c>
      <c r="AB7" s="16"/>
      <c r="AC7" s="16"/>
      <c r="AD7" s="16" t="n">
        <f aca="false">$U$7</f>
        <v>500</v>
      </c>
      <c r="AE7" s="16"/>
      <c r="AF7" s="16"/>
    </row>
    <row r="8" customFormat="false" ht="17.25" hidden="false" customHeight="true" outlineLevel="0" collapsed="false">
      <c r="B8" s="12" t="s">
        <v>98</v>
      </c>
      <c r="C8" s="12"/>
      <c r="D8" s="12"/>
      <c r="E8" s="12"/>
      <c r="F8" s="12"/>
      <c r="G8" s="12"/>
      <c r="H8" s="12"/>
      <c r="I8" s="15" t="n">
        <v>1800</v>
      </c>
      <c r="J8" s="15"/>
      <c r="K8" s="15"/>
      <c r="L8" s="15" t="n">
        <v>0</v>
      </c>
      <c r="M8" s="15"/>
      <c r="N8" s="15"/>
      <c r="O8" s="15" t="n">
        <v>0</v>
      </c>
      <c r="P8" s="15"/>
      <c r="Q8" s="15"/>
      <c r="R8" s="15" t="n">
        <v>200</v>
      </c>
      <c r="S8" s="15"/>
      <c r="T8" s="15"/>
      <c r="U8" s="15" t="n">
        <v>0</v>
      </c>
      <c r="V8" s="15"/>
      <c r="W8" s="15"/>
      <c r="X8" s="16" t="n">
        <f aca="false">$I$8-$L$8+$O$8+$R$8-$U$8</f>
        <v>2000</v>
      </c>
      <c r="Y8" s="16"/>
      <c r="Z8" s="16"/>
      <c r="AA8" s="16" t="n">
        <f aca="false">$R$8</f>
        <v>200</v>
      </c>
      <c r="AB8" s="16"/>
      <c r="AC8" s="16"/>
      <c r="AD8" s="16" t="n">
        <f aca="false">$U$8</f>
        <v>0</v>
      </c>
      <c r="AE8" s="16"/>
      <c r="AF8" s="16"/>
    </row>
    <row r="9" customFormat="false" ht="16.5" hidden="false" customHeight="true" outlineLevel="0" collapsed="false">
      <c r="B9" s="2" t="s">
        <v>99</v>
      </c>
      <c r="C9" s="2"/>
      <c r="D9" s="2"/>
      <c r="E9" s="2"/>
      <c r="F9" s="2"/>
      <c r="G9" s="2"/>
      <c r="H9" s="2"/>
      <c r="I9" s="2"/>
      <c r="J9" s="2"/>
      <c r="K9" s="2"/>
      <c r="L9" s="2"/>
      <c r="M9" s="2"/>
      <c r="N9" s="2"/>
      <c r="O9" s="2"/>
      <c r="P9" s="2"/>
      <c r="Q9" s="2"/>
      <c r="R9" s="2"/>
      <c r="S9" s="2"/>
      <c r="T9" s="2"/>
      <c r="U9" s="2"/>
      <c r="V9" s="2"/>
      <c r="W9" s="2"/>
      <c r="X9" s="2"/>
      <c r="Y9" s="2"/>
      <c r="Z9" s="2"/>
      <c r="AA9" s="2"/>
      <c r="AB9" s="2"/>
      <c r="AC9" s="2"/>
      <c r="AD9" s="2"/>
      <c r="AE9" s="2"/>
      <c r="AF9" s="2"/>
    </row>
    <row r="11" customFormat="false" ht="18.75" hidden="false" customHeight="true" outlineLevel="0" collapsed="false">
      <c r="B11" s="3" t="s">
        <v>100</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ustomFormat="false" ht="30" hidden="false" customHeight="true" outlineLevel="0" collapsed="false">
      <c r="B12" s="4" t="s">
        <v>101</v>
      </c>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ustomFormat="false" ht="16.5" hidden="false" customHeight="true" outlineLevel="0" collapsed="false">
      <c r="B13" s="4" t="s">
        <v>102</v>
      </c>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ustomFormat="false" ht="16.5" hidden="false" customHeight="true" outlineLevel="0" collapsed="false">
      <c r="B14" s="4" t="s">
        <v>103</v>
      </c>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ustomFormat="false" ht="30" hidden="false" customHeight="true" outlineLevel="0" collapsed="false">
      <c r="B15" s="4" t="s">
        <v>104</v>
      </c>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7" customFormat="false" ht="18.75" hidden="false" customHeight="true" outlineLevel="0" collapsed="false">
      <c r="B17" s="3" t="s">
        <v>105</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5" hidden="false" customHeight="false" outlineLevel="0" collapsed="false">
      <c r="B18" s="17" t="s">
        <v>64</v>
      </c>
      <c r="C18" s="17"/>
      <c r="D18" s="17"/>
      <c r="E18" s="18" t="s">
        <v>106</v>
      </c>
      <c r="F18" s="18"/>
      <c r="G18" s="18"/>
      <c r="H18" s="18"/>
      <c r="I18" s="18"/>
      <c r="J18" s="18"/>
      <c r="K18" s="18"/>
      <c r="L18" s="18"/>
      <c r="M18" s="18"/>
      <c r="N18" s="18"/>
      <c r="O18" s="18"/>
      <c r="P18" s="18"/>
      <c r="Q18" s="18"/>
      <c r="R18" s="18"/>
      <c r="S18" s="18"/>
      <c r="T18" s="18"/>
      <c r="U18" s="18"/>
      <c r="V18" s="18"/>
      <c r="W18" s="18"/>
      <c r="X18" s="18"/>
      <c r="Y18" s="18"/>
      <c r="Z18" s="18"/>
      <c r="AA18" s="18"/>
      <c r="AB18" s="18"/>
      <c r="AC18" s="18"/>
      <c r="AD18" s="19" t="s">
        <v>66</v>
      </c>
      <c r="AE18" s="19"/>
      <c r="AF18" s="19"/>
    </row>
    <row r="19" customFormat="false" ht="15" hidden="false" customHeight="false" outlineLevel="0" collapsed="false">
      <c r="B19" s="20" t="s">
        <v>67</v>
      </c>
      <c r="C19" s="20"/>
      <c r="D19" s="20"/>
      <c r="E19" s="20" t="s">
        <v>68</v>
      </c>
      <c r="F19" s="20"/>
      <c r="G19" s="20"/>
      <c r="H19" s="20"/>
      <c r="I19" s="20"/>
      <c r="J19" s="20"/>
      <c r="K19" s="20"/>
      <c r="L19" s="21" t="s">
        <v>69</v>
      </c>
      <c r="M19" s="22" t="s">
        <v>70</v>
      </c>
      <c r="N19" s="22"/>
      <c r="O19" s="22"/>
      <c r="P19" s="22"/>
      <c r="Q19" s="23"/>
      <c r="R19" s="24" t="s">
        <v>67</v>
      </c>
      <c r="S19" s="24"/>
      <c r="T19" s="24"/>
      <c r="U19" s="20" t="s">
        <v>68</v>
      </c>
      <c r="V19" s="20"/>
      <c r="W19" s="20"/>
      <c r="X19" s="20"/>
      <c r="Y19" s="20"/>
      <c r="Z19" s="20"/>
      <c r="AA19" s="20"/>
      <c r="AB19" s="21" t="s">
        <v>69</v>
      </c>
      <c r="AC19" s="22" t="s">
        <v>70</v>
      </c>
      <c r="AD19" s="22"/>
      <c r="AE19" s="22"/>
      <c r="AF19" s="22"/>
    </row>
    <row r="20" customFormat="false" ht="16.5" hidden="false" customHeight="true" outlineLevel="0" collapsed="false">
      <c r="B20" s="25" t="s">
        <v>71</v>
      </c>
      <c r="C20" s="25"/>
      <c r="D20" s="25"/>
      <c r="M20" s="26" t="s">
        <v>72</v>
      </c>
      <c r="N20" s="26"/>
      <c r="O20" s="26"/>
      <c r="R20" s="27" t="s">
        <v>71</v>
      </c>
      <c r="S20" s="27"/>
      <c r="T20" s="27"/>
      <c r="AC20" s="26" t="s">
        <v>72</v>
      </c>
      <c r="AD20" s="26"/>
      <c r="AE20" s="26"/>
    </row>
    <row r="21" customFormat="false" ht="17.25" hidden="false" customHeight="true" outlineLevel="0" collapsed="false">
      <c r="B21" s="6" t="s">
        <v>73</v>
      </c>
      <c r="C21" s="6"/>
      <c r="D21" s="6"/>
      <c r="E21" s="28" t="s">
        <v>107</v>
      </c>
      <c r="F21" s="28"/>
      <c r="G21" s="28"/>
      <c r="H21" s="28"/>
      <c r="I21" s="28"/>
      <c r="J21" s="28"/>
      <c r="K21" s="28"/>
      <c r="L21" s="29"/>
      <c r="M21" s="7" t="n">
        <f aca="false">$L$7</f>
        <v>0</v>
      </c>
      <c r="N21" s="7"/>
      <c r="O21" s="7"/>
      <c r="R21" s="30" t="s">
        <v>73</v>
      </c>
      <c r="S21" s="30"/>
      <c r="T21" s="30"/>
      <c r="U21" s="28" t="s">
        <v>108</v>
      </c>
      <c r="V21" s="28"/>
      <c r="W21" s="28"/>
      <c r="X21" s="28"/>
      <c r="Y21" s="28"/>
      <c r="Z21" s="28"/>
      <c r="AA21" s="28"/>
      <c r="AB21" s="29"/>
      <c r="AC21" s="7" t="n">
        <f aca="false">$O$7</f>
        <v>0</v>
      </c>
      <c r="AD21" s="7"/>
      <c r="AE21" s="7"/>
    </row>
    <row r="22" customFormat="false" ht="17.25" hidden="false" customHeight="true" outlineLevel="0" collapsed="false">
      <c r="B22" s="6" t="s">
        <v>78</v>
      </c>
      <c r="C22" s="6"/>
      <c r="D22" s="6"/>
      <c r="E22" s="28" t="s">
        <v>79</v>
      </c>
      <c r="F22" s="28"/>
      <c r="G22" s="28"/>
      <c r="H22" s="28"/>
      <c r="I22" s="28"/>
      <c r="J22" s="28"/>
      <c r="K22" s="28"/>
      <c r="L22" s="29" t="s">
        <v>80</v>
      </c>
      <c r="M22" s="7" t="n">
        <f aca="false">$X$7</f>
        <v>6000</v>
      </c>
      <c r="N22" s="7"/>
      <c r="O22" s="7"/>
      <c r="R22" s="30"/>
      <c r="S22" s="30"/>
      <c r="T22" s="30"/>
      <c r="U22" s="28" t="s">
        <v>109</v>
      </c>
      <c r="V22" s="28"/>
      <c r="W22" s="28"/>
      <c r="X22" s="28"/>
      <c r="Y22" s="28"/>
      <c r="Z22" s="28"/>
      <c r="AA22" s="28"/>
      <c r="AB22" s="29" t="s">
        <v>77</v>
      </c>
      <c r="AC22" s="7" t="n">
        <f aca="false">$I$7</f>
        <v>6500</v>
      </c>
      <c r="AD22" s="7"/>
      <c r="AE22" s="7"/>
    </row>
    <row r="23" customFormat="false" ht="17.25" hidden="false" customHeight="true" outlineLevel="0" collapsed="false">
      <c r="B23" s="6" t="s">
        <v>78</v>
      </c>
      <c r="C23" s="6"/>
      <c r="D23" s="6"/>
      <c r="E23" s="28" t="s">
        <v>110</v>
      </c>
      <c r="F23" s="28"/>
      <c r="G23" s="28"/>
      <c r="H23" s="28"/>
      <c r="I23" s="28"/>
      <c r="J23" s="28"/>
      <c r="K23" s="28"/>
      <c r="L23" s="29"/>
      <c r="M23" s="7" t="n">
        <f aca="false">$U$7</f>
        <v>500</v>
      </c>
      <c r="N23" s="7"/>
      <c r="O23" s="7"/>
      <c r="R23" s="30" t="s">
        <v>78</v>
      </c>
      <c r="S23" s="30"/>
      <c r="T23" s="30"/>
      <c r="U23" s="28" t="s">
        <v>111</v>
      </c>
      <c r="V23" s="28"/>
      <c r="W23" s="28"/>
      <c r="X23" s="28"/>
      <c r="Y23" s="28"/>
      <c r="Z23" s="28"/>
      <c r="AA23" s="28"/>
      <c r="AB23" s="29"/>
      <c r="AC23" s="7" t="n">
        <f aca="false">$R$7</f>
        <v>0</v>
      </c>
      <c r="AD23" s="7"/>
      <c r="AE23" s="7"/>
    </row>
    <row r="24" customFormat="false" ht="16.5" hidden="false" customHeight="true" outlineLevel="0" collapsed="false">
      <c r="M24" s="31" t="n">
        <f aca="false">SUM(M20:M23)</f>
        <v>6500</v>
      </c>
      <c r="N24" s="31"/>
      <c r="O24" s="31"/>
      <c r="R24" s="32"/>
      <c r="AC24" s="31" t="n">
        <f aca="false">SUM(AC20:AC23)</f>
        <v>6500</v>
      </c>
      <c r="AD24" s="31"/>
      <c r="AE24" s="31"/>
    </row>
    <row r="25" customFormat="false" ht="16.5" hidden="false" customHeight="true" outlineLevel="0" collapsed="false">
      <c r="B25" s="25" t="s">
        <v>83</v>
      </c>
      <c r="C25" s="25"/>
      <c r="D25" s="25"/>
      <c r="R25" s="27" t="s">
        <v>83</v>
      </c>
      <c r="S25" s="27"/>
      <c r="T25" s="27"/>
    </row>
    <row r="26" customFormat="false" ht="17.25" hidden="false" customHeight="true" outlineLevel="0" collapsed="false">
      <c r="B26" s="6" t="s">
        <v>73</v>
      </c>
      <c r="C26" s="6"/>
      <c r="D26" s="6"/>
      <c r="E26" s="28" t="s">
        <v>107</v>
      </c>
      <c r="F26" s="28"/>
      <c r="G26" s="28"/>
      <c r="H26" s="28"/>
      <c r="I26" s="28"/>
      <c r="J26" s="28"/>
      <c r="K26" s="28"/>
      <c r="L26" s="29"/>
      <c r="M26" s="7" t="n">
        <f aca="false">$R$7</f>
        <v>0</v>
      </c>
      <c r="N26" s="7"/>
      <c r="O26" s="7"/>
      <c r="R26" s="30" t="s">
        <v>73</v>
      </c>
      <c r="S26" s="30"/>
      <c r="T26" s="30"/>
      <c r="U26" s="28" t="s">
        <v>108</v>
      </c>
      <c r="V26" s="28"/>
      <c r="W26" s="28"/>
      <c r="X26" s="28"/>
      <c r="Y26" s="28"/>
      <c r="Z26" s="28"/>
      <c r="AA26" s="28"/>
      <c r="AB26" s="29"/>
      <c r="AC26" s="7" t="n">
        <f aca="false">$U$7</f>
        <v>500</v>
      </c>
      <c r="AD26" s="7"/>
      <c r="AE26" s="7"/>
    </row>
    <row r="28" customFormat="false" ht="18.75" hidden="false" customHeight="true" outlineLevel="0" collapsed="false">
      <c r="B28" s="3" t="s">
        <v>112</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ustomFormat="false" ht="15" hidden="false" customHeight="false" outlineLevel="0" collapsed="false">
      <c r="B29" s="33" t="s">
        <v>113</v>
      </c>
      <c r="C29" s="33"/>
      <c r="D29" s="33"/>
      <c r="E29" s="33"/>
      <c r="F29" s="33"/>
      <c r="G29" s="33"/>
      <c r="H29" s="33"/>
      <c r="I29" s="33"/>
      <c r="J29" s="33"/>
      <c r="K29" s="33"/>
      <c r="L29" s="33"/>
      <c r="M29" s="33"/>
      <c r="N29" s="33"/>
      <c r="O29" s="33"/>
      <c r="P29" s="33"/>
      <c r="Q29" s="33"/>
      <c r="R29" s="33"/>
      <c r="S29" s="33"/>
      <c r="T29" s="33"/>
      <c r="U29" s="33"/>
      <c r="V29" s="33"/>
      <c r="W29" s="33"/>
      <c r="X29" s="34" t="s">
        <v>114</v>
      </c>
      <c r="Y29" s="34"/>
      <c r="Z29" s="34"/>
      <c r="AA29" s="34"/>
      <c r="AB29" s="34"/>
      <c r="AC29" s="34"/>
    </row>
    <row r="30" customFormat="false" ht="16.5" hidden="false" customHeight="true" outlineLevel="0" collapsed="false">
      <c r="B30" s="12" t="s">
        <v>115</v>
      </c>
      <c r="C30" s="12"/>
      <c r="D30" s="12"/>
      <c r="E30" s="12"/>
      <c r="F30" s="12"/>
      <c r="G30" s="12"/>
      <c r="H30" s="12"/>
      <c r="I30" s="12"/>
      <c r="J30" s="12"/>
      <c r="K30" s="12"/>
      <c r="L30" s="12"/>
      <c r="M30" s="12"/>
      <c r="N30" s="12"/>
      <c r="O30" s="12"/>
      <c r="P30" s="12"/>
      <c r="Q30" s="12"/>
      <c r="R30" s="12"/>
      <c r="S30" s="12"/>
      <c r="T30" s="12"/>
      <c r="U30" s="12"/>
      <c r="V30" s="12"/>
      <c r="W30" s="12"/>
      <c r="X30" s="15" t="n">
        <v>3600</v>
      </c>
      <c r="Y30" s="15"/>
      <c r="Z30" s="15"/>
      <c r="AA30" s="15"/>
      <c r="AB30" s="15"/>
      <c r="AC30" s="15"/>
    </row>
    <row r="31" customFormat="false" ht="16.5" hidden="false" customHeight="true" outlineLevel="0" collapsed="false">
      <c r="B31" s="12" t="s">
        <v>116</v>
      </c>
      <c r="C31" s="12"/>
      <c r="D31" s="12"/>
      <c r="E31" s="12"/>
      <c r="F31" s="12"/>
      <c r="G31" s="12"/>
      <c r="H31" s="12"/>
      <c r="I31" s="12"/>
      <c r="J31" s="12"/>
      <c r="K31" s="12"/>
      <c r="L31" s="12"/>
      <c r="M31" s="12"/>
      <c r="N31" s="12"/>
      <c r="O31" s="12"/>
      <c r="P31" s="12"/>
      <c r="Q31" s="12"/>
      <c r="R31" s="12"/>
      <c r="S31" s="12"/>
      <c r="T31" s="12"/>
      <c r="U31" s="12"/>
      <c r="V31" s="12"/>
      <c r="W31" s="12"/>
      <c r="X31" s="35" t="n">
        <v>12</v>
      </c>
      <c r="Y31" s="35"/>
      <c r="Z31" s="35"/>
      <c r="AA31" s="35"/>
      <c r="AB31" s="35"/>
      <c r="AC31" s="35"/>
    </row>
    <row r="32" customFormat="false" ht="16.5" hidden="false" customHeight="true" outlineLevel="0" collapsed="false">
      <c r="B32" s="12" t="s">
        <v>117</v>
      </c>
      <c r="C32" s="12"/>
      <c r="D32" s="12"/>
      <c r="E32" s="12"/>
      <c r="F32" s="12"/>
      <c r="G32" s="12"/>
      <c r="H32" s="12"/>
      <c r="I32" s="12"/>
      <c r="J32" s="12"/>
      <c r="K32" s="12"/>
      <c r="L32" s="12"/>
      <c r="M32" s="12"/>
      <c r="N32" s="12"/>
      <c r="O32" s="12"/>
      <c r="P32" s="12"/>
      <c r="Q32" s="12"/>
      <c r="R32" s="12"/>
      <c r="S32" s="12"/>
      <c r="T32" s="12"/>
      <c r="U32" s="12"/>
      <c r="V32" s="12"/>
      <c r="W32" s="12"/>
      <c r="X32" s="35" t="n">
        <v>9</v>
      </c>
      <c r="Y32" s="35"/>
      <c r="Z32" s="35"/>
      <c r="AA32" s="35"/>
      <c r="AB32" s="35"/>
      <c r="AC32" s="35"/>
    </row>
    <row r="34" customFormat="false" ht="17.25" hidden="false" customHeight="true" outlineLevel="0" collapsed="false">
      <c r="B34" s="36" t="s">
        <v>118</v>
      </c>
      <c r="C34" s="36"/>
      <c r="D34" s="36"/>
      <c r="E34" s="36"/>
      <c r="F34" s="36"/>
      <c r="G34" s="36"/>
      <c r="H34" s="36"/>
      <c r="I34" s="36"/>
      <c r="J34" s="36"/>
      <c r="K34" s="36"/>
      <c r="L34" s="36"/>
      <c r="M34" s="36"/>
      <c r="N34" s="36"/>
      <c r="O34" s="36"/>
      <c r="P34" s="36"/>
      <c r="Q34" s="36"/>
      <c r="R34" s="36"/>
      <c r="S34" s="36"/>
      <c r="T34" s="36"/>
      <c r="U34" s="36"/>
      <c r="V34" s="36"/>
      <c r="W34" s="36"/>
      <c r="X34" s="37" t="n">
        <f aca="false">$X$30/$X$31</f>
        <v>300</v>
      </c>
      <c r="Y34" s="37"/>
      <c r="Z34" s="37"/>
      <c r="AA34" s="37"/>
      <c r="AB34" s="37"/>
    </row>
    <row r="35" customFormat="false" ht="17.25" hidden="false" customHeight="true" outlineLevel="0" collapsed="false">
      <c r="B35" s="36" t="s">
        <v>119</v>
      </c>
      <c r="C35" s="36"/>
      <c r="D35" s="36"/>
      <c r="E35" s="36"/>
      <c r="F35" s="36"/>
      <c r="G35" s="36"/>
      <c r="H35" s="36"/>
      <c r="I35" s="36"/>
      <c r="J35" s="36"/>
      <c r="K35" s="36"/>
      <c r="L35" s="36"/>
      <c r="M35" s="36"/>
      <c r="N35" s="36"/>
      <c r="O35" s="36"/>
      <c r="P35" s="36"/>
      <c r="Q35" s="36"/>
      <c r="R35" s="36"/>
      <c r="S35" s="36"/>
      <c r="T35" s="36"/>
      <c r="U35" s="36"/>
      <c r="V35" s="36"/>
      <c r="W35" s="36"/>
      <c r="X35" s="37" t="n">
        <f aca="false">$X$30/$X$31*$X$32</f>
        <v>2700</v>
      </c>
      <c r="Y35" s="37"/>
      <c r="Z35" s="37"/>
      <c r="AA35" s="37"/>
      <c r="AB35" s="37"/>
    </row>
    <row r="36" customFormat="false" ht="17.25" hidden="false" customHeight="true" outlineLevel="0" collapsed="false">
      <c r="B36" s="36" t="s">
        <v>120</v>
      </c>
      <c r="C36" s="36"/>
      <c r="D36" s="36"/>
      <c r="E36" s="36"/>
      <c r="F36" s="36"/>
      <c r="G36" s="36"/>
      <c r="H36" s="36"/>
      <c r="I36" s="36"/>
      <c r="J36" s="36"/>
      <c r="K36" s="36"/>
      <c r="L36" s="36"/>
      <c r="M36" s="36"/>
      <c r="N36" s="36"/>
      <c r="O36" s="36"/>
      <c r="P36" s="36"/>
      <c r="Q36" s="36"/>
      <c r="R36" s="36"/>
      <c r="S36" s="36"/>
      <c r="T36" s="36"/>
      <c r="U36" s="36"/>
      <c r="V36" s="36"/>
      <c r="W36" s="36"/>
      <c r="X36" s="37" t="n">
        <f aca="false">$X$30-$X$30/$X$31*$X$32</f>
        <v>900</v>
      </c>
      <c r="Y36" s="37"/>
      <c r="Z36" s="37"/>
      <c r="AA36" s="37"/>
      <c r="AB36" s="37"/>
    </row>
  </sheetData>
  <mergeCells count="94">
    <mergeCell ref="B1:AF1"/>
    <mergeCell ref="B2:AF2"/>
    <mergeCell ref="B3:AF3"/>
    <mergeCell ref="B5:AF5"/>
    <mergeCell ref="B6:H6"/>
    <mergeCell ref="I6:K6"/>
    <mergeCell ref="L6:N6"/>
    <mergeCell ref="O6:Q6"/>
    <mergeCell ref="R6:T6"/>
    <mergeCell ref="U6:W6"/>
    <mergeCell ref="X6:Z6"/>
    <mergeCell ref="AA6:AC6"/>
    <mergeCell ref="AD6:AF6"/>
    <mergeCell ref="B7:H7"/>
    <mergeCell ref="I7:K7"/>
    <mergeCell ref="L7:N7"/>
    <mergeCell ref="O7:Q7"/>
    <mergeCell ref="R7:T7"/>
    <mergeCell ref="U7:W7"/>
    <mergeCell ref="X7:Z7"/>
    <mergeCell ref="AA7:AC7"/>
    <mergeCell ref="AD7:AF7"/>
    <mergeCell ref="B8:H8"/>
    <mergeCell ref="I8:K8"/>
    <mergeCell ref="L8:N8"/>
    <mergeCell ref="O8:Q8"/>
    <mergeCell ref="R8:T8"/>
    <mergeCell ref="U8:W8"/>
    <mergeCell ref="X8:Z8"/>
    <mergeCell ref="AA8:AC8"/>
    <mergeCell ref="AD8:AF8"/>
    <mergeCell ref="B9:AF9"/>
    <mergeCell ref="B11:AF11"/>
    <mergeCell ref="B12:AF12"/>
    <mergeCell ref="B13:AF13"/>
    <mergeCell ref="B14:AF14"/>
    <mergeCell ref="B15:AF15"/>
    <mergeCell ref="B17:AF17"/>
    <mergeCell ref="B18:D18"/>
    <mergeCell ref="E18:AC18"/>
    <mergeCell ref="AD18:AF18"/>
    <mergeCell ref="B19:D19"/>
    <mergeCell ref="E19:K19"/>
    <mergeCell ref="M19:P19"/>
    <mergeCell ref="R19:T19"/>
    <mergeCell ref="U19:AA19"/>
    <mergeCell ref="AC19:AF19"/>
    <mergeCell ref="B20:D20"/>
    <mergeCell ref="M20:O20"/>
    <mergeCell ref="R20:T20"/>
    <mergeCell ref="AC20:AE20"/>
    <mergeCell ref="B21:D21"/>
    <mergeCell ref="E21:K21"/>
    <mergeCell ref="M21:O21"/>
    <mergeCell ref="R21:T21"/>
    <mergeCell ref="U21:AA21"/>
    <mergeCell ref="AC21:AE21"/>
    <mergeCell ref="B22:D22"/>
    <mergeCell ref="E22:K22"/>
    <mergeCell ref="M22:O22"/>
    <mergeCell ref="R22:T22"/>
    <mergeCell ref="U22:AA22"/>
    <mergeCell ref="AC22:AE22"/>
    <mergeCell ref="B23:D23"/>
    <mergeCell ref="E23:K23"/>
    <mergeCell ref="M23:O23"/>
    <mergeCell ref="R23:T23"/>
    <mergeCell ref="U23:AA23"/>
    <mergeCell ref="AC23:AE23"/>
    <mergeCell ref="M24:O24"/>
    <mergeCell ref="AC24:AE24"/>
    <mergeCell ref="B25:D25"/>
    <mergeCell ref="R25:T25"/>
    <mergeCell ref="B26:D26"/>
    <mergeCell ref="E26:K26"/>
    <mergeCell ref="M26:O26"/>
    <mergeCell ref="R26:T26"/>
    <mergeCell ref="U26:AA26"/>
    <mergeCell ref="AC26:AE26"/>
    <mergeCell ref="B28:AF28"/>
    <mergeCell ref="B29:W29"/>
    <mergeCell ref="X29:AC29"/>
    <mergeCell ref="B30:W30"/>
    <mergeCell ref="X30:AC30"/>
    <mergeCell ref="B31:W31"/>
    <mergeCell ref="X31:AC31"/>
    <mergeCell ref="B32:W32"/>
    <mergeCell ref="X32:AC32"/>
    <mergeCell ref="B34:W34"/>
    <mergeCell ref="X34:AB34"/>
    <mergeCell ref="B35:W35"/>
    <mergeCell ref="X35:AB35"/>
    <mergeCell ref="B36:W36"/>
    <mergeCell ref="X36:AB36"/>
  </mergeCells>
  <conditionalFormatting sqref="B1:AG3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121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7" t="s">
        <v>123</v>
      </c>
      <c r="C3" s="17"/>
      <c r="D3" s="17"/>
      <c r="E3" s="17"/>
      <c r="F3" s="17"/>
      <c r="G3" s="17"/>
      <c r="H3" s="17" t="str">
        <f aca="false">COUNTIF(B4:AG28,"✓")&amp;" correct out of 6 answer cells"</f>
        <v>0 correct out of 6 answer cells</v>
      </c>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124</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125</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126</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33" t="s">
        <v>127</v>
      </c>
      <c r="C8" s="33"/>
      <c r="D8" s="33"/>
      <c r="E8" s="33"/>
      <c r="F8" s="33"/>
      <c r="G8" s="33"/>
      <c r="H8" s="33"/>
      <c r="I8" s="33"/>
      <c r="J8" s="33"/>
      <c r="K8" s="33"/>
      <c r="L8" s="33"/>
      <c r="M8" s="33"/>
      <c r="N8" s="33"/>
      <c r="O8" s="33"/>
      <c r="P8" s="33"/>
      <c r="Q8" s="33"/>
      <c r="R8" s="33"/>
      <c r="S8" s="33"/>
      <c r="T8" s="33"/>
      <c r="U8" s="33"/>
      <c r="V8" s="33"/>
      <c r="W8" s="33"/>
      <c r="X8" s="34" t="s">
        <v>114</v>
      </c>
      <c r="Y8" s="34"/>
      <c r="Z8" s="34"/>
      <c r="AA8" s="34"/>
      <c r="AB8" s="34"/>
      <c r="AC8" s="34"/>
    </row>
    <row r="9" customFormat="false" ht="16.5" hidden="false" customHeight="true" outlineLevel="0" collapsed="false">
      <c r="B9" s="12" t="s">
        <v>128</v>
      </c>
      <c r="C9" s="12"/>
      <c r="D9" s="12"/>
      <c r="E9" s="12"/>
      <c r="F9" s="12"/>
      <c r="G9" s="12"/>
      <c r="H9" s="12"/>
      <c r="I9" s="12"/>
      <c r="J9" s="12"/>
      <c r="K9" s="12"/>
      <c r="L9" s="12"/>
      <c r="M9" s="12"/>
      <c r="N9" s="12"/>
      <c r="O9" s="12"/>
      <c r="P9" s="12"/>
      <c r="Q9" s="12"/>
      <c r="R9" s="12"/>
      <c r="S9" s="12"/>
      <c r="T9" s="12"/>
      <c r="U9" s="12"/>
      <c r="V9" s="12"/>
      <c r="W9" s="12"/>
      <c r="X9" s="15" t="n">
        <v>800</v>
      </c>
      <c r="Y9" s="15"/>
      <c r="Z9" s="15"/>
      <c r="AA9" s="15"/>
      <c r="AB9" s="15"/>
      <c r="AC9" s="15"/>
    </row>
    <row r="10" customFormat="false" ht="16.5" hidden="false" customHeight="true" outlineLevel="0" collapsed="false">
      <c r="B10" s="12" t="s">
        <v>129</v>
      </c>
      <c r="C10" s="12"/>
      <c r="D10" s="12"/>
      <c r="E10" s="12"/>
      <c r="F10" s="12"/>
      <c r="G10" s="12"/>
      <c r="H10" s="12"/>
      <c r="I10" s="12"/>
      <c r="J10" s="12"/>
      <c r="K10" s="12"/>
      <c r="L10" s="12"/>
      <c r="M10" s="12"/>
      <c r="N10" s="12"/>
      <c r="O10" s="12"/>
      <c r="P10" s="12"/>
      <c r="Q10" s="12"/>
      <c r="R10" s="12"/>
      <c r="S10" s="12"/>
      <c r="T10" s="12"/>
      <c r="U10" s="12"/>
      <c r="V10" s="12"/>
      <c r="W10" s="12"/>
      <c r="X10" s="15" t="n">
        <v>8800</v>
      </c>
      <c r="Y10" s="15"/>
      <c r="Z10" s="15"/>
      <c r="AA10" s="15"/>
      <c r="AB10" s="15"/>
      <c r="AC10" s="15"/>
    </row>
    <row r="11" customFormat="false" ht="16.5" hidden="false" customHeight="true" outlineLevel="0" collapsed="false">
      <c r="B11" s="12" t="s">
        <v>130</v>
      </c>
      <c r="C11" s="12"/>
      <c r="D11" s="12"/>
      <c r="E11" s="12"/>
      <c r="F11" s="12"/>
      <c r="G11" s="12"/>
      <c r="H11" s="12"/>
      <c r="I11" s="12"/>
      <c r="J11" s="12"/>
      <c r="K11" s="12"/>
      <c r="L11" s="12"/>
      <c r="M11" s="12"/>
      <c r="N11" s="12"/>
      <c r="O11" s="12"/>
      <c r="P11" s="12"/>
      <c r="Q11" s="12"/>
      <c r="R11" s="12"/>
      <c r="S11" s="12"/>
      <c r="T11" s="12"/>
      <c r="U11" s="12"/>
      <c r="V11" s="12"/>
      <c r="W11" s="12"/>
      <c r="X11" s="15" t="n">
        <v>1800</v>
      </c>
      <c r="Y11" s="15"/>
      <c r="Z11" s="15"/>
      <c r="AA11" s="15"/>
      <c r="AB11" s="15"/>
      <c r="AC11" s="15"/>
    </row>
    <row r="12" customFormat="false" ht="16.5" hidden="false" customHeight="true" outlineLevel="0" collapsed="false">
      <c r="B12" s="12" t="s">
        <v>131</v>
      </c>
      <c r="C12" s="12"/>
      <c r="D12" s="12"/>
      <c r="E12" s="12"/>
      <c r="F12" s="12"/>
      <c r="G12" s="12"/>
      <c r="H12" s="12"/>
      <c r="I12" s="12"/>
      <c r="J12" s="12"/>
      <c r="K12" s="12"/>
      <c r="L12" s="12"/>
      <c r="M12" s="12"/>
      <c r="N12" s="12"/>
      <c r="O12" s="12"/>
      <c r="P12" s="12"/>
      <c r="Q12" s="12"/>
      <c r="R12" s="12"/>
      <c r="S12" s="12"/>
      <c r="T12" s="12"/>
      <c r="U12" s="12"/>
      <c r="V12" s="12"/>
      <c r="W12" s="12"/>
      <c r="X12" s="15" t="n">
        <v>300</v>
      </c>
      <c r="Y12" s="15"/>
      <c r="Z12" s="15"/>
      <c r="AA12" s="15"/>
      <c r="AB12" s="15"/>
      <c r="AC12" s="15"/>
    </row>
    <row r="15" customFormat="false" ht="18.75" hidden="false" customHeight="true" outlineLevel="0" collapsed="false">
      <c r="B15" s="3" t="s">
        <v>132</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ustomFormat="false" ht="17.25" hidden="false" customHeight="true" outlineLevel="0" collapsed="false">
      <c r="B16" s="36" t="s">
        <v>133</v>
      </c>
      <c r="C16" s="36"/>
      <c r="D16" s="36"/>
      <c r="E16" s="36"/>
      <c r="F16" s="36"/>
      <c r="G16" s="36"/>
      <c r="H16" s="36"/>
      <c r="I16" s="36"/>
      <c r="J16" s="36"/>
      <c r="K16" s="36"/>
      <c r="L16" s="36"/>
      <c r="M16" s="36"/>
      <c r="N16" s="36"/>
      <c r="O16" s="36"/>
      <c r="P16" s="36"/>
      <c r="Q16" s="36"/>
      <c r="R16" s="36"/>
      <c r="S16" s="36"/>
      <c r="T16" s="36"/>
      <c r="U16" s="36"/>
      <c r="V16" s="36"/>
      <c r="W16" s="36"/>
      <c r="X16" s="38"/>
      <c r="Y16" s="38"/>
      <c r="Z16" s="38"/>
      <c r="AA16" s="38"/>
      <c r="AB16" s="38"/>
      <c r="AC16" s="39" t="str">
        <f aca="false">IF(X16="","",IFERROR(IF(ABS(ABS(X16)-ABS('Q11.8 Ans'!X16))&lt;0.5,"✓","✗"),"✗"))</f>
        <v/>
      </c>
    </row>
    <row r="17" customFormat="false" ht="17.25" hidden="false" customHeight="true" outlineLevel="0" collapsed="false">
      <c r="B17" s="36" t="s">
        <v>134</v>
      </c>
      <c r="C17" s="36"/>
      <c r="D17" s="36"/>
      <c r="E17" s="36"/>
      <c r="F17" s="36"/>
      <c r="G17" s="36"/>
      <c r="H17" s="36"/>
      <c r="I17" s="36"/>
      <c r="J17" s="36"/>
      <c r="K17" s="36"/>
      <c r="L17" s="36"/>
      <c r="M17" s="36"/>
      <c r="N17" s="36"/>
      <c r="O17" s="36"/>
      <c r="P17" s="36"/>
      <c r="Q17" s="36"/>
      <c r="R17" s="36"/>
      <c r="S17" s="36"/>
      <c r="T17" s="36"/>
      <c r="U17" s="36"/>
      <c r="V17" s="36"/>
      <c r="W17" s="36"/>
      <c r="X17" s="38"/>
      <c r="Y17" s="38"/>
      <c r="Z17" s="38"/>
      <c r="AA17" s="38"/>
      <c r="AB17" s="38"/>
      <c r="AC17" s="39" t="str">
        <f aca="false">IF(X17="","",IFERROR(IF(ABS(ABS(X17)-ABS('Q11.8 Ans'!X17))&lt;0.5,"✓","✗"),"✗"))</f>
        <v/>
      </c>
    </row>
    <row r="19" customFormat="false" ht="18.75" hidden="false" customHeight="true" outlineLevel="0" collapsed="false">
      <c r="B19" s="3" t="s">
        <v>135</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ustomFormat="false" ht="17.25" hidden="false" customHeight="true" outlineLevel="0" collapsed="false">
      <c r="B20" s="36" t="s">
        <v>136</v>
      </c>
      <c r="C20" s="36"/>
      <c r="D20" s="36"/>
      <c r="E20" s="36"/>
      <c r="F20" s="36"/>
      <c r="G20" s="36"/>
      <c r="H20" s="36"/>
      <c r="I20" s="36"/>
      <c r="J20" s="36"/>
      <c r="K20" s="36"/>
      <c r="L20" s="36"/>
      <c r="M20" s="36"/>
      <c r="N20" s="36"/>
      <c r="O20" s="36"/>
      <c r="P20" s="36"/>
      <c r="Q20" s="36"/>
      <c r="R20" s="36"/>
      <c r="S20" s="36"/>
      <c r="T20" s="36"/>
      <c r="U20" s="36"/>
      <c r="V20" s="36"/>
      <c r="W20" s="36"/>
      <c r="X20" s="38"/>
      <c r="Y20" s="38"/>
      <c r="Z20" s="38"/>
      <c r="AA20" s="38"/>
      <c r="AB20" s="38"/>
      <c r="AC20" s="39" t="str">
        <f aca="false">IF(X20="","",IFERROR(IF(ABS(ABS(X20)-ABS('Q11.8 Ans'!X20))&lt;0.5,"✓","✗"),"✗"))</f>
        <v/>
      </c>
    </row>
    <row r="22" customFormat="false" ht="18.75" hidden="false" customHeight="true" outlineLevel="0" collapsed="false">
      <c r="B22" s="3" t="s">
        <v>137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36" t="s">
        <v>138</v>
      </c>
      <c r="C23" s="36"/>
      <c r="D23" s="36"/>
      <c r="E23" s="36"/>
      <c r="F23" s="36"/>
      <c r="G23" s="36"/>
      <c r="H23" s="36"/>
      <c r="I23" s="36"/>
      <c r="J23" s="36"/>
      <c r="K23" s="36"/>
      <c r="L23" s="36"/>
      <c r="M23" s="36"/>
      <c r="N23" s="36"/>
      <c r="O23" s="36"/>
      <c r="P23" s="36"/>
      <c r="Q23" s="36"/>
      <c r="R23" s="36"/>
      <c r="S23" s="36"/>
      <c r="T23" s="40"/>
      <c r="U23" s="40"/>
      <c r="V23" s="40"/>
      <c r="W23" s="40"/>
      <c r="X23" s="40"/>
      <c r="Y23" s="40"/>
      <c r="Z23" s="40"/>
      <c r="AA23" s="40"/>
      <c r="AB23" s="40"/>
      <c r="AC23" s="41" t="str">
        <f aca="false">IF(T23="","",IF(LOWER(TRIM(T23))=LOWER('Q11.8 Ans'!T23),"✓","✗"))</f>
        <v/>
      </c>
    </row>
    <row r="24" customFormat="false" ht="17.25" hidden="false" customHeight="true" outlineLevel="0" collapsed="false">
      <c r="B24" s="36" t="s">
        <v>139</v>
      </c>
      <c r="C24" s="36"/>
      <c r="D24" s="36"/>
      <c r="E24" s="36"/>
      <c r="F24" s="36"/>
      <c r="G24" s="36"/>
      <c r="H24" s="36"/>
      <c r="I24" s="36"/>
      <c r="J24" s="36"/>
      <c r="K24" s="36"/>
      <c r="L24" s="36"/>
      <c r="M24" s="36"/>
      <c r="N24" s="36"/>
      <c r="O24" s="36"/>
      <c r="P24" s="36"/>
      <c r="Q24" s="36"/>
      <c r="R24" s="36"/>
      <c r="S24" s="36"/>
      <c r="T24" s="40"/>
      <c r="U24" s="40"/>
      <c r="V24" s="40"/>
      <c r="W24" s="40"/>
      <c r="X24" s="40"/>
      <c r="Y24" s="40"/>
      <c r="Z24" s="40"/>
      <c r="AA24" s="40"/>
      <c r="AB24" s="40"/>
      <c r="AC24" s="41" t="str">
        <f aca="false">IF(T24="","",IF(LOWER(TRIM(T24))=LOWER('Q11.8 Ans'!T24),"✓","✗"))</f>
        <v/>
      </c>
    </row>
    <row r="26" customFormat="false" ht="18.75" hidden="false" customHeight="true" outlineLevel="0" collapsed="false">
      <c r="B26" s="3" t="s">
        <v>140</v>
      </c>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ustomFormat="false" ht="17.25" hidden="false" customHeight="true" outlineLevel="0" collapsed="false">
      <c r="B27" s="36" t="s">
        <v>141</v>
      </c>
      <c r="C27" s="36"/>
      <c r="D27" s="36"/>
      <c r="E27" s="36"/>
      <c r="F27" s="36"/>
      <c r="G27" s="36"/>
      <c r="H27" s="36"/>
      <c r="I27" s="36"/>
      <c r="J27" s="36"/>
      <c r="K27" s="36"/>
      <c r="L27" s="36"/>
      <c r="M27" s="36"/>
      <c r="N27" s="36"/>
      <c r="O27" s="36"/>
      <c r="P27" s="36"/>
      <c r="Q27" s="36"/>
      <c r="R27" s="36"/>
      <c r="S27" s="36"/>
      <c r="T27" s="40"/>
      <c r="U27" s="40"/>
      <c r="V27" s="40"/>
      <c r="W27" s="40"/>
      <c r="X27" s="40"/>
      <c r="Y27" s="40"/>
      <c r="Z27" s="40"/>
      <c r="AA27" s="40"/>
      <c r="AB27" s="40"/>
      <c r="AC27" s="41" t="str">
        <f aca="false">IF(T27="","",IF(LOWER(TRIM(T27))=LOWER('Q11.8 Ans'!T27),"✓","✗"))</f>
        <v/>
      </c>
    </row>
  </sheetData>
  <mergeCells count="33">
    <mergeCell ref="B1:AF1"/>
    <mergeCell ref="B2:AF2"/>
    <mergeCell ref="B3:G3"/>
    <mergeCell ref="H3:AF3"/>
    <mergeCell ref="B5:AF5"/>
    <mergeCell ref="C6:AF6"/>
    <mergeCell ref="C7:AF7"/>
    <mergeCell ref="B8:W8"/>
    <mergeCell ref="X8:AC8"/>
    <mergeCell ref="B9:W9"/>
    <mergeCell ref="X9:AC9"/>
    <mergeCell ref="B10:W10"/>
    <mergeCell ref="X10:AC10"/>
    <mergeCell ref="B11:W11"/>
    <mergeCell ref="X11:AC11"/>
    <mergeCell ref="B12:W12"/>
    <mergeCell ref="X12:AC12"/>
    <mergeCell ref="B15:AF15"/>
    <mergeCell ref="B16:W16"/>
    <mergeCell ref="X16:AB16"/>
    <mergeCell ref="B17:W17"/>
    <mergeCell ref="X17:AB17"/>
    <mergeCell ref="B19:AF19"/>
    <mergeCell ref="B20:W20"/>
    <mergeCell ref="X20:AB20"/>
    <mergeCell ref="B22:AF22"/>
    <mergeCell ref="B23:S23"/>
    <mergeCell ref="T23:AB23"/>
    <mergeCell ref="B24:S24"/>
    <mergeCell ref="T24:AB24"/>
    <mergeCell ref="B26:AF26"/>
    <mergeCell ref="B27:S27"/>
    <mergeCell ref="T27:AB27"/>
  </mergeCells>
  <conditionalFormatting sqref="B4:AG28">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3">
    <dataValidation allowBlank="true" errorStyle="stop" operator="between" showDropDown="false" showErrorMessage="false" showInputMessage="false" sqref="T23" type="list">
      <formula1>"Current assets (other receivables),Current liabilities (other payables),Non-current assets,Non-current liabilities"</formula1>
      <formula2>0</formula2>
    </dataValidation>
    <dataValidation allowBlank="true" errorStyle="stop" operator="between" showDropDown="false" showErrorMessage="false" showInputMessage="false" sqref="T24" type="list">
      <formula1>"Current assets (other receivables),Current liabilities (other payables),Non-current assets,Non-current liabilities"</formula1>
      <formula2>0</formula2>
    </dataValidation>
    <dataValidation allowBlank="true" errorStyle="stop" operator="between" showDropDown="false" showErrorMessage="false" showInputMessage="false" sqref="T27"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4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142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7" t="s">
        <v>123</v>
      </c>
      <c r="C3" s="17"/>
      <c r="D3" s="17"/>
      <c r="E3" s="17"/>
      <c r="F3" s="17"/>
      <c r="G3" s="17"/>
      <c r="H3" s="17" t="str">
        <f aca="false">COUNTIF(B4:AG47,"✓")&amp;" correct out of 16 answer cells"</f>
        <v>0 correct out of 16 answer cells</v>
      </c>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124</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143</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144</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33" t="s">
        <v>127</v>
      </c>
      <c r="C8" s="33"/>
      <c r="D8" s="33"/>
      <c r="E8" s="33"/>
      <c r="F8" s="33"/>
      <c r="G8" s="33"/>
      <c r="H8" s="33"/>
      <c r="I8" s="33"/>
      <c r="J8" s="33"/>
      <c r="K8" s="33"/>
      <c r="L8" s="33"/>
      <c r="M8" s="33"/>
      <c r="N8" s="33"/>
      <c r="O8" s="33"/>
      <c r="P8" s="33"/>
      <c r="Q8" s="33"/>
      <c r="R8" s="33"/>
      <c r="S8" s="33"/>
      <c r="T8" s="33"/>
      <c r="U8" s="33"/>
      <c r="V8" s="33"/>
      <c r="W8" s="33"/>
      <c r="X8" s="34" t="s">
        <v>114</v>
      </c>
      <c r="Y8" s="34"/>
      <c r="Z8" s="34"/>
      <c r="AA8" s="34"/>
      <c r="AB8" s="34"/>
      <c r="AC8" s="34"/>
    </row>
    <row r="9" customFormat="false" ht="16.5" hidden="false" customHeight="true" outlineLevel="0" collapsed="false">
      <c r="B9" s="12" t="s">
        <v>145</v>
      </c>
      <c r="C9" s="12"/>
      <c r="D9" s="12"/>
      <c r="E9" s="12"/>
      <c r="F9" s="12"/>
      <c r="G9" s="12"/>
      <c r="H9" s="12"/>
      <c r="I9" s="12"/>
      <c r="J9" s="12"/>
      <c r="K9" s="12"/>
      <c r="L9" s="12"/>
      <c r="M9" s="12"/>
      <c r="N9" s="12"/>
      <c r="O9" s="12"/>
      <c r="P9" s="12"/>
      <c r="Q9" s="12"/>
      <c r="R9" s="12"/>
      <c r="S9" s="12"/>
      <c r="T9" s="12"/>
      <c r="U9" s="12"/>
      <c r="V9" s="12"/>
      <c r="W9" s="12"/>
      <c r="X9" s="15" t="n">
        <v>600</v>
      </c>
      <c r="Y9" s="15"/>
      <c r="Z9" s="15"/>
      <c r="AA9" s="15"/>
      <c r="AB9" s="15"/>
      <c r="AC9" s="15"/>
    </row>
    <row r="10" customFormat="false" ht="16.5" hidden="false" customHeight="true" outlineLevel="0" collapsed="false">
      <c r="B10" s="12" t="s">
        <v>146</v>
      </c>
      <c r="C10" s="12"/>
      <c r="D10" s="12"/>
      <c r="E10" s="12"/>
      <c r="F10" s="12"/>
      <c r="G10" s="12"/>
      <c r="H10" s="12"/>
      <c r="I10" s="12"/>
      <c r="J10" s="12"/>
      <c r="K10" s="12"/>
      <c r="L10" s="12"/>
      <c r="M10" s="12"/>
      <c r="N10" s="12"/>
      <c r="O10" s="12"/>
      <c r="P10" s="12"/>
      <c r="Q10" s="12"/>
      <c r="R10" s="12"/>
      <c r="S10" s="12"/>
      <c r="T10" s="12"/>
      <c r="U10" s="12"/>
      <c r="V10" s="12"/>
      <c r="W10" s="12"/>
      <c r="X10" s="15" t="n">
        <v>550</v>
      </c>
      <c r="Y10" s="15"/>
      <c r="Z10" s="15"/>
      <c r="AA10" s="15"/>
      <c r="AB10" s="15"/>
      <c r="AC10" s="15"/>
    </row>
    <row r="11" customFormat="false" ht="16.5" hidden="false" customHeight="true" outlineLevel="0" collapsed="false">
      <c r="B11" s="12" t="s">
        <v>147</v>
      </c>
      <c r="C11" s="12"/>
      <c r="D11" s="12"/>
      <c r="E11" s="12"/>
      <c r="F11" s="12"/>
      <c r="G11" s="12"/>
      <c r="H11" s="12"/>
      <c r="I11" s="12"/>
      <c r="J11" s="12"/>
      <c r="K11" s="12"/>
      <c r="L11" s="12"/>
      <c r="M11" s="12"/>
      <c r="N11" s="12"/>
      <c r="O11" s="12"/>
      <c r="P11" s="12"/>
      <c r="Q11" s="12"/>
      <c r="R11" s="12"/>
      <c r="S11" s="12"/>
      <c r="T11" s="12"/>
      <c r="U11" s="12"/>
      <c r="V11" s="12"/>
      <c r="W11" s="12"/>
      <c r="X11" s="15" t="n">
        <v>500</v>
      </c>
      <c r="Y11" s="15"/>
      <c r="Z11" s="15"/>
      <c r="AA11" s="15"/>
      <c r="AB11" s="15"/>
      <c r="AC11" s="15"/>
    </row>
    <row r="12" customFormat="false" ht="16.5" hidden="false" customHeight="true" outlineLevel="0" collapsed="false">
      <c r="B12" s="12" t="s">
        <v>148</v>
      </c>
      <c r="C12" s="12"/>
      <c r="D12" s="12"/>
      <c r="E12" s="12"/>
      <c r="F12" s="12"/>
      <c r="G12" s="12"/>
      <c r="H12" s="12"/>
      <c r="I12" s="12"/>
      <c r="J12" s="12"/>
      <c r="K12" s="12"/>
      <c r="L12" s="12"/>
      <c r="M12" s="12"/>
      <c r="N12" s="12"/>
      <c r="O12" s="12"/>
      <c r="P12" s="12"/>
      <c r="Q12" s="12"/>
      <c r="R12" s="12"/>
      <c r="S12" s="12"/>
      <c r="T12" s="12"/>
      <c r="U12" s="12"/>
      <c r="V12" s="12"/>
      <c r="W12" s="12"/>
      <c r="X12" s="15" t="n">
        <v>580</v>
      </c>
      <c r="Y12" s="15"/>
      <c r="Z12" s="15"/>
      <c r="AA12" s="15"/>
      <c r="AB12" s="15"/>
      <c r="AC12" s="15"/>
    </row>
    <row r="13" customFormat="false" ht="16.5" hidden="false" customHeight="true" outlineLevel="0" collapsed="false">
      <c r="B13" s="12" t="s">
        <v>149</v>
      </c>
      <c r="C13" s="12"/>
      <c r="D13" s="12"/>
      <c r="E13" s="12"/>
      <c r="F13" s="12"/>
      <c r="G13" s="12"/>
      <c r="H13" s="12"/>
      <c r="I13" s="12"/>
      <c r="J13" s="12"/>
      <c r="K13" s="12"/>
      <c r="L13" s="12"/>
      <c r="M13" s="12"/>
      <c r="N13" s="12"/>
      <c r="O13" s="12"/>
      <c r="P13" s="12"/>
      <c r="Q13" s="12"/>
      <c r="R13" s="12"/>
      <c r="S13" s="12"/>
      <c r="T13" s="12"/>
      <c r="U13" s="12"/>
      <c r="V13" s="12"/>
      <c r="W13" s="12"/>
      <c r="X13" s="15" t="n">
        <v>2400</v>
      </c>
      <c r="Y13" s="15"/>
      <c r="Z13" s="15"/>
      <c r="AA13" s="15"/>
      <c r="AB13" s="15"/>
      <c r="AC13" s="15"/>
    </row>
    <row r="14" customFormat="false" ht="16.5" hidden="false" customHeight="true" outlineLevel="0" collapsed="false">
      <c r="B14" s="12" t="s">
        <v>150</v>
      </c>
      <c r="C14" s="12"/>
      <c r="D14" s="12"/>
      <c r="E14" s="12"/>
      <c r="F14" s="12"/>
      <c r="G14" s="12"/>
      <c r="H14" s="12"/>
      <c r="I14" s="12"/>
      <c r="J14" s="12"/>
      <c r="K14" s="12"/>
      <c r="L14" s="12"/>
      <c r="M14" s="12"/>
      <c r="N14" s="12"/>
      <c r="O14" s="12"/>
      <c r="P14" s="12"/>
      <c r="Q14" s="12"/>
      <c r="R14" s="12"/>
      <c r="S14" s="12"/>
      <c r="T14" s="12"/>
      <c r="U14" s="12"/>
      <c r="V14" s="12"/>
      <c r="W14" s="12"/>
      <c r="X14" s="35" t="n">
        <v>6</v>
      </c>
      <c r="Y14" s="35"/>
      <c r="Z14" s="35"/>
      <c r="AA14" s="35"/>
      <c r="AB14" s="35"/>
      <c r="AC14" s="35"/>
    </row>
    <row r="17" customFormat="false" ht="18.75" hidden="false" customHeight="true" outlineLevel="0" collapsed="false">
      <c r="B17" s="3" t="s">
        <v>151</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5" hidden="false" customHeight="false" outlineLevel="0" collapsed="false">
      <c r="B18" s="17" t="s">
        <v>64</v>
      </c>
      <c r="C18" s="17"/>
      <c r="D18" s="17"/>
      <c r="E18" s="18" t="s">
        <v>87</v>
      </c>
      <c r="F18" s="18"/>
      <c r="G18" s="18"/>
      <c r="H18" s="18"/>
      <c r="I18" s="18"/>
      <c r="J18" s="18"/>
      <c r="K18" s="18"/>
      <c r="L18" s="18"/>
      <c r="M18" s="18"/>
      <c r="N18" s="18"/>
      <c r="O18" s="18"/>
      <c r="P18" s="18"/>
      <c r="Q18" s="18"/>
      <c r="R18" s="18"/>
      <c r="S18" s="18"/>
      <c r="T18" s="18"/>
      <c r="U18" s="18"/>
      <c r="V18" s="18"/>
      <c r="W18" s="18"/>
      <c r="X18" s="18"/>
      <c r="Y18" s="18"/>
      <c r="Z18" s="18"/>
      <c r="AA18" s="18"/>
      <c r="AB18" s="18"/>
      <c r="AC18" s="18"/>
      <c r="AD18" s="19" t="s">
        <v>66</v>
      </c>
      <c r="AE18" s="19"/>
      <c r="AF18" s="19"/>
    </row>
    <row r="19" customFormat="false" ht="15" hidden="false" customHeight="false" outlineLevel="0" collapsed="false">
      <c r="B19" s="20" t="s">
        <v>67</v>
      </c>
      <c r="C19" s="20"/>
      <c r="D19" s="20"/>
      <c r="E19" s="20" t="s">
        <v>68</v>
      </c>
      <c r="F19" s="20"/>
      <c r="G19" s="20"/>
      <c r="H19" s="20"/>
      <c r="I19" s="20"/>
      <c r="J19" s="20"/>
      <c r="K19" s="20"/>
      <c r="L19" s="21" t="s">
        <v>69</v>
      </c>
      <c r="M19" s="22" t="s">
        <v>70</v>
      </c>
      <c r="N19" s="22"/>
      <c r="O19" s="22"/>
      <c r="P19" s="22"/>
      <c r="Q19" s="23"/>
      <c r="R19" s="24" t="s">
        <v>67</v>
      </c>
      <c r="S19" s="24"/>
      <c r="T19" s="24"/>
      <c r="U19" s="20" t="s">
        <v>68</v>
      </c>
      <c r="V19" s="20"/>
      <c r="W19" s="20"/>
      <c r="X19" s="20"/>
      <c r="Y19" s="20"/>
      <c r="Z19" s="20"/>
      <c r="AA19" s="20"/>
      <c r="AB19" s="21" t="s">
        <v>69</v>
      </c>
      <c r="AC19" s="22" t="s">
        <v>70</v>
      </c>
      <c r="AD19" s="22"/>
      <c r="AE19" s="22"/>
      <c r="AF19" s="22"/>
    </row>
    <row r="20" customFormat="false" ht="16.5" hidden="false" customHeight="true" outlineLevel="0" collapsed="false">
      <c r="B20" s="25" t="s">
        <v>71</v>
      </c>
      <c r="C20" s="25"/>
      <c r="D20" s="25"/>
      <c r="M20" s="26" t="s">
        <v>72</v>
      </c>
      <c r="N20" s="26"/>
      <c r="O20" s="26"/>
      <c r="R20" s="27" t="s">
        <v>71</v>
      </c>
      <c r="S20" s="27"/>
      <c r="T20" s="27"/>
      <c r="AC20" s="26" t="s">
        <v>72</v>
      </c>
      <c r="AD20" s="26"/>
      <c r="AE20" s="26"/>
    </row>
    <row r="21" customFormat="false" ht="17.25" hidden="false" customHeight="true" outlineLevel="0" collapsed="false">
      <c r="B21" s="6" t="s">
        <v>152</v>
      </c>
      <c r="C21" s="6"/>
      <c r="D21" s="6"/>
      <c r="E21" s="28" t="s">
        <v>153</v>
      </c>
      <c r="F21" s="28"/>
      <c r="G21" s="28"/>
      <c r="H21" s="28"/>
      <c r="I21" s="28"/>
      <c r="J21" s="28"/>
      <c r="K21" s="28"/>
      <c r="L21" s="29" t="s">
        <v>77</v>
      </c>
      <c r="M21" s="38"/>
      <c r="N21" s="38"/>
      <c r="O21" s="38"/>
      <c r="P21" s="39" t="str">
        <f aca="false">IF(M21="","",IFERROR(IF(ABS(ABS(M21)-ABS('Q11.9 Ans'!M21))&lt;0.5,"✓","✗"),"✗"))</f>
        <v/>
      </c>
      <c r="R21" s="30" t="s">
        <v>78</v>
      </c>
      <c r="S21" s="30"/>
      <c r="T21" s="30"/>
      <c r="U21" s="28" t="s">
        <v>79</v>
      </c>
      <c r="V21" s="28"/>
      <c r="W21" s="28"/>
      <c r="X21" s="28"/>
      <c r="Y21" s="28"/>
      <c r="Z21" s="28"/>
      <c r="AA21" s="28"/>
      <c r="AB21" s="29" t="s">
        <v>80</v>
      </c>
      <c r="AC21" s="38"/>
      <c r="AD21" s="38"/>
      <c r="AE21" s="38"/>
      <c r="AF21" s="39" t="str">
        <f aca="false">IF(AC21="","",IFERROR(IF(ABS(ABS(AC21)-ABS('Q11.9 Ans'!AC21))&lt;0.5,"✓","✗"),"✗"))</f>
        <v/>
      </c>
    </row>
    <row r="22" customFormat="false" ht="17.25" hidden="false" customHeight="true" outlineLevel="0" collapsed="false">
      <c r="B22" s="6" t="s">
        <v>154</v>
      </c>
      <c r="C22" s="6"/>
      <c r="D22" s="6"/>
      <c r="E22" s="28" t="s">
        <v>153</v>
      </c>
      <c r="F22" s="28"/>
      <c r="G22" s="28"/>
      <c r="H22" s="28"/>
      <c r="I22" s="28"/>
      <c r="J22" s="28"/>
      <c r="K22" s="28"/>
      <c r="L22" s="29" t="s">
        <v>77</v>
      </c>
      <c r="M22" s="38"/>
      <c r="N22" s="38"/>
      <c r="O22" s="38"/>
      <c r="P22" s="39" t="str">
        <f aca="false">IF(M22="","",IFERROR(IF(ABS(ABS(M22)-ABS('Q11.9 Ans'!M22))&lt;0.5,"✓","✗"),"✗"))</f>
        <v/>
      </c>
      <c r="R22" s="32"/>
    </row>
    <row r="23" customFormat="false" ht="17.25" hidden="false" customHeight="true" outlineLevel="0" collapsed="false">
      <c r="B23" s="6" t="s">
        <v>155</v>
      </c>
      <c r="C23" s="6"/>
      <c r="D23" s="6"/>
      <c r="E23" s="28" t="s">
        <v>153</v>
      </c>
      <c r="F23" s="28"/>
      <c r="G23" s="28"/>
      <c r="H23" s="28"/>
      <c r="I23" s="28"/>
      <c r="J23" s="28"/>
      <c r="K23" s="28"/>
      <c r="L23" s="29" t="s">
        <v>77</v>
      </c>
      <c r="M23" s="38"/>
      <c r="N23" s="38"/>
      <c r="O23" s="38"/>
      <c r="P23" s="39" t="str">
        <f aca="false">IF(M23="","",IFERROR(IF(ABS(ABS(M23)-ABS('Q11.9 Ans'!M23))&lt;0.5,"✓","✗"),"✗"))</f>
        <v/>
      </c>
      <c r="R23" s="32"/>
    </row>
    <row r="24" customFormat="false" ht="17.25" hidden="false" customHeight="true" outlineLevel="0" collapsed="false">
      <c r="B24" s="6" t="s">
        <v>78</v>
      </c>
      <c r="C24" s="6"/>
      <c r="D24" s="6"/>
      <c r="E24" s="28" t="s">
        <v>156</v>
      </c>
      <c r="F24" s="28"/>
      <c r="G24" s="28"/>
      <c r="H24" s="28"/>
      <c r="I24" s="28"/>
      <c r="J24" s="28"/>
      <c r="K24" s="28"/>
      <c r="L24" s="29"/>
      <c r="M24" s="38"/>
      <c r="N24" s="38"/>
      <c r="O24" s="38"/>
      <c r="P24" s="39" t="str">
        <f aca="false">IF(M24="","",IFERROR(IF(ABS(ABS(M24)-ABS('Q11.9 Ans'!M24))&lt;0.5,"✓","✗"),"✗"))</f>
        <v/>
      </c>
      <c r="R24" s="32"/>
    </row>
    <row r="25" customFormat="false" ht="16.5" hidden="false" customHeight="true" outlineLevel="0" collapsed="false">
      <c r="M25" s="42"/>
      <c r="N25" s="42"/>
      <c r="O25" s="42"/>
      <c r="P25" s="39" t="str">
        <f aca="false">IF(M25="","",IFERROR(IF(ABS(ABS(M25)-ABS('Q11.9 Ans'!M25))&lt;0.5,"✓","✗"),"✗"))</f>
        <v/>
      </c>
      <c r="R25" s="32"/>
      <c r="AC25" s="42"/>
      <c r="AD25" s="42"/>
      <c r="AE25" s="42"/>
      <c r="AF25" s="39" t="str">
        <f aca="false">IF(AC25="","",IFERROR(IF(ABS(ABS(AC25)-ABS('Q11.9 Ans'!AC25))&lt;0.5,"✓","✗"),"✗"))</f>
        <v/>
      </c>
    </row>
    <row r="26" customFormat="false" ht="16.5" hidden="false" customHeight="true" outlineLevel="0" collapsed="false">
      <c r="R26" s="27" t="s">
        <v>83</v>
      </c>
      <c r="S26" s="27"/>
      <c r="T26" s="27"/>
    </row>
    <row r="27" customFormat="false" ht="17.25" hidden="false" customHeight="true" outlineLevel="0" collapsed="false">
      <c r="R27" s="30" t="s">
        <v>73</v>
      </c>
      <c r="S27" s="30"/>
      <c r="T27" s="30"/>
      <c r="U27" s="28" t="s">
        <v>157</v>
      </c>
      <c r="V27" s="28"/>
      <c r="W27" s="28"/>
      <c r="X27" s="28"/>
      <c r="Y27" s="28"/>
      <c r="Z27" s="28"/>
      <c r="AA27" s="28"/>
      <c r="AB27" s="29"/>
      <c r="AC27" s="38"/>
      <c r="AD27" s="38"/>
      <c r="AE27" s="38"/>
      <c r="AF27" s="39" t="str">
        <f aca="false">IF(AC27="","",IFERROR(IF(ABS(ABS(AC27)-ABS('Q11.9 Ans'!AC27))&lt;0.5,"✓","✗"),"✗"))</f>
        <v/>
      </c>
    </row>
    <row r="29" customFormat="false" ht="18.75" hidden="false" customHeight="true" outlineLevel="0" collapsed="false">
      <c r="B29" s="3" t="s">
        <v>158</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ustomFormat="false" ht="15" hidden="false" customHeight="false" outlineLevel="0" collapsed="false">
      <c r="B30" s="17" t="s">
        <v>64</v>
      </c>
      <c r="C30" s="17"/>
      <c r="D30" s="17"/>
      <c r="E30" s="18" t="s">
        <v>85</v>
      </c>
      <c r="F30" s="18"/>
      <c r="G30" s="18"/>
      <c r="H30" s="18"/>
      <c r="I30" s="18"/>
      <c r="J30" s="18"/>
      <c r="K30" s="18"/>
      <c r="L30" s="18"/>
      <c r="M30" s="18"/>
      <c r="N30" s="18"/>
      <c r="O30" s="18"/>
      <c r="P30" s="18"/>
      <c r="Q30" s="18"/>
      <c r="R30" s="18"/>
      <c r="S30" s="18"/>
      <c r="T30" s="18"/>
      <c r="U30" s="18"/>
      <c r="V30" s="18"/>
      <c r="W30" s="18"/>
      <c r="X30" s="18"/>
      <c r="Y30" s="18"/>
      <c r="Z30" s="18"/>
      <c r="AA30" s="18"/>
      <c r="AB30" s="18"/>
      <c r="AC30" s="18"/>
      <c r="AD30" s="19" t="s">
        <v>66</v>
      </c>
      <c r="AE30" s="19"/>
      <c r="AF30" s="19"/>
    </row>
    <row r="31" customFormat="false" ht="15" hidden="false" customHeight="false" outlineLevel="0" collapsed="false">
      <c r="B31" s="20" t="s">
        <v>67</v>
      </c>
      <c r="C31" s="20"/>
      <c r="D31" s="20"/>
      <c r="E31" s="20" t="s">
        <v>68</v>
      </c>
      <c r="F31" s="20"/>
      <c r="G31" s="20"/>
      <c r="H31" s="20"/>
      <c r="I31" s="20"/>
      <c r="J31" s="20"/>
      <c r="K31" s="20"/>
      <c r="L31" s="21" t="s">
        <v>69</v>
      </c>
      <c r="M31" s="22" t="s">
        <v>70</v>
      </c>
      <c r="N31" s="22"/>
      <c r="O31" s="22"/>
      <c r="P31" s="22"/>
      <c r="Q31" s="23"/>
      <c r="R31" s="24" t="s">
        <v>67</v>
      </c>
      <c r="S31" s="24"/>
      <c r="T31" s="24"/>
      <c r="U31" s="20" t="s">
        <v>68</v>
      </c>
      <c r="V31" s="20"/>
      <c r="W31" s="20"/>
      <c r="X31" s="20"/>
      <c r="Y31" s="20"/>
      <c r="Z31" s="20"/>
      <c r="AA31" s="20"/>
      <c r="AB31" s="21" t="s">
        <v>69</v>
      </c>
      <c r="AC31" s="22" t="s">
        <v>70</v>
      </c>
      <c r="AD31" s="22"/>
      <c r="AE31" s="22"/>
      <c r="AF31" s="22"/>
    </row>
    <row r="32" customFormat="false" ht="16.5" hidden="false" customHeight="true" outlineLevel="0" collapsed="false">
      <c r="B32" s="25" t="s">
        <v>71</v>
      </c>
      <c r="C32" s="25"/>
      <c r="D32" s="25"/>
      <c r="M32" s="26" t="s">
        <v>72</v>
      </c>
      <c r="N32" s="26"/>
      <c r="O32" s="26"/>
      <c r="R32" s="27" t="s">
        <v>71</v>
      </c>
      <c r="S32" s="27"/>
      <c r="T32" s="27"/>
      <c r="AC32" s="26" t="s">
        <v>72</v>
      </c>
      <c r="AD32" s="26"/>
      <c r="AE32" s="26"/>
    </row>
    <row r="33" customFormat="false" ht="17.25" hidden="false" customHeight="true" outlineLevel="0" collapsed="false">
      <c r="B33" s="6" t="s">
        <v>159</v>
      </c>
      <c r="C33" s="6"/>
      <c r="D33" s="6"/>
      <c r="E33" s="28" t="s">
        <v>153</v>
      </c>
      <c r="F33" s="28"/>
      <c r="G33" s="28"/>
      <c r="H33" s="28"/>
      <c r="I33" s="28"/>
      <c r="J33" s="28"/>
      <c r="K33" s="28"/>
      <c r="L33" s="29" t="s">
        <v>77</v>
      </c>
      <c r="M33" s="38"/>
      <c r="N33" s="38"/>
      <c r="O33" s="38"/>
      <c r="P33" s="39" t="str">
        <f aca="false">IF(M33="","",IFERROR(IF(ABS(ABS(M33)-ABS('Q11.9 Ans'!M33))&lt;0.5,"✓","✗"),"✗"))</f>
        <v/>
      </c>
      <c r="R33" s="30" t="s">
        <v>78</v>
      </c>
      <c r="S33" s="30"/>
      <c r="T33" s="30"/>
      <c r="U33" s="28" t="s">
        <v>79</v>
      </c>
      <c r="V33" s="28"/>
      <c r="W33" s="28"/>
      <c r="X33" s="28"/>
      <c r="Y33" s="28"/>
      <c r="Z33" s="28"/>
      <c r="AA33" s="28"/>
      <c r="AB33" s="29" t="s">
        <v>80</v>
      </c>
      <c r="AC33" s="38"/>
      <c r="AD33" s="38"/>
      <c r="AE33" s="38"/>
      <c r="AF33" s="39" t="str">
        <f aca="false">IF(AC33="","",IFERROR(IF(ABS(ABS(AC33)-ABS('Q11.9 Ans'!AC33))&lt;0.5,"✓","✗"),"✗"))</f>
        <v/>
      </c>
    </row>
    <row r="34" customFormat="false" ht="17.25" hidden="false" customHeight="true" outlineLevel="0" collapsed="false">
      <c r="R34" s="30" t="s">
        <v>78</v>
      </c>
      <c r="S34" s="30"/>
      <c r="T34" s="30"/>
      <c r="U34" s="28" t="s">
        <v>156</v>
      </c>
      <c r="V34" s="28"/>
      <c r="W34" s="28"/>
      <c r="X34" s="28"/>
      <c r="Y34" s="28"/>
      <c r="Z34" s="28"/>
      <c r="AA34" s="28"/>
      <c r="AB34" s="29"/>
      <c r="AC34" s="38"/>
      <c r="AD34" s="38"/>
      <c r="AE34" s="38"/>
      <c r="AF34" s="39" t="str">
        <f aca="false">IF(AC34="","",IFERROR(IF(ABS(ABS(AC34)-ABS('Q11.9 Ans'!AC34))&lt;0.5,"✓","✗"),"✗"))</f>
        <v/>
      </c>
    </row>
    <row r="35" customFormat="false" ht="16.5" hidden="false" customHeight="true" outlineLevel="0" collapsed="false">
      <c r="M35" s="42"/>
      <c r="N35" s="42"/>
      <c r="O35" s="42"/>
      <c r="P35" s="39" t="str">
        <f aca="false">IF(M35="","",IFERROR(IF(ABS(ABS(M35)-ABS('Q11.9 Ans'!M35))&lt;0.5,"✓","✗"),"✗"))</f>
        <v/>
      </c>
      <c r="R35" s="32"/>
      <c r="AC35" s="42"/>
      <c r="AD35" s="42"/>
      <c r="AE35" s="42"/>
      <c r="AF35" s="39" t="str">
        <f aca="false">IF(AC35="","",IFERROR(IF(ABS(ABS(AC35)-ABS('Q11.9 Ans'!AC35))&lt;0.5,"✓","✗"),"✗"))</f>
        <v/>
      </c>
    </row>
    <row r="36" customFormat="false" ht="16.5" hidden="false" customHeight="true" outlineLevel="0" collapsed="false">
      <c r="B36" s="25" t="s">
        <v>83</v>
      </c>
      <c r="C36" s="25"/>
      <c r="D36" s="25"/>
      <c r="R36" s="32"/>
    </row>
    <row r="37" customFormat="false" ht="17.25" hidden="false" customHeight="true" outlineLevel="0" collapsed="false">
      <c r="B37" s="6" t="s">
        <v>73</v>
      </c>
      <c r="C37" s="6"/>
      <c r="D37" s="6"/>
      <c r="E37" s="28" t="s">
        <v>157</v>
      </c>
      <c r="F37" s="28"/>
      <c r="G37" s="28"/>
      <c r="H37" s="28"/>
      <c r="I37" s="28"/>
      <c r="J37" s="28"/>
      <c r="K37" s="28"/>
      <c r="L37" s="29"/>
      <c r="M37" s="38"/>
      <c r="N37" s="38"/>
      <c r="O37" s="38"/>
      <c r="P37" s="39" t="str">
        <f aca="false">IF(M37="","",IFERROR(IF(ABS(ABS(M37)-ABS('Q11.9 Ans'!M37))&lt;0.5,"✓","✗"),"✗"))</f>
        <v/>
      </c>
      <c r="R37" s="32"/>
    </row>
    <row r="39" customFormat="false" ht="18.75" hidden="false" customHeight="true" outlineLevel="0" collapsed="false">
      <c r="B39" s="3" t="s">
        <v>160</v>
      </c>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ustomFormat="false" ht="15" hidden="false" customHeight="false" outlineLevel="0" collapsed="false">
      <c r="B40" s="18" t="s">
        <v>161</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row>
    <row r="41" customFormat="false" ht="15" hidden="false" customHeight="false" outlineLevel="0" collapsed="false">
      <c r="B41" s="43"/>
      <c r="C41" s="43"/>
      <c r="D41" s="43"/>
      <c r="E41" s="33" t="s">
        <v>68</v>
      </c>
      <c r="F41" s="33"/>
      <c r="G41" s="33"/>
      <c r="H41" s="33"/>
      <c r="I41" s="33"/>
      <c r="J41" s="33"/>
      <c r="K41" s="33"/>
      <c r="L41" s="33"/>
      <c r="M41" s="33"/>
      <c r="N41" s="33"/>
      <c r="O41" s="33"/>
      <c r="P41" s="33"/>
      <c r="Q41" s="33"/>
      <c r="R41" s="34" t="s">
        <v>72</v>
      </c>
      <c r="S41" s="34"/>
      <c r="T41" s="34"/>
      <c r="U41" s="34"/>
      <c r="V41" s="34"/>
      <c r="W41" s="34" t="s">
        <v>72</v>
      </c>
      <c r="X41" s="34"/>
      <c r="Y41" s="34"/>
      <c r="Z41" s="34"/>
      <c r="AA41" s="34"/>
      <c r="AB41" s="34" t="s">
        <v>72</v>
      </c>
      <c r="AC41" s="34"/>
      <c r="AD41" s="34"/>
      <c r="AE41" s="34"/>
      <c r="AF41" s="34"/>
    </row>
    <row r="42" customFormat="false" ht="30" hidden="false" customHeight="true" outlineLevel="0" collapsed="false">
      <c r="B42" s="43"/>
      <c r="C42" s="43"/>
      <c r="D42" s="43"/>
      <c r="E42" s="43"/>
      <c r="F42" s="43"/>
      <c r="G42" s="43"/>
      <c r="H42" s="43"/>
      <c r="I42" s="43"/>
      <c r="J42" s="43"/>
      <c r="K42" s="43"/>
      <c r="L42" s="43"/>
      <c r="M42" s="43"/>
      <c r="N42" s="43"/>
      <c r="O42" s="43"/>
      <c r="P42" s="43"/>
      <c r="Q42" s="43"/>
      <c r="R42" s="11" t="s">
        <v>162</v>
      </c>
      <c r="S42" s="11"/>
      <c r="T42" s="11"/>
      <c r="U42" s="11"/>
      <c r="V42" s="11"/>
      <c r="W42" s="11" t="s">
        <v>163</v>
      </c>
      <c r="X42" s="11"/>
      <c r="Y42" s="11"/>
      <c r="Z42" s="11"/>
      <c r="AA42" s="11"/>
      <c r="AB42" s="11" t="s">
        <v>164</v>
      </c>
      <c r="AC42" s="11"/>
      <c r="AD42" s="11"/>
      <c r="AE42" s="11"/>
      <c r="AF42" s="11"/>
    </row>
    <row r="43" customFormat="false" ht="17.25" hidden="false" customHeight="true" outlineLevel="0" collapsed="false">
      <c r="B43" s="44"/>
      <c r="C43" s="44"/>
      <c r="D43" s="44"/>
      <c r="E43" s="45" t="s">
        <v>165</v>
      </c>
      <c r="F43" s="45"/>
      <c r="G43" s="45"/>
      <c r="H43" s="45"/>
      <c r="I43" s="45"/>
      <c r="J43" s="45"/>
      <c r="K43" s="45"/>
      <c r="L43" s="45"/>
      <c r="M43" s="45"/>
      <c r="N43" s="45"/>
      <c r="O43" s="45"/>
      <c r="P43" s="45"/>
      <c r="Q43" s="45"/>
    </row>
    <row r="44" customFormat="false" ht="17.25" hidden="false" customHeight="true" outlineLevel="0" collapsed="false">
      <c r="B44" s="44"/>
      <c r="C44" s="44"/>
      <c r="D44" s="44"/>
      <c r="E44" s="28" t="s">
        <v>166</v>
      </c>
      <c r="F44" s="28"/>
      <c r="G44" s="28"/>
      <c r="H44" s="28"/>
      <c r="I44" s="28"/>
      <c r="J44" s="28"/>
      <c r="K44" s="28"/>
      <c r="L44" s="28"/>
      <c r="M44" s="28"/>
      <c r="N44" s="28"/>
      <c r="O44" s="28"/>
      <c r="P44" s="28"/>
      <c r="Q44" s="28"/>
      <c r="W44" s="38"/>
      <c r="X44" s="38"/>
      <c r="Y44" s="38"/>
      <c r="Z44" s="38"/>
      <c r="AA44" s="39" t="str">
        <f aca="false">IF(W44="","",IFERROR(IF(ABS(ABS(W44)-ABS('Q11.9 Ans'!W44))&lt;0.5,"✓","✗"),"✗"))</f>
        <v/>
      </c>
    </row>
    <row r="45" customFormat="false" ht="17.25" hidden="false" customHeight="true" outlineLevel="0" collapsed="false">
      <c r="B45" s="44" t="s">
        <v>167</v>
      </c>
      <c r="C45" s="44"/>
      <c r="D45" s="44"/>
      <c r="E45" s="45" t="s">
        <v>168</v>
      </c>
      <c r="F45" s="45"/>
      <c r="G45" s="45"/>
      <c r="H45" s="45"/>
      <c r="I45" s="45"/>
      <c r="J45" s="45"/>
      <c r="K45" s="45"/>
      <c r="L45" s="45"/>
      <c r="M45" s="45"/>
      <c r="N45" s="45"/>
      <c r="O45" s="45"/>
      <c r="P45" s="45"/>
      <c r="Q45" s="45"/>
    </row>
    <row r="46" customFormat="false" ht="17.25" hidden="false" customHeight="true" outlineLevel="0" collapsed="false">
      <c r="B46" s="44"/>
      <c r="C46" s="44"/>
      <c r="D46" s="44"/>
      <c r="E46" s="28" t="s">
        <v>169</v>
      </c>
      <c r="F46" s="28"/>
      <c r="G46" s="28"/>
      <c r="H46" s="28"/>
      <c r="I46" s="28"/>
      <c r="J46" s="28"/>
      <c r="K46" s="28"/>
      <c r="L46" s="28"/>
      <c r="M46" s="28"/>
      <c r="N46" s="28"/>
      <c r="O46" s="28"/>
      <c r="P46" s="28"/>
      <c r="Q46" s="28"/>
      <c r="W46" s="38"/>
      <c r="X46" s="38"/>
      <c r="Y46" s="38"/>
      <c r="Z46" s="38"/>
      <c r="AA46" s="39" t="str">
        <f aca="false">IF(W46="","",IFERROR(IF(ABS(ABS(W46)-ABS('Q11.9 Ans'!W46))&lt;0.5,"✓","✗"),"✗"))</f>
        <v/>
      </c>
    </row>
  </sheetData>
  <mergeCells count="107">
    <mergeCell ref="B1:AF1"/>
    <mergeCell ref="B2:AF2"/>
    <mergeCell ref="B3:G3"/>
    <mergeCell ref="H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4:W14"/>
    <mergeCell ref="X14:AC14"/>
    <mergeCell ref="B17:AF17"/>
    <mergeCell ref="B18:D18"/>
    <mergeCell ref="E18:AC18"/>
    <mergeCell ref="AD18:AF18"/>
    <mergeCell ref="B19:D19"/>
    <mergeCell ref="E19:K19"/>
    <mergeCell ref="M19:P19"/>
    <mergeCell ref="R19:T19"/>
    <mergeCell ref="U19:AA19"/>
    <mergeCell ref="AC19:AF19"/>
    <mergeCell ref="B20:D20"/>
    <mergeCell ref="M20:O20"/>
    <mergeCell ref="R20:T20"/>
    <mergeCell ref="AC20:AE20"/>
    <mergeCell ref="B21:D21"/>
    <mergeCell ref="E21:K21"/>
    <mergeCell ref="M21:O21"/>
    <mergeCell ref="R21:T21"/>
    <mergeCell ref="U21:AA21"/>
    <mergeCell ref="AC21:AE21"/>
    <mergeCell ref="B22:D22"/>
    <mergeCell ref="E22:K22"/>
    <mergeCell ref="M22:O22"/>
    <mergeCell ref="B23:D23"/>
    <mergeCell ref="E23:K23"/>
    <mergeCell ref="M23:O23"/>
    <mergeCell ref="B24:D24"/>
    <mergeCell ref="E24:K24"/>
    <mergeCell ref="M24:O24"/>
    <mergeCell ref="M25:O25"/>
    <mergeCell ref="AC25:AE25"/>
    <mergeCell ref="R26:T26"/>
    <mergeCell ref="R27:T27"/>
    <mergeCell ref="U27:AA27"/>
    <mergeCell ref="AC27:AE27"/>
    <mergeCell ref="B29:AF29"/>
    <mergeCell ref="B30:D30"/>
    <mergeCell ref="E30:AC30"/>
    <mergeCell ref="AD30:AF30"/>
    <mergeCell ref="B31:D31"/>
    <mergeCell ref="E31:K31"/>
    <mergeCell ref="M31:P31"/>
    <mergeCell ref="R31:T31"/>
    <mergeCell ref="U31:AA31"/>
    <mergeCell ref="AC31:AF31"/>
    <mergeCell ref="B32:D32"/>
    <mergeCell ref="M32:O32"/>
    <mergeCell ref="R32:T32"/>
    <mergeCell ref="AC32:AE32"/>
    <mergeCell ref="B33:D33"/>
    <mergeCell ref="E33:K33"/>
    <mergeCell ref="M33:O33"/>
    <mergeCell ref="R33:T33"/>
    <mergeCell ref="U33:AA33"/>
    <mergeCell ref="AC33:AE33"/>
    <mergeCell ref="R34:T34"/>
    <mergeCell ref="U34:AA34"/>
    <mergeCell ref="AC34:AE34"/>
    <mergeCell ref="M35:O35"/>
    <mergeCell ref="AC35:AE35"/>
    <mergeCell ref="B36:D36"/>
    <mergeCell ref="B37:D37"/>
    <mergeCell ref="E37:K37"/>
    <mergeCell ref="M37:O37"/>
    <mergeCell ref="B39:AF39"/>
    <mergeCell ref="B40:AF40"/>
    <mergeCell ref="B41:D41"/>
    <mergeCell ref="E41:Q41"/>
    <mergeCell ref="R41:V41"/>
    <mergeCell ref="W41:AA41"/>
    <mergeCell ref="AB41:AF41"/>
    <mergeCell ref="B42:D42"/>
    <mergeCell ref="E42:Q42"/>
    <mergeCell ref="R42:V42"/>
    <mergeCell ref="W42:AA42"/>
    <mergeCell ref="AB42:AF42"/>
    <mergeCell ref="B43:D43"/>
    <mergeCell ref="E43:Q43"/>
    <mergeCell ref="B44:D44"/>
    <mergeCell ref="E44:Q44"/>
    <mergeCell ref="W44:Z44"/>
    <mergeCell ref="B45:D45"/>
    <mergeCell ref="E45:Q45"/>
    <mergeCell ref="B46:D46"/>
    <mergeCell ref="E46:Q46"/>
    <mergeCell ref="W46:Z46"/>
  </mergeCells>
  <conditionalFormatting sqref="B4:AG4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4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7" t="s">
        <v>123</v>
      </c>
      <c r="C3" s="17"/>
      <c r="D3" s="17"/>
      <c r="E3" s="17"/>
      <c r="F3" s="17"/>
      <c r="G3" s="17"/>
      <c r="H3" s="17" t="str">
        <f aca="false">COUNTIF(B4:AG43,"✓")&amp;" correct out of 12 answer cells"</f>
        <v>0 correct out of 12 answer cells</v>
      </c>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171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172</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173</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33" t="s">
        <v>127</v>
      </c>
      <c r="C8" s="33"/>
      <c r="D8" s="33"/>
      <c r="E8" s="33"/>
      <c r="F8" s="33"/>
      <c r="G8" s="33"/>
      <c r="H8" s="33"/>
      <c r="I8" s="33"/>
      <c r="J8" s="33"/>
      <c r="K8" s="33"/>
      <c r="L8" s="33"/>
      <c r="M8" s="33"/>
      <c r="N8" s="33"/>
      <c r="O8" s="33"/>
      <c r="P8" s="33"/>
      <c r="Q8" s="33"/>
      <c r="R8" s="33"/>
      <c r="S8" s="33"/>
      <c r="T8" s="33"/>
      <c r="U8" s="33"/>
      <c r="V8" s="33"/>
      <c r="W8" s="33"/>
      <c r="X8" s="34" t="s">
        <v>114</v>
      </c>
      <c r="Y8" s="34"/>
      <c r="Z8" s="34"/>
      <c r="AA8" s="34"/>
      <c r="AB8" s="34"/>
      <c r="AC8" s="34"/>
    </row>
    <row r="9" customFormat="false" ht="16.5" hidden="false" customHeight="true" outlineLevel="0" collapsed="false">
      <c r="B9" s="12" t="s">
        <v>128</v>
      </c>
      <c r="C9" s="12"/>
      <c r="D9" s="12"/>
      <c r="E9" s="12"/>
      <c r="F9" s="12"/>
      <c r="G9" s="12"/>
      <c r="H9" s="12"/>
      <c r="I9" s="12"/>
      <c r="J9" s="12"/>
      <c r="K9" s="12"/>
      <c r="L9" s="12"/>
      <c r="M9" s="12"/>
      <c r="N9" s="12"/>
      <c r="O9" s="12"/>
      <c r="P9" s="12"/>
      <c r="Q9" s="12"/>
      <c r="R9" s="12"/>
      <c r="S9" s="12"/>
      <c r="T9" s="12"/>
      <c r="U9" s="12"/>
      <c r="V9" s="12"/>
      <c r="W9" s="12"/>
      <c r="X9" s="15" t="n">
        <v>600</v>
      </c>
      <c r="Y9" s="15"/>
      <c r="Z9" s="15"/>
      <c r="AA9" s="15"/>
      <c r="AB9" s="15"/>
      <c r="AC9" s="15"/>
    </row>
    <row r="10" customFormat="false" ht="16.5" hidden="false" customHeight="true" outlineLevel="0" collapsed="false">
      <c r="B10" s="12" t="s">
        <v>174</v>
      </c>
      <c r="C10" s="12"/>
      <c r="D10" s="12"/>
      <c r="E10" s="12"/>
      <c r="F10" s="12"/>
      <c r="G10" s="12"/>
      <c r="H10" s="12"/>
      <c r="I10" s="12"/>
      <c r="J10" s="12"/>
      <c r="K10" s="12"/>
      <c r="L10" s="12"/>
      <c r="M10" s="12"/>
      <c r="N10" s="12"/>
      <c r="O10" s="12"/>
      <c r="P10" s="12"/>
      <c r="Q10" s="12"/>
      <c r="R10" s="12"/>
      <c r="S10" s="12"/>
      <c r="T10" s="12"/>
      <c r="U10" s="12"/>
      <c r="V10" s="12"/>
      <c r="W10" s="12"/>
      <c r="X10" s="15" t="n">
        <v>7800</v>
      </c>
      <c r="Y10" s="15"/>
      <c r="Z10" s="15"/>
      <c r="AA10" s="15"/>
      <c r="AB10" s="15"/>
      <c r="AC10" s="15"/>
    </row>
    <row r="11" customFormat="false" ht="16.5" hidden="false" customHeight="true" outlineLevel="0" collapsed="false">
      <c r="B11" s="12" t="s">
        <v>175</v>
      </c>
      <c r="C11" s="12"/>
      <c r="D11" s="12"/>
      <c r="E11" s="12"/>
      <c r="F11" s="12"/>
      <c r="G11" s="12"/>
      <c r="H11" s="12"/>
      <c r="I11" s="12"/>
      <c r="J11" s="12"/>
      <c r="K11" s="12"/>
      <c r="L11" s="12"/>
      <c r="M11" s="12"/>
      <c r="N11" s="12"/>
      <c r="O11" s="12"/>
      <c r="P11" s="12"/>
      <c r="Q11" s="12"/>
      <c r="R11" s="12"/>
      <c r="S11" s="12"/>
      <c r="T11" s="12"/>
      <c r="U11" s="12"/>
      <c r="V11" s="12"/>
      <c r="W11" s="12"/>
      <c r="X11" s="15" t="n">
        <v>2100</v>
      </c>
      <c r="Y11" s="15"/>
      <c r="Z11" s="15"/>
      <c r="AA11" s="15"/>
      <c r="AB11" s="15"/>
      <c r="AC11" s="15"/>
    </row>
    <row r="12" customFormat="false" ht="16.5" hidden="false" customHeight="true" outlineLevel="0" collapsed="false">
      <c r="B12" s="12" t="s">
        <v>176</v>
      </c>
      <c r="C12" s="12"/>
      <c r="D12" s="12"/>
      <c r="E12" s="12"/>
      <c r="F12" s="12"/>
      <c r="G12" s="12"/>
      <c r="H12" s="12"/>
      <c r="I12" s="12"/>
      <c r="J12" s="12"/>
      <c r="K12" s="12"/>
      <c r="L12" s="12"/>
      <c r="M12" s="12"/>
      <c r="N12" s="12"/>
      <c r="O12" s="12"/>
      <c r="P12" s="12"/>
      <c r="Q12" s="12"/>
      <c r="R12" s="12"/>
      <c r="S12" s="12"/>
      <c r="T12" s="12"/>
      <c r="U12" s="12"/>
      <c r="V12" s="12"/>
      <c r="W12" s="12"/>
      <c r="X12" s="15" t="n">
        <v>350</v>
      </c>
      <c r="Y12" s="15"/>
      <c r="Z12" s="15"/>
      <c r="AA12" s="15"/>
      <c r="AB12" s="15"/>
      <c r="AC12" s="15"/>
    </row>
    <row r="15" customFormat="false" ht="18.75" hidden="false" customHeight="true" outlineLevel="0" collapsed="false">
      <c r="B15" s="3" t="s">
        <v>177</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ustomFormat="false" ht="17.25" hidden="false" customHeight="true" outlineLevel="0" collapsed="false">
      <c r="B16" s="36" t="s">
        <v>178</v>
      </c>
      <c r="C16" s="36"/>
      <c r="D16" s="36"/>
      <c r="E16" s="36"/>
      <c r="F16" s="36"/>
      <c r="G16" s="36"/>
      <c r="H16" s="36"/>
      <c r="I16" s="36"/>
      <c r="J16" s="36"/>
      <c r="K16" s="36"/>
      <c r="L16" s="36"/>
      <c r="M16" s="36"/>
      <c r="N16" s="36"/>
      <c r="O16" s="36"/>
      <c r="P16" s="36"/>
      <c r="Q16" s="36"/>
      <c r="R16" s="36"/>
      <c r="S16" s="36"/>
      <c r="T16" s="36"/>
      <c r="U16" s="36"/>
      <c r="V16" s="36"/>
      <c r="W16" s="36"/>
      <c r="X16" s="38"/>
      <c r="Y16" s="38"/>
      <c r="Z16" s="38"/>
      <c r="AA16" s="38"/>
      <c r="AB16" s="38"/>
      <c r="AC16" s="39" t="str">
        <f aca="false">IF(X16="","",IFERROR(IF(ABS(ABS(X16)-ABS('Q11.10 Ans'!X16))&lt;0.5,"✓","✗"),"✗"))</f>
        <v/>
      </c>
    </row>
    <row r="17" customFormat="false" ht="17.25" hidden="false" customHeight="true" outlineLevel="0" collapsed="false">
      <c r="B17" s="36" t="s">
        <v>179</v>
      </c>
      <c r="C17" s="36"/>
      <c r="D17" s="36"/>
      <c r="E17" s="36"/>
      <c r="F17" s="36"/>
      <c r="G17" s="36"/>
      <c r="H17" s="36"/>
      <c r="I17" s="36"/>
      <c r="J17" s="36"/>
      <c r="K17" s="36"/>
      <c r="L17" s="36"/>
      <c r="M17" s="36"/>
      <c r="N17" s="36"/>
      <c r="O17" s="36"/>
      <c r="P17" s="36"/>
      <c r="Q17" s="36"/>
      <c r="R17" s="36"/>
      <c r="S17" s="36"/>
      <c r="T17" s="36"/>
      <c r="U17" s="36"/>
      <c r="V17" s="36"/>
      <c r="W17" s="36"/>
      <c r="X17" s="38"/>
      <c r="Y17" s="38"/>
      <c r="Z17" s="38"/>
      <c r="AA17" s="38"/>
      <c r="AB17" s="38"/>
      <c r="AC17" s="39" t="str">
        <f aca="false">IF(X17="","",IFERROR(IF(ABS(ABS(X17)-ABS('Q11.10 Ans'!X17))&lt;0.5,"✓","✗"),"✗"))</f>
        <v/>
      </c>
    </row>
    <row r="19" customFormat="false" ht="18.75" hidden="false" customHeight="true" outlineLevel="0" collapsed="false">
      <c r="B19" s="3" t="s">
        <v>180</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ustomFormat="false" ht="15" hidden="false" customHeight="false" outlineLevel="0" collapsed="false">
      <c r="B20" s="17" t="s">
        <v>64</v>
      </c>
      <c r="C20" s="17"/>
      <c r="D20" s="17"/>
      <c r="E20" s="18" t="s">
        <v>181</v>
      </c>
      <c r="F20" s="18"/>
      <c r="G20" s="18"/>
      <c r="H20" s="18"/>
      <c r="I20" s="18"/>
      <c r="J20" s="18"/>
      <c r="K20" s="18"/>
      <c r="L20" s="18"/>
      <c r="M20" s="18"/>
      <c r="N20" s="18"/>
      <c r="O20" s="18"/>
      <c r="P20" s="18"/>
      <c r="Q20" s="18"/>
      <c r="R20" s="18"/>
      <c r="S20" s="18"/>
      <c r="T20" s="18"/>
      <c r="U20" s="18"/>
      <c r="V20" s="18"/>
      <c r="W20" s="18"/>
      <c r="X20" s="18"/>
      <c r="Y20" s="18"/>
      <c r="Z20" s="18"/>
      <c r="AA20" s="18"/>
      <c r="AB20" s="18"/>
      <c r="AC20" s="18"/>
      <c r="AD20" s="19" t="s">
        <v>66</v>
      </c>
      <c r="AE20" s="19"/>
      <c r="AF20" s="19"/>
    </row>
    <row r="21" customFormat="false" ht="15" hidden="false" customHeight="false" outlineLevel="0" collapsed="false">
      <c r="B21" s="20" t="s">
        <v>67</v>
      </c>
      <c r="C21" s="20"/>
      <c r="D21" s="20"/>
      <c r="E21" s="20" t="s">
        <v>68</v>
      </c>
      <c r="F21" s="20"/>
      <c r="G21" s="20"/>
      <c r="H21" s="20"/>
      <c r="I21" s="20"/>
      <c r="J21" s="20"/>
      <c r="K21" s="20"/>
      <c r="L21" s="21" t="s">
        <v>69</v>
      </c>
      <c r="M21" s="22" t="s">
        <v>70</v>
      </c>
      <c r="N21" s="22"/>
      <c r="O21" s="22"/>
      <c r="P21" s="22"/>
      <c r="Q21" s="23"/>
      <c r="R21" s="24" t="s">
        <v>67</v>
      </c>
      <c r="S21" s="24"/>
      <c r="T21" s="24"/>
      <c r="U21" s="20" t="s">
        <v>68</v>
      </c>
      <c r="V21" s="20"/>
      <c r="W21" s="20"/>
      <c r="X21" s="20"/>
      <c r="Y21" s="20"/>
      <c r="Z21" s="20"/>
      <c r="AA21" s="20"/>
      <c r="AB21" s="21" t="s">
        <v>69</v>
      </c>
      <c r="AC21" s="22" t="s">
        <v>70</v>
      </c>
      <c r="AD21" s="22"/>
      <c r="AE21" s="22"/>
      <c r="AF21" s="22"/>
    </row>
    <row r="22" customFormat="false" ht="16.5" hidden="false" customHeight="true" outlineLevel="0" collapsed="false">
      <c r="B22" s="25" t="s">
        <v>71</v>
      </c>
      <c r="C22" s="25"/>
      <c r="D22" s="25"/>
      <c r="M22" s="26" t="s">
        <v>72</v>
      </c>
      <c r="N22" s="26"/>
      <c r="O22" s="26"/>
      <c r="R22" s="27" t="s">
        <v>71</v>
      </c>
      <c r="S22" s="27"/>
      <c r="T22" s="27"/>
      <c r="AC22" s="26" t="s">
        <v>72</v>
      </c>
      <c r="AD22" s="26"/>
      <c r="AE22" s="26"/>
    </row>
    <row r="23" customFormat="false" ht="17.25" hidden="false" customHeight="true" outlineLevel="0" collapsed="false">
      <c r="B23" s="6" t="s">
        <v>78</v>
      </c>
      <c r="C23" s="6"/>
      <c r="D23" s="6"/>
      <c r="E23" s="28" t="s">
        <v>79</v>
      </c>
      <c r="F23" s="28"/>
      <c r="G23" s="28"/>
      <c r="H23" s="28"/>
      <c r="I23" s="28"/>
      <c r="J23" s="28"/>
      <c r="K23" s="28"/>
      <c r="L23" s="29" t="s">
        <v>80</v>
      </c>
      <c r="M23" s="38"/>
      <c r="N23" s="38"/>
      <c r="O23" s="38"/>
      <c r="P23" s="39" t="str">
        <f aca="false">IF(M23="","",IFERROR(IF(ABS(ABS(M23)-ABS('Q11.10 Ans'!M23))&lt;0.5,"✓","✗"),"✗"))</f>
        <v/>
      </c>
      <c r="R23" s="30"/>
      <c r="S23" s="30"/>
      <c r="T23" s="30"/>
      <c r="U23" s="28" t="s">
        <v>109</v>
      </c>
      <c r="V23" s="28"/>
      <c r="W23" s="28"/>
      <c r="X23" s="28"/>
      <c r="Y23" s="28"/>
      <c r="Z23" s="28"/>
      <c r="AA23" s="28"/>
      <c r="AB23" s="29" t="s">
        <v>77</v>
      </c>
      <c r="AC23" s="38"/>
      <c r="AD23" s="38"/>
      <c r="AE23" s="38"/>
      <c r="AF23" s="39" t="str">
        <f aca="false">IF(AC23="","",IFERROR(IF(ABS(ABS(AC23)-ABS('Q11.10 Ans'!AC23))&lt;0.5,"✓","✗"),"✗"))</f>
        <v/>
      </c>
    </row>
    <row r="24" customFormat="false" ht="17.25" hidden="false" customHeight="true" outlineLevel="0" collapsed="false">
      <c r="B24" s="6" t="s">
        <v>78</v>
      </c>
      <c r="C24" s="6"/>
      <c r="D24" s="6"/>
      <c r="E24" s="28" t="s">
        <v>156</v>
      </c>
      <c r="F24" s="28"/>
      <c r="G24" s="28"/>
      <c r="H24" s="28"/>
      <c r="I24" s="28"/>
      <c r="J24" s="28"/>
      <c r="K24" s="28"/>
      <c r="L24" s="29"/>
      <c r="M24" s="38"/>
      <c r="N24" s="38"/>
      <c r="O24" s="38"/>
      <c r="P24" s="39" t="str">
        <f aca="false">IF(M24="","",IFERROR(IF(ABS(ABS(M24)-ABS('Q11.10 Ans'!M24))&lt;0.5,"✓","✗"),"✗"))</f>
        <v/>
      </c>
      <c r="R24" s="32"/>
    </row>
    <row r="25" customFormat="false" ht="16.5" hidden="false" customHeight="true" outlineLevel="0" collapsed="false">
      <c r="M25" s="42"/>
      <c r="N25" s="42"/>
      <c r="O25" s="42"/>
      <c r="P25" s="39" t="str">
        <f aca="false">IF(M25="","",IFERROR(IF(ABS(ABS(M25)-ABS('Q11.10 Ans'!M25))&lt;0.5,"✓","✗"),"✗"))</f>
        <v/>
      </c>
      <c r="R25" s="32"/>
      <c r="AC25" s="42"/>
      <c r="AD25" s="42"/>
      <c r="AE25" s="42"/>
      <c r="AF25" s="39" t="str">
        <f aca="false">IF(AC25="","",IFERROR(IF(ABS(ABS(AC25)-ABS('Q11.10 Ans'!AC25))&lt;0.5,"✓","✗"),"✗"))</f>
        <v/>
      </c>
    </row>
    <row r="26" customFormat="false" ht="16.5" hidden="false" customHeight="true" outlineLevel="0" collapsed="false">
      <c r="R26" s="27" t="s">
        <v>83</v>
      </c>
      <c r="S26" s="27"/>
      <c r="T26" s="27"/>
    </row>
    <row r="27" customFormat="false" ht="17.25" hidden="false" customHeight="true" outlineLevel="0" collapsed="false">
      <c r="R27" s="30" t="s">
        <v>73</v>
      </c>
      <c r="S27" s="30"/>
      <c r="T27" s="30"/>
      <c r="U27" s="28" t="s">
        <v>157</v>
      </c>
      <c r="V27" s="28"/>
      <c r="W27" s="28"/>
      <c r="X27" s="28"/>
      <c r="Y27" s="28"/>
      <c r="Z27" s="28"/>
      <c r="AA27" s="28"/>
      <c r="AB27" s="29"/>
      <c r="AC27" s="38"/>
      <c r="AD27" s="38"/>
      <c r="AE27" s="38"/>
      <c r="AF27" s="39" t="str">
        <f aca="false">IF(AC27="","",IFERROR(IF(ABS(ABS(AC27)-ABS('Q11.10 Ans'!AC27))&lt;0.5,"✓","✗"),"✗"))</f>
        <v/>
      </c>
    </row>
    <row r="29" customFormat="false" ht="18.75" hidden="false" customHeight="true" outlineLevel="0" collapsed="false">
      <c r="B29" s="3" t="s">
        <v>182</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ustomFormat="false" ht="17.25" hidden="false" customHeight="true" outlineLevel="0" collapsed="false">
      <c r="B30" s="36" t="s">
        <v>183</v>
      </c>
      <c r="C30" s="36"/>
      <c r="D30" s="36"/>
      <c r="E30" s="36"/>
      <c r="F30" s="36"/>
      <c r="G30" s="36"/>
      <c r="H30" s="36"/>
      <c r="I30" s="36"/>
      <c r="J30" s="36"/>
      <c r="K30" s="36"/>
      <c r="L30" s="36"/>
      <c r="M30" s="36"/>
      <c r="N30" s="36"/>
      <c r="O30" s="36"/>
      <c r="P30" s="36"/>
      <c r="Q30" s="36"/>
      <c r="R30" s="36"/>
      <c r="S30" s="36"/>
      <c r="T30" s="36"/>
      <c r="U30" s="36"/>
      <c r="V30" s="36"/>
      <c r="W30" s="36"/>
      <c r="X30" s="38"/>
      <c r="Y30" s="38"/>
      <c r="Z30" s="38"/>
      <c r="AA30" s="38"/>
      <c r="AB30" s="38"/>
      <c r="AC30" s="39" t="str">
        <f aca="false">IF(X30="","",IFERROR(IF(ABS(ABS(X30)-ABS('Q11.10 Ans'!X30))&lt;0.5,"✓","✗"),"✗"))</f>
        <v/>
      </c>
    </row>
    <row r="32" customFormat="false" ht="18.75" hidden="false" customHeight="true" outlineLevel="0" collapsed="false">
      <c r="B32" s="3" t="s">
        <v>184</v>
      </c>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ustomFormat="false" ht="15" hidden="false" customHeight="false" outlineLevel="0" collapsed="false">
      <c r="B33" s="18" t="s">
        <v>161</v>
      </c>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customFormat="false" ht="15" hidden="false" customHeight="false" outlineLevel="0" collapsed="false">
      <c r="B34" s="43"/>
      <c r="C34" s="43"/>
      <c r="D34" s="43"/>
      <c r="E34" s="33" t="s">
        <v>68</v>
      </c>
      <c r="F34" s="33"/>
      <c r="G34" s="33"/>
      <c r="H34" s="33"/>
      <c r="I34" s="33"/>
      <c r="J34" s="33"/>
      <c r="K34" s="33"/>
      <c r="L34" s="33"/>
      <c r="M34" s="33"/>
      <c r="N34" s="33"/>
      <c r="O34" s="33"/>
      <c r="P34" s="33"/>
      <c r="Q34" s="33"/>
      <c r="R34" s="34" t="s">
        <v>72</v>
      </c>
      <c r="S34" s="34"/>
      <c r="T34" s="34"/>
      <c r="U34" s="34"/>
      <c r="V34" s="34"/>
      <c r="W34" s="34" t="s">
        <v>72</v>
      </c>
      <c r="X34" s="34"/>
      <c r="Y34" s="34"/>
      <c r="Z34" s="34"/>
      <c r="AA34" s="34"/>
      <c r="AB34" s="34" t="s">
        <v>72</v>
      </c>
      <c r="AC34" s="34"/>
      <c r="AD34" s="34"/>
      <c r="AE34" s="34"/>
      <c r="AF34" s="34"/>
    </row>
    <row r="35" customFormat="false" ht="30" hidden="false" customHeight="true" outlineLevel="0" collapsed="false">
      <c r="B35" s="43"/>
      <c r="C35" s="43"/>
      <c r="D35" s="43"/>
      <c r="E35" s="43"/>
      <c r="F35" s="43"/>
      <c r="G35" s="43"/>
      <c r="H35" s="43"/>
      <c r="I35" s="43"/>
      <c r="J35" s="43"/>
      <c r="K35" s="43"/>
      <c r="L35" s="43"/>
      <c r="M35" s="43"/>
      <c r="N35" s="43"/>
      <c r="O35" s="43"/>
      <c r="P35" s="43"/>
      <c r="Q35" s="43"/>
      <c r="R35" s="11" t="s">
        <v>162</v>
      </c>
      <c r="S35" s="11"/>
      <c r="T35" s="11"/>
      <c r="U35" s="11"/>
      <c r="V35" s="11"/>
      <c r="W35" s="11" t="s">
        <v>163</v>
      </c>
      <c r="X35" s="11"/>
      <c r="Y35" s="11"/>
      <c r="Z35" s="11"/>
      <c r="AA35" s="11"/>
      <c r="AB35" s="11" t="s">
        <v>164</v>
      </c>
      <c r="AC35" s="11"/>
      <c r="AD35" s="11"/>
      <c r="AE35" s="11"/>
      <c r="AF35" s="11"/>
    </row>
    <row r="36" customFormat="false" ht="17.25" hidden="false" customHeight="true" outlineLevel="0" collapsed="false">
      <c r="B36" s="44"/>
      <c r="C36" s="44"/>
      <c r="D36" s="44"/>
      <c r="E36" s="45" t="s">
        <v>165</v>
      </c>
      <c r="F36" s="45"/>
      <c r="G36" s="45"/>
      <c r="H36" s="45"/>
      <c r="I36" s="45"/>
      <c r="J36" s="45"/>
      <c r="K36" s="45"/>
      <c r="L36" s="45"/>
      <c r="M36" s="45"/>
      <c r="N36" s="45"/>
      <c r="O36" s="45"/>
      <c r="P36" s="45"/>
      <c r="Q36" s="45"/>
    </row>
    <row r="37" customFormat="false" ht="17.25" hidden="false" customHeight="true" outlineLevel="0" collapsed="false">
      <c r="B37" s="44"/>
      <c r="C37" s="44"/>
      <c r="D37" s="44"/>
      <c r="E37" s="28" t="s">
        <v>185</v>
      </c>
      <c r="F37" s="28"/>
      <c r="G37" s="28"/>
      <c r="H37" s="28"/>
      <c r="I37" s="28"/>
      <c r="J37" s="28"/>
      <c r="K37" s="28"/>
      <c r="L37" s="28"/>
      <c r="M37" s="28"/>
      <c r="N37" s="28"/>
      <c r="O37" s="28"/>
      <c r="P37" s="28"/>
      <c r="Q37" s="28"/>
      <c r="W37" s="38"/>
      <c r="X37" s="38"/>
      <c r="Y37" s="38"/>
      <c r="Z37" s="38"/>
      <c r="AA37" s="39" t="str">
        <f aca="false">IF(W37="","",IFERROR(IF(ABS(ABS(W37)-ABS('Q11.10 Ans'!W37))&lt;0.5,"✓","✗"),"✗"))</f>
        <v/>
      </c>
    </row>
    <row r="38" customFormat="false" ht="17.25" hidden="false" customHeight="true" outlineLevel="0" collapsed="false">
      <c r="B38" s="44" t="s">
        <v>167</v>
      </c>
      <c r="C38" s="44"/>
      <c r="D38" s="44"/>
      <c r="E38" s="45" t="s">
        <v>168</v>
      </c>
      <c r="F38" s="45"/>
      <c r="G38" s="45"/>
      <c r="H38" s="45"/>
      <c r="I38" s="45"/>
      <c r="J38" s="45"/>
      <c r="K38" s="45"/>
      <c r="L38" s="45"/>
      <c r="M38" s="45"/>
      <c r="N38" s="45"/>
      <c r="O38" s="45"/>
      <c r="P38" s="45"/>
      <c r="Q38" s="45"/>
    </row>
    <row r="39" customFormat="false" ht="17.25" hidden="false" customHeight="true" outlineLevel="0" collapsed="false">
      <c r="B39" s="44"/>
      <c r="C39" s="44"/>
      <c r="D39" s="44"/>
      <c r="E39" s="28" t="s">
        <v>186</v>
      </c>
      <c r="F39" s="28"/>
      <c r="G39" s="28"/>
      <c r="H39" s="28"/>
      <c r="I39" s="28"/>
      <c r="J39" s="28"/>
      <c r="K39" s="28"/>
      <c r="L39" s="28"/>
      <c r="M39" s="28"/>
      <c r="N39" s="28"/>
      <c r="O39" s="28"/>
      <c r="P39" s="28"/>
      <c r="Q39" s="28"/>
      <c r="W39" s="38"/>
      <c r="X39" s="38"/>
      <c r="Y39" s="38"/>
      <c r="Z39" s="38"/>
      <c r="AA39" s="39" t="str">
        <f aca="false">IF(W39="","",IFERROR(IF(ABS(ABS(W39)-ABS('Q11.10 Ans'!W39))&lt;0.5,"✓","✗"),"✗"))</f>
        <v/>
      </c>
    </row>
    <row r="41" customFormat="false" ht="18.75" hidden="false" customHeight="true" outlineLevel="0" collapsed="false">
      <c r="B41" s="3" t="s">
        <v>187</v>
      </c>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ustomFormat="false" ht="17.25" hidden="false" customHeight="true" outlineLevel="0" collapsed="false">
      <c r="B42" s="36" t="s">
        <v>188</v>
      </c>
      <c r="C42" s="36"/>
      <c r="D42" s="36"/>
      <c r="E42" s="36"/>
      <c r="F42" s="36"/>
      <c r="G42" s="36"/>
      <c r="H42" s="36"/>
      <c r="I42" s="36"/>
      <c r="J42" s="36"/>
      <c r="K42" s="36"/>
      <c r="L42" s="36"/>
      <c r="M42" s="36"/>
      <c r="N42" s="36"/>
      <c r="O42" s="36"/>
      <c r="P42" s="36"/>
      <c r="Q42" s="36"/>
      <c r="R42" s="36"/>
      <c r="S42" s="36"/>
      <c r="T42" s="36"/>
      <c r="U42" s="36"/>
      <c r="V42" s="36"/>
      <c r="W42" s="36"/>
      <c r="X42" s="38"/>
      <c r="Y42" s="38"/>
      <c r="Z42" s="38"/>
      <c r="AA42" s="38"/>
      <c r="AB42" s="38"/>
      <c r="AC42" s="39" t="str">
        <f aca="false">IF(X42="","",IFERROR(IF(ABS(ABS(X42)-ABS('Q11.10 Ans'!X42))&lt;0.5,"✓","✗"),"✗"))</f>
        <v/>
      </c>
    </row>
  </sheetData>
  <mergeCells count="79">
    <mergeCell ref="B1:AF1"/>
    <mergeCell ref="B2:AF2"/>
    <mergeCell ref="B3:G3"/>
    <mergeCell ref="H3:AF3"/>
    <mergeCell ref="B5:AF5"/>
    <mergeCell ref="C6:AF6"/>
    <mergeCell ref="C7:AF7"/>
    <mergeCell ref="B8:W8"/>
    <mergeCell ref="X8:AC8"/>
    <mergeCell ref="B9:W9"/>
    <mergeCell ref="X9:AC9"/>
    <mergeCell ref="B10:W10"/>
    <mergeCell ref="X10:AC10"/>
    <mergeCell ref="B11:W11"/>
    <mergeCell ref="X11:AC11"/>
    <mergeCell ref="B12:W12"/>
    <mergeCell ref="X12:AC12"/>
    <mergeCell ref="B15:AF15"/>
    <mergeCell ref="B16:W16"/>
    <mergeCell ref="X16:AB16"/>
    <mergeCell ref="B17:W17"/>
    <mergeCell ref="X17:AB17"/>
    <mergeCell ref="B19:AF19"/>
    <mergeCell ref="B20:D20"/>
    <mergeCell ref="E20:AC20"/>
    <mergeCell ref="AD20:AF20"/>
    <mergeCell ref="B21:D21"/>
    <mergeCell ref="E21:K21"/>
    <mergeCell ref="M21:P21"/>
    <mergeCell ref="R21:T21"/>
    <mergeCell ref="U21:AA21"/>
    <mergeCell ref="AC21:AF21"/>
    <mergeCell ref="B22:D22"/>
    <mergeCell ref="M22:O22"/>
    <mergeCell ref="R22:T22"/>
    <mergeCell ref="AC22:AE22"/>
    <mergeCell ref="B23:D23"/>
    <mergeCell ref="E23:K23"/>
    <mergeCell ref="M23:O23"/>
    <mergeCell ref="R23:T23"/>
    <mergeCell ref="U23:AA23"/>
    <mergeCell ref="AC23:AE23"/>
    <mergeCell ref="B24:D24"/>
    <mergeCell ref="E24:K24"/>
    <mergeCell ref="M24:O24"/>
    <mergeCell ref="M25:O25"/>
    <mergeCell ref="AC25:AE25"/>
    <mergeCell ref="R26:T26"/>
    <mergeCell ref="R27:T27"/>
    <mergeCell ref="U27:AA27"/>
    <mergeCell ref="AC27:AE27"/>
    <mergeCell ref="B29:AF29"/>
    <mergeCell ref="B30:W30"/>
    <mergeCell ref="X30:AB30"/>
    <mergeCell ref="B32:AF32"/>
    <mergeCell ref="B33:AF33"/>
    <mergeCell ref="B34:D34"/>
    <mergeCell ref="E34:Q34"/>
    <mergeCell ref="R34:V34"/>
    <mergeCell ref="W34:AA34"/>
    <mergeCell ref="AB34:AF34"/>
    <mergeCell ref="B35:D35"/>
    <mergeCell ref="E35:Q35"/>
    <mergeCell ref="R35:V35"/>
    <mergeCell ref="W35:AA35"/>
    <mergeCell ref="AB35:AF35"/>
    <mergeCell ref="B36:D36"/>
    <mergeCell ref="E36:Q36"/>
    <mergeCell ref="B37:D37"/>
    <mergeCell ref="E37:Q37"/>
    <mergeCell ref="W37:Z37"/>
    <mergeCell ref="B38:D38"/>
    <mergeCell ref="E38:Q38"/>
    <mergeCell ref="B39:D39"/>
    <mergeCell ref="E39:Q39"/>
    <mergeCell ref="W39:Z39"/>
    <mergeCell ref="B41:AF41"/>
    <mergeCell ref="B42:W42"/>
    <mergeCell ref="X42:AB42"/>
  </mergeCells>
  <conditionalFormatting sqref="B4:AG4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189</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7" t="s">
        <v>123</v>
      </c>
      <c r="C3" s="17"/>
      <c r="D3" s="17"/>
      <c r="E3" s="17"/>
      <c r="F3" s="17"/>
      <c r="G3" s="17"/>
      <c r="H3" s="17" t="str">
        <f aca="false">COUNTIF(B4:AG38,"✓")&amp;" correct out of 12 answer cells"</f>
        <v>0 correct out of 12 answer cells</v>
      </c>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190</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33" t="s">
        <v>127</v>
      </c>
      <c r="C6" s="33"/>
      <c r="D6" s="33"/>
      <c r="E6" s="33"/>
      <c r="F6" s="33"/>
      <c r="G6" s="33"/>
      <c r="H6" s="33"/>
      <c r="I6" s="33"/>
      <c r="J6" s="33"/>
      <c r="K6" s="33"/>
      <c r="L6" s="33"/>
      <c r="M6" s="33"/>
      <c r="N6" s="33"/>
      <c r="O6" s="33"/>
      <c r="P6" s="33"/>
      <c r="Q6" s="33"/>
      <c r="R6" s="33"/>
      <c r="S6" s="33"/>
      <c r="T6" s="33"/>
      <c r="U6" s="33"/>
      <c r="V6" s="33"/>
      <c r="W6" s="33"/>
      <c r="X6" s="34" t="s">
        <v>114</v>
      </c>
      <c r="Y6" s="34"/>
      <c r="Z6" s="34"/>
      <c r="AA6" s="34"/>
      <c r="AB6" s="34"/>
      <c r="AC6" s="34"/>
    </row>
    <row r="7" customFormat="false" ht="15" hidden="false" customHeight="false" outlineLevel="0" collapsed="false">
      <c r="B7" s="46" t="s">
        <v>191</v>
      </c>
      <c r="C7" s="46"/>
      <c r="D7" s="46"/>
      <c r="E7" s="46"/>
      <c r="F7" s="46"/>
      <c r="G7" s="46"/>
      <c r="H7" s="46"/>
      <c r="I7" s="46"/>
      <c r="J7" s="46"/>
      <c r="K7" s="46"/>
      <c r="L7" s="46"/>
      <c r="M7" s="46"/>
      <c r="N7" s="46"/>
      <c r="O7" s="46"/>
      <c r="P7" s="46"/>
      <c r="Q7" s="46"/>
      <c r="R7" s="46"/>
      <c r="S7" s="46"/>
      <c r="T7" s="46"/>
      <c r="U7" s="46"/>
      <c r="V7" s="46"/>
      <c r="W7" s="46"/>
      <c r="X7" s="46"/>
      <c r="Y7" s="46"/>
      <c r="Z7" s="46"/>
      <c r="AA7" s="46"/>
      <c r="AB7" s="46"/>
      <c r="AC7" s="46"/>
    </row>
    <row r="8" customFormat="false" ht="16.5" hidden="false" customHeight="true" outlineLevel="0" collapsed="false">
      <c r="B8" s="12" t="s">
        <v>192</v>
      </c>
      <c r="C8" s="12"/>
      <c r="D8" s="12"/>
      <c r="E8" s="12"/>
      <c r="F8" s="12"/>
      <c r="G8" s="12"/>
      <c r="H8" s="12"/>
      <c r="I8" s="12"/>
      <c r="J8" s="12"/>
      <c r="K8" s="12"/>
      <c r="L8" s="12"/>
      <c r="M8" s="12"/>
      <c r="N8" s="12"/>
      <c r="O8" s="12"/>
      <c r="P8" s="12"/>
      <c r="Q8" s="12"/>
      <c r="R8" s="12"/>
      <c r="S8" s="12"/>
      <c r="T8" s="12"/>
      <c r="U8" s="12"/>
      <c r="V8" s="12"/>
      <c r="W8" s="12"/>
      <c r="X8" s="15" t="n">
        <v>300</v>
      </c>
      <c r="Y8" s="15"/>
      <c r="Z8" s="15"/>
      <c r="AA8" s="15"/>
      <c r="AB8" s="15"/>
      <c r="AC8" s="15"/>
    </row>
    <row r="9" customFormat="false" ht="16.5" hidden="false" customHeight="true" outlineLevel="0" collapsed="false">
      <c r="B9" s="12" t="s">
        <v>193</v>
      </c>
      <c r="C9" s="12"/>
      <c r="D9" s="12"/>
      <c r="E9" s="12"/>
      <c r="F9" s="12"/>
      <c r="G9" s="12"/>
      <c r="H9" s="12"/>
      <c r="I9" s="12"/>
      <c r="J9" s="12"/>
      <c r="K9" s="12"/>
      <c r="L9" s="12"/>
      <c r="M9" s="12"/>
      <c r="N9" s="12"/>
      <c r="O9" s="12"/>
      <c r="P9" s="12"/>
      <c r="Q9" s="12"/>
      <c r="R9" s="12"/>
      <c r="S9" s="12"/>
      <c r="T9" s="12"/>
      <c r="U9" s="12"/>
      <c r="V9" s="12"/>
      <c r="W9" s="12"/>
      <c r="X9" s="15" t="n">
        <v>18000</v>
      </c>
      <c r="Y9" s="15"/>
      <c r="Z9" s="15"/>
      <c r="AA9" s="15"/>
      <c r="AB9" s="15"/>
      <c r="AC9" s="15"/>
    </row>
    <row r="10" customFormat="false" ht="16.5" hidden="false" customHeight="true" outlineLevel="0" collapsed="false">
      <c r="B10" s="12" t="s">
        <v>194</v>
      </c>
      <c r="C10" s="12"/>
      <c r="D10" s="12"/>
      <c r="E10" s="12"/>
      <c r="F10" s="12"/>
      <c r="G10" s="12"/>
      <c r="H10" s="12"/>
      <c r="I10" s="12"/>
      <c r="J10" s="12"/>
      <c r="K10" s="12"/>
      <c r="L10" s="12"/>
      <c r="M10" s="12"/>
      <c r="N10" s="12"/>
      <c r="O10" s="12"/>
      <c r="P10" s="12"/>
      <c r="Q10" s="12"/>
      <c r="R10" s="12"/>
      <c r="S10" s="12"/>
      <c r="T10" s="12"/>
      <c r="U10" s="12"/>
      <c r="V10" s="12"/>
      <c r="W10" s="12"/>
      <c r="X10" s="15" t="n">
        <v>450</v>
      </c>
      <c r="Y10" s="15"/>
      <c r="Z10" s="15"/>
      <c r="AA10" s="15"/>
      <c r="AB10" s="15"/>
      <c r="AC10" s="15"/>
    </row>
    <row r="11" customFormat="false" ht="15" hidden="false" customHeight="false" outlineLevel="0" collapsed="false">
      <c r="B11" s="46" t="s">
        <v>195</v>
      </c>
      <c r="C11" s="46"/>
      <c r="D11" s="46"/>
      <c r="E11" s="46"/>
      <c r="F11" s="46"/>
      <c r="G11" s="46"/>
      <c r="H11" s="46"/>
      <c r="I11" s="46"/>
      <c r="J11" s="46"/>
      <c r="K11" s="46"/>
      <c r="L11" s="46"/>
      <c r="M11" s="46"/>
      <c r="N11" s="46"/>
      <c r="O11" s="46"/>
      <c r="P11" s="46"/>
      <c r="Q11" s="46"/>
      <c r="R11" s="46"/>
      <c r="S11" s="46"/>
      <c r="T11" s="46"/>
      <c r="U11" s="46"/>
      <c r="V11" s="46"/>
      <c r="W11" s="46"/>
      <c r="X11" s="46"/>
      <c r="Y11" s="46"/>
      <c r="Z11" s="46"/>
      <c r="AA11" s="46"/>
      <c r="AB11" s="46"/>
      <c r="AC11" s="46"/>
    </row>
    <row r="12" customFormat="false" ht="16.5" hidden="false" customHeight="true" outlineLevel="0" collapsed="false">
      <c r="B12" s="12" t="s">
        <v>196</v>
      </c>
      <c r="C12" s="12"/>
      <c r="D12" s="12"/>
      <c r="E12" s="12"/>
      <c r="F12" s="12"/>
      <c r="G12" s="12"/>
      <c r="H12" s="12"/>
      <c r="I12" s="12"/>
      <c r="J12" s="12"/>
      <c r="K12" s="12"/>
      <c r="L12" s="12"/>
      <c r="M12" s="12"/>
      <c r="N12" s="12"/>
      <c r="O12" s="12"/>
      <c r="P12" s="12"/>
      <c r="Q12" s="12"/>
      <c r="R12" s="12"/>
      <c r="S12" s="12"/>
      <c r="T12" s="12"/>
      <c r="U12" s="12"/>
      <c r="V12" s="12"/>
      <c r="W12" s="12"/>
      <c r="X12" s="15" t="n">
        <v>200</v>
      </c>
      <c r="Y12" s="15"/>
      <c r="Z12" s="15"/>
      <c r="AA12" s="15"/>
      <c r="AB12" s="15"/>
      <c r="AC12" s="15"/>
    </row>
    <row r="13" customFormat="false" ht="16.5" hidden="false" customHeight="true" outlineLevel="0" collapsed="false">
      <c r="B13" s="12" t="s">
        <v>193</v>
      </c>
      <c r="C13" s="12"/>
      <c r="D13" s="12"/>
      <c r="E13" s="12"/>
      <c r="F13" s="12"/>
      <c r="G13" s="12"/>
      <c r="H13" s="12"/>
      <c r="I13" s="12"/>
      <c r="J13" s="12"/>
      <c r="K13" s="12"/>
      <c r="L13" s="12"/>
      <c r="M13" s="12"/>
      <c r="N13" s="12"/>
      <c r="O13" s="12"/>
      <c r="P13" s="12"/>
      <c r="Q13" s="12"/>
      <c r="R13" s="12"/>
      <c r="S13" s="12"/>
      <c r="T13" s="12"/>
      <c r="U13" s="12"/>
      <c r="V13" s="12"/>
      <c r="W13" s="12"/>
      <c r="X13" s="15" t="n">
        <v>1600</v>
      </c>
      <c r="Y13" s="15"/>
      <c r="Z13" s="15"/>
      <c r="AA13" s="15"/>
      <c r="AB13" s="15"/>
      <c r="AC13" s="15"/>
    </row>
    <row r="14" customFormat="false" ht="16.5" hidden="false" customHeight="true" outlineLevel="0" collapsed="false">
      <c r="B14" s="12" t="s">
        <v>197</v>
      </c>
      <c r="C14" s="12"/>
      <c r="D14" s="12"/>
      <c r="E14" s="12"/>
      <c r="F14" s="12"/>
      <c r="G14" s="12"/>
      <c r="H14" s="12"/>
      <c r="I14" s="12"/>
      <c r="J14" s="12"/>
      <c r="K14" s="12"/>
      <c r="L14" s="12"/>
      <c r="M14" s="12"/>
      <c r="N14" s="12"/>
      <c r="O14" s="12"/>
      <c r="P14" s="12"/>
      <c r="Q14" s="12"/>
      <c r="R14" s="12"/>
      <c r="S14" s="12"/>
      <c r="T14" s="12"/>
      <c r="U14" s="12"/>
      <c r="V14" s="12"/>
      <c r="W14" s="12"/>
      <c r="X14" s="15" t="n">
        <v>250</v>
      </c>
      <c r="Y14" s="15"/>
      <c r="Z14" s="15"/>
      <c r="AA14" s="15"/>
      <c r="AB14" s="15"/>
      <c r="AC14" s="15"/>
    </row>
    <row r="15" customFormat="false" ht="15" hidden="false" customHeight="false" outlineLevel="0" collapsed="false">
      <c r="B15" s="46" t="s">
        <v>198</v>
      </c>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row>
    <row r="16" customFormat="false" ht="16.5" hidden="false" customHeight="true" outlineLevel="0" collapsed="false">
      <c r="B16" s="12" t="s">
        <v>199</v>
      </c>
      <c r="C16" s="12"/>
      <c r="D16" s="12"/>
      <c r="E16" s="12"/>
      <c r="F16" s="12"/>
      <c r="G16" s="12"/>
      <c r="H16" s="12"/>
      <c r="I16" s="12"/>
      <c r="J16" s="12"/>
      <c r="K16" s="12"/>
      <c r="L16" s="12"/>
      <c r="M16" s="12"/>
      <c r="N16" s="12"/>
      <c r="O16" s="12"/>
      <c r="P16" s="12"/>
      <c r="Q16" s="12"/>
      <c r="R16" s="12"/>
      <c r="S16" s="12"/>
      <c r="T16" s="12"/>
      <c r="U16" s="12"/>
      <c r="V16" s="12"/>
      <c r="W16" s="12"/>
      <c r="X16" s="15" t="n">
        <v>3000</v>
      </c>
      <c r="Y16" s="15"/>
      <c r="Z16" s="15"/>
      <c r="AA16" s="15"/>
      <c r="AB16" s="15"/>
      <c r="AC16" s="15"/>
    </row>
    <row r="17" customFormat="false" ht="16.5" hidden="false" customHeight="true" outlineLevel="0" collapsed="false">
      <c r="B17" s="12" t="s">
        <v>200</v>
      </c>
      <c r="C17" s="12"/>
      <c r="D17" s="12"/>
      <c r="E17" s="12"/>
      <c r="F17" s="12"/>
      <c r="G17" s="12"/>
      <c r="H17" s="12"/>
      <c r="I17" s="12"/>
      <c r="J17" s="12"/>
      <c r="K17" s="12"/>
      <c r="L17" s="12"/>
      <c r="M17" s="12"/>
      <c r="N17" s="12"/>
      <c r="O17" s="12"/>
      <c r="P17" s="12"/>
      <c r="Q17" s="12"/>
      <c r="R17" s="12"/>
      <c r="S17" s="12"/>
      <c r="T17" s="12"/>
      <c r="U17" s="12"/>
      <c r="V17" s="12"/>
      <c r="W17" s="12"/>
      <c r="X17" s="15" t="n">
        <v>250</v>
      </c>
      <c r="Y17" s="15"/>
      <c r="Z17" s="15"/>
      <c r="AA17" s="15"/>
      <c r="AB17" s="15"/>
      <c r="AC17" s="15"/>
    </row>
    <row r="20" customFormat="false" ht="18.75" hidden="false" customHeight="true" outlineLevel="0" collapsed="false">
      <c r="B20" s="3" t="s">
        <v>201</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36" t="s">
        <v>202</v>
      </c>
      <c r="C21" s="36"/>
      <c r="D21" s="36"/>
      <c r="E21" s="36"/>
      <c r="F21" s="36"/>
      <c r="G21" s="36"/>
      <c r="H21" s="36"/>
      <c r="I21" s="36"/>
      <c r="J21" s="36"/>
      <c r="K21" s="36"/>
      <c r="L21" s="36"/>
      <c r="M21" s="36"/>
      <c r="N21" s="36"/>
      <c r="O21" s="36"/>
      <c r="P21" s="36"/>
      <c r="Q21" s="36"/>
      <c r="R21" s="36"/>
      <c r="S21" s="36"/>
      <c r="T21" s="36"/>
      <c r="U21" s="36"/>
      <c r="V21" s="36"/>
      <c r="W21" s="36"/>
      <c r="X21" s="38"/>
      <c r="Y21" s="38"/>
      <c r="Z21" s="38"/>
      <c r="AA21" s="38"/>
      <c r="AB21" s="38"/>
      <c r="AC21" s="39" t="str">
        <f aca="false">IF(X21="","",IFERROR(IF(ABS(ABS(X21)-ABS('Q11.11 Ans'!X21))&lt;0.5,"✓","✗"),"✗"))</f>
        <v/>
      </c>
    </row>
    <row r="22" customFormat="false" ht="17.25" hidden="false" customHeight="true" outlineLevel="0" collapsed="false">
      <c r="B22" s="36" t="s">
        <v>203</v>
      </c>
      <c r="C22" s="36"/>
      <c r="D22" s="36"/>
      <c r="E22" s="36"/>
      <c r="F22" s="36"/>
      <c r="G22" s="36"/>
      <c r="H22" s="36"/>
      <c r="I22" s="36"/>
      <c r="J22" s="36"/>
      <c r="K22" s="36"/>
      <c r="L22" s="36"/>
      <c r="M22" s="36"/>
      <c r="N22" s="36"/>
      <c r="O22" s="36"/>
      <c r="P22" s="36"/>
      <c r="Q22" s="36"/>
      <c r="R22" s="36"/>
      <c r="S22" s="36"/>
      <c r="T22" s="36"/>
      <c r="U22" s="36"/>
      <c r="V22" s="36"/>
      <c r="W22" s="36"/>
      <c r="X22" s="38"/>
      <c r="Y22" s="38"/>
      <c r="Z22" s="38"/>
      <c r="AA22" s="38"/>
      <c r="AB22" s="38"/>
      <c r="AC22" s="39" t="str">
        <f aca="false">IF(X22="","",IFERROR(IF(ABS(ABS(X22)-ABS('Q11.11 Ans'!X22))&lt;0.5,"✓","✗"),"✗"))</f>
        <v/>
      </c>
    </row>
    <row r="23" customFormat="false" ht="17.25" hidden="false" customHeight="true" outlineLevel="0" collapsed="false">
      <c r="B23" s="36" t="s">
        <v>204</v>
      </c>
      <c r="C23" s="36"/>
      <c r="D23" s="36"/>
      <c r="E23" s="36"/>
      <c r="F23" s="36"/>
      <c r="G23" s="36"/>
      <c r="H23" s="36"/>
      <c r="I23" s="36"/>
      <c r="J23" s="36"/>
      <c r="K23" s="36"/>
      <c r="L23" s="36"/>
      <c r="M23" s="36"/>
      <c r="N23" s="36"/>
      <c r="O23" s="36"/>
      <c r="P23" s="36"/>
      <c r="Q23" s="36"/>
      <c r="R23" s="36"/>
      <c r="S23" s="36"/>
      <c r="T23" s="36"/>
      <c r="U23" s="36"/>
      <c r="V23" s="36"/>
      <c r="W23" s="36"/>
      <c r="X23" s="38"/>
      <c r="Y23" s="38"/>
      <c r="Z23" s="38"/>
      <c r="AA23" s="38"/>
      <c r="AB23" s="38"/>
      <c r="AC23" s="39" t="str">
        <f aca="false">IF(X23="","",IFERROR(IF(ABS(ABS(X23)-ABS('Q11.11 Ans'!X23))&lt;0.5,"✓","✗"),"✗"))</f>
        <v/>
      </c>
    </row>
    <row r="25" customFormat="false" ht="18.75" hidden="false" customHeight="true" outlineLevel="0" collapsed="false">
      <c r="B25" s="3" t="s">
        <v>205</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5" hidden="false" customHeight="false" outlineLevel="0" collapsed="false">
      <c r="B26" s="17" t="s">
        <v>64</v>
      </c>
      <c r="C26" s="17"/>
      <c r="D26" s="17"/>
      <c r="E26" s="18" t="s">
        <v>206</v>
      </c>
      <c r="F26" s="18"/>
      <c r="G26" s="18"/>
      <c r="H26" s="18"/>
      <c r="I26" s="18"/>
      <c r="J26" s="18"/>
      <c r="K26" s="18"/>
      <c r="L26" s="18"/>
      <c r="M26" s="18"/>
      <c r="N26" s="18"/>
      <c r="O26" s="18"/>
      <c r="P26" s="18"/>
      <c r="Q26" s="18"/>
      <c r="R26" s="18"/>
      <c r="S26" s="18"/>
      <c r="T26" s="18"/>
      <c r="U26" s="18"/>
      <c r="V26" s="18"/>
      <c r="W26" s="18"/>
      <c r="X26" s="18"/>
      <c r="Y26" s="18"/>
      <c r="Z26" s="18"/>
      <c r="AA26" s="18"/>
      <c r="AB26" s="18"/>
      <c r="AC26" s="18"/>
      <c r="AD26" s="19" t="s">
        <v>66</v>
      </c>
      <c r="AE26" s="19"/>
      <c r="AF26" s="19"/>
    </row>
    <row r="27" customFormat="false" ht="15" hidden="false" customHeight="false" outlineLevel="0" collapsed="false">
      <c r="B27" s="20" t="s">
        <v>67</v>
      </c>
      <c r="C27" s="20"/>
      <c r="D27" s="20"/>
      <c r="E27" s="20" t="s">
        <v>68</v>
      </c>
      <c r="F27" s="20"/>
      <c r="G27" s="20"/>
      <c r="H27" s="20"/>
      <c r="I27" s="20"/>
      <c r="J27" s="20"/>
      <c r="K27" s="20"/>
      <c r="L27" s="21" t="s">
        <v>69</v>
      </c>
      <c r="M27" s="22" t="s">
        <v>70</v>
      </c>
      <c r="N27" s="22"/>
      <c r="O27" s="22"/>
      <c r="P27" s="22"/>
      <c r="Q27" s="23"/>
      <c r="R27" s="24" t="s">
        <v>67</v>
      </c>
      <c r="S27" s="24"/>
      <c r="T27" s="24"/>
      <c r="U27" s="20" t="s">
        <v>68</v>
      </c>
      <c r="V27" s="20"/>
      <c r="W27" s="20"/>
      <c r="X27" s="20"/>
      <c r="Y27" s="20"/>
      <c r="Z27" s="20"/>
      <c r="AA27" s="20"/>
      <c r="AB27" s="21" t="s">
        <v>69</v>
      </c>
      <c r="AC27" s="22" t="s">
        <v>70</v>
      </c>
      <c r="AD27" s="22"/>
      <c r="AE27" s="22"/>
      <c r="AF27" s="22"/>
    </row>
    <row r="28" customFormat="false" ht="16.5" hidden="false" customHeight="true" outlineLevel="0" collapsed="false">
      <c r="B28" s="25" t="s">
        <v>71</v>
      </c>
      <c r="C28" s="25"/>
      <c r="D28" s="25"/>
      <c r="M28" s="26" t="s">
        <v>72</v>
      </c>
      <c r="N28" s="26"/>
      <c r="O28" s="26"/>
      <c r="R28" s="27" t="s">
        <v>71</v>
      </c>
      <c r="S28" s="27"/>
      <c r="T28" s="27"/>
      <c r="AC28" s="26" t="s">
        <v>72</v>
      </c>
      <c r="AD28" s="26"/>
      <c r="AE28" s="26"/>
    </row>
    <row r="29" customFormat="false" ht="17.25" hidden="false" customHeight="true" outlineLevel="0" collapsed="false">
      <c r="B29" s="6"/>
      <c r="C29" s="6"/>
      <c r="D29" s="6"/>
      <c r="E29" s="28" t="s">
        <v>76</v>
      </c>
      <c r="F29" s="28"/>
      <c r="G29" s="28"/>
      <c r="H29" s="28"/>
      <c r="I29" s="28"/>
      <c r="J29" s="28"/>
      <c r="K29" s="28"/>
      <c r="L29" s="29" t="s">
        <v>77</v>
      </c>
      <c r="M29" s="38"/>
      <c r="N29" s="38"/>
      <c r="O29" s="38"/>
      <c r="P29" s="39" t="str">
        <f aca="false">IF(M29="","",IFERROR(IF(ABS(ABS(M29)-ABS('Q11.11 Ans'!M29))&lt;0.5,"✓","✗"),"✗"))</f>
        <v/>
      </c>
      <c r="R29" s="30" t="s">
        <v>207</v>
      </c>
      <c r="S29" s="30"/>
      <c r="T29" s="30"/>
      <c r="U29" s="28" t="s">
        <v>157</v>
      </c>
      <c r="V29" s="28"/>
      <c r="W29" s="28"/>
      <c r="X29" s="28"/>
      <c r="Y29" s="28"/>
      <c r="Z29" s="28"/>
      <c r="AA29" s="28"/>
      <c r="AB29" s="29"/>
      <c r="AC29" s="38"/>
      <c r="AD29" s="38"/>
      <c r="AE29" s="38"/>
      <c r="AF29" s="39" t="str">
        <f aca="false">IF(AC29="","",IFERROR(IF(ABS(ABS(AC29)-ABS('Q11.11 Ans'!AC29))&lt;0.5,"✓","✗"),"✗"))</f>
        <v/>
      </c>
    </row>
    <row r="30" customFormat="false" ht="16.5" hidden="false" customHeight="true" outlineLevel="0" collapsed="false">
      <c r="B30" s="25" t="s">
        <v>83</v>
      </c>
      <c r="C30" s="25"/>
      <c r="D30" s="25"/>
      <c r="R30" s="27" t="s">
        <v>83</v>
      </c>
      <c r="S30" s="27"/>
      <c r="T30" s="27"/>
    </row>
    <row r="31" customFormat="false" ht="17.25" hidden="false" customHeight="true" outlineLevel="0" collapsed="false">
      <c r="B31" s="6" t="s">
        <v>208</v>
      </c>
      <c r="C31" s="6"/>
      <c r="D31" s="6"/>
      <c r="E31" s="28" t="s">
        <v>156</v>
      </c>
      <c r="F31" s="28"/>
      <c r="G31" s="28"/>
      <c r="H31" s="28"/>
      <c r="I31" s="28"/>
      <c r="J31" s="28"/>
      <c r="K31" s="28"/>
      <c r="L31" s="29"/>
      <c r="M31" s="38"/>
      <c r="N31" s="38"/>
      <c r="O31" s="38"/>
      <c r="P31" s="39" t="str">
        <f aca="false">IF(M31="","",IFERROR(IF(ABS(ABS(M31)-ABS('Q11.11 Ans'!M31))&lt;0.5,"✓","✗"),"✗"))</f>
        <v/>
      </c>
      <c r="R31" s="30" t="s">
        <v>208</v>
      </c>
      <c r="S31" s="30"/>
      <c r="T31" s="30"/>
      <c r="U31" s="28" t="s">
        <v>79</v>
      </c>
      <c r="V31" s="28"/>
      <c r="W31" s="28"/>
      <c r="X31" s="28"/>
      <c r="Y31" s="28"/>
      <c r="Z31" s="28"/>
      <c r="AA31" s="28"/>
      <c r="AB31" s="29" t="s">
        <v>80</v>
      </c>
      <c r="AC31" s="38"/>
      <c r="AD31" s="38"/>
      <c r="AE31" s="38"/>
      <c r="AF31" s="39" t="str">
        <f aca="false">IF(AC31="","",IFERROR(IF(ABS(ABS(AC31)-ABS('Q11.11 Ans'!AC31))&lt;0.5,"✓","✗"),"✗"))</f>
        <v/>
      </c>
    </row>
    <row r="32" customFormat="false" ht="16.5" hidden="false" customHeight="true" outlineLevel="0" collapsed="false">
      <c r="M32" s="42"/>
      <c r="N32" s="42"/>
      <c r="O32" s="42"/>
      <c r="P32" s="39" t="str">
        <f aca="false">IF(M32="","",IFERROR(IF(ABS(ABS(M32)-ABS('Q11.11 Ans'!M32))&lt;0.5,"✓","✗"),"✗"))</f>
        <v/>
      </c>
      <c r="R32" s="32"/>
      <c r="AC32" s="42"/>
      <c r="AD32" s="42"/>
      <c r="AE32" s="42"/>
      <c r="AF32" s="39" t="str">
        <f aca="false">IF(AC32="","",IFERROR(IF(ABS(ABS(AC32)-ABS('Q11.11 Ans'!AC32))&lt;0.5,"✓","✗"),"✗"))</f>
        <v/>
      </c>
    </row>
    <row r="33" customFormat="false" ht="17.25" hidden="false" customHeight="true" outlineLevel="0" collapsed="false">
      <c r="R33" s="30" t="s">
        <v>207</v>
      </c>
      <c r="S33" s="30"/>
      <c r="T33" s="30"/>
      <c r="U33" s="28" t="s">
        <v>157</v>
      </c>
      <c r="V33" s="28"/>
      <c r="W33" s="28"/>
      <c r="X33" s="28"/>
      <c r="Y33" s="28"/>
      <c r="Z33" s="28"/>
      <c r="AA33" s="28"/>
      <c r="AB33" s="29"/>
      <c r="AC33" s="38"/>
      <c r="AD33" s="38"/>
      <c r="AE33" s="38"/>
      <c r="AF33" s="39" t="str">
        <f aca="false">IF(AC33="","",IFERROR(IF(ABS(ABS(AC33)-ABS('Q11.11 Ans'!AC33))&lt;0.5,"✓","✗"),"✗"))</f>
        <v/>
      </c>
    </row>
    <row r="35" customFormat="false" ht="18.75" hidden="false" customHeight="true" outlineLevel="0" collapsed="false">
      <c r="B35" s="3" t="s">
        <v>209</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7.25" hidden="false" customHeight="true" outlineLevel="0" collapsed="false">
      <c r="B36" s="36" t="s">
        <v>210</v>
      </c>
      <c r="C36" s="36"/>
      <c r="D36" s="36"/>
      <c r="E36" s="36"/>
      <c r="F36" s="36"/>
      <c r="G36" s="36"/>
      <c r="H36" s="36"/>
      <c r="I36" s="36"/>
      <c r="J36" s="36"/>
      <c r="K36" s="36"/>
      <c r="L36" s="36"/>
      <c r="M36" s="36"/>
      <c r="N36" s="36"/>
      <c r="O36" s="36"/>
      <c r="P36" s="36"/>
      <c r="Q36" s="36"/>
      <c r="R36" s="36"/>
      <c r="S36" s="36"/>
      <c r="T36" s="36"/>
      <c r="U36" s="36"/>
      <c r="V36" s="36"/>
      <c r="W36" s="36"/>
      <c r="X36" s="38"/>
      <c r="Y36" s="38"/>
      <c r="Z36" s="38"/>
      <c r="AA36" s="38"/>
      <c r="AB36" s="38"/>
      <c r="AC36" s="39" t="str">
        <f aca="false">IF(X36="","",IFERROR(IF(ABS(ABS(X36)-ABS('Q11.11 Ans'!X36))&lt;0.5,"✓","✗"),"✗"))</f>
        <v/>
      </c>
    </row>
    <row r="37" customFormat="false" ht="17.25" hidden="false" customHeight="true" outlineLevel="0" collapsed="false">
      <c r="B37" s="36" t="s">
        <v>211</v>
      </c>
      <c r="C37" s="36"/>
      <c r="D37" s="36"/>
      <c r="E37" s="36"/>
      <c r="F37" s="36"/>
      <c r="G37" s="36"/>
      <c r="H37" s="36"/>
      <c r="I37" s="36"/>
      <c r="J37" s="36"/>
      <c r="K37" s="36"/>
      <c r="L37" s="36"/>
      <c r="M37" s="36"/>
      <c r="N37" s="36"/>
      <c r="O37" s="36"/>
      <c r="P37" s="36"/>
      <c r="Q37" s="36"/>
      <c r="R37" s="36"/>
      <c r="S37" s="36"/>
      <c r="T37" s="36"/>
      <c r="U37" s="36"/>
      <c r="V37" s="36"/>
      <c r="W37" s="36"/>
      <c r="X37" s="38"/>
      <c r="Y37" s="38"/>
      <c r="Z37" s="38"/>
      <c r="AA37" s="38"/>
      <c r="AB37" s="38"/>
      <c r="AC37" s="39" t="str">
        <f aca="false">IF(X37="","",IFERROR(IF(ABS(ABS(X37)-ABS('Q11.11 Ans'!X37))&lt;0.5,"✓","✗"),"✗"))</f>
        <v/>
      </c>
    </row>
  </sheetData>
  <mergeCells count="71">
    <mergeCell ref="B1:AF1"/>
    <mergeCell ref="B2:AF2"/>
    <mergeCell ref="B3:G3"/>
    <mergeCell ref="H3:AF3"/>
    <mergeCell ref="B5:AF5"/>
    <mergeCell ref="B6:W6"/>
    <mergeCell ref="X6:AC6"/>
    <mergeCell ref="B7:AC7"/>
    <mergeCell ref="B8:W8"/>
    <mergeCell ref="X8:AC8"/>
    <mergeCell ref="B9:W9"/>
    <mergeCell ref="X9:AC9"/>
    <mergeCell ref="B10:W10"/>
    <mergeCell ref="X10:AC10"/>
    <mergeCell ref="B11:AC11"/>
    <mergeCell ref="B12:W12"/>
    <mergeCell ref="X12:AC12"/>
    <mergeCell ref="B13:W13"/>
    <mergeCell ref="X13:AC13"/>
    <mergeCell ref="B14:W14"/>
    <mergeCell ref="X14:AC14"/>
    <mergeCell ref="B15:AC15"/>
    <mergeCell ref="B16:W16"/>
    <mergeCell ref="X16:AC16"/>
    <mergeCell ref="B17:W17"/>
    <mergeCell ref="X17:AC17"/>
    <mergeCell ref="B20:AF20"/>
    <mergeCell ref="B21:W21"/>
    <mergeCell ref="X21:AB21"/>
    <mergeCell ref="B22:W22"/>
    <mergeCell ref="X22:AB22"/>
    <mergeCell ref="B23:W23"/>
    <mergeCell ref="X23:AB23"/>
    <mergeCell ref="B25:AF25"/>
    <mergeCell ref="B26:D26"/>
    <mergeCell ref="E26:AC26"/>
    <mergeCell ref="AD26:AF26"/>
    <mergeCell ref="B27:D27"/>
    <mergeCell ref="E27:K27"/>
    <mergeCell ref="M27:P27"/>
    <mergeCell ref="R27:T27"/>
    <mergeCell ref="U27:AA27"/>
    <mergeCell ref="AC27:AF27"/>
    <mergeCell ref="B28:D28"/>
    <mergeCell ref="M28:O28"/>
    <mergeCell ref="R28:T28"/>
    <mergeCell ref="AC28:AE28"/>
    <mergeCell ref="B29:D29"/>
    <mergeCell ref="E29:K29"/>
    <mergeCell ref="M29:O29"/>
    <mergeCell ref="R29:T29"/>
    <mergeCell ref="U29:AA29"/>
    <mergeCell ref="AC29:AE29"/>
    <mergeCell ref="B30:D30"/>
    <mergeCell ref="R30:T30"/>
    <mergeCell ref="B31:D31"/>
    <mergeCell ref="E31:K31"/>
    <mergeCell ref="M31:O31"/>
    <mergeCell ref="R31:T31"/>
    <mergeCell ref="U31:AA31"/>
    <mergeCell ref="AC31:AE31"/>
    <mergeCell ref="M32:O32"/>
    <mergeCell ref="AC32:AE32"/>
    <mergeCell ref="R33:T33"/>
    <mergeCell ref="U33:AA33"/>
    <mergeCell ref="AC33:AE33"/>
    <mergeCell ref="B35:AF35"/>
    <mergeCell ref="B36:W36"/>
    <mergeCell ref="X36:AB36"/>
    <mergeCell ref="B37:W37"/>
    <mergeCell ref="X37:AB37"/>
  </mergeCells>
  <conditionalFormatting sqref="B4:AG3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5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212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7" t="s">
        <v>123</v>
      </c>
      <c r="C3" s="17"/>
      <c r="D3" s="17"/>
      <c r="E3" s="17"/>
      <c r="F3" s="17"/>
      <c r="G3" s="17"/>
      <c r="H3" s="17" t="str">
        <f aca="false">COUNTIF(B4:AG58,"✓")&amp;" correct out of 20 answer cells"</f>
        <v>0 correct out of 20 answer cells</v>
      </c>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213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214</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30" hidden="false" customHeight="true" outlineLevel="0" collapsed="false">
      <c r="C7" s="4" t="s">
        <v>215</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216</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C9" s="4" t="s">
        <v>217</v>
      </c>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C10" s="4" t="s">
        <v>218</v>
      </c>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ustomFormat="false" ht="15" hidden="false" customHeight="false" outlineLevel="0" collapsed="false">
      <c r="B11" s="33" t="s">
        <v>127</v>
      </c>
      <c r="C11" s="33"/>
      <c r="D11" s="33"/>
      <c r="E11" s="33"/>
      <c r="F11" s="33"/>
      <c r="G11" s="33"/>
      <c r="H11" s="33"/>
      <c r="I11" s="33"/>
      <c r="J11" s="33"/>
      <c r="K11" s="33"/>
      <c r="L11" s="33"/>
      <c r="M11" s="33"/>
      <c r="N11" s="33"/>
      <c r="O11" s="33"/>
      <c r="P11" s="33"/>
      <c r="Q11" s="33"/>
      <c r="R11" s="33"/>
      <c r="S11" s="33"/>
      <c r="T11" s="33"/>
      <c r="U11" s="33"/>
      <c r="V11" s="33"/>
      <c r="W11" s="33"/>
      <c r="X11" s="34" t="s">
        <v>114</v>
      </c>
      <c r="Y11" s="34"/>
      <c r="Z11" s="34"/>
      <c r="AA11" s="34"/>
      <c r="AB11" s="34"/>
      <c r="AC11" s="34"/>
    </row>
    <row r="12" customFormat="false" ht="16.5" hidden="false" customHeight="true" outlineLevel="0" collapsed="false">
      <c r="B12" s="12" t="s">
        <v>219</v>
      </c>
      <c r="C12" s="12"/>
      <c r="D12" s="12"/>
      <c r="E12" s="12"/>
      <c r="F12" s="12"/>
      <c r="G12" s="12"/>
      <c r="H12" s="12"/>
      <c r="I12" s="12"/>
      <c r="J12" s="12"/>
      <c r="K12" s="12"/>
      <c r="L12" s="12"/>
      <c r="M12" s="12"/>
      <c r="N12" s="12"/>
      <c r="O12" s="12"/>
      <c r="P12" s="12"/>
      <c r="Q12" s="12"/>
      <c r="R12" s="12"/>
      <c r="S12" s="12"/>
      <c r="T12" s="12"/>
      <c r="U12" s="12"/>
      <c r="V12" s="12"/>
      <c r="W12" s="12"/>
      <c r="X12" s="15" t="n">
        <v>32000</v>
      </c>
      <c r="Y12" s="15"/>
      <c r="Z12" s="15"/>
      <c r="AA12" s="15"/>
      <c r="AB12" s="15"/>
      <c r="AC12" s="15"/>
    </row>
    <row r="13" customFormat="false" ht="16.5" hidden="false" customHeight="true" outlineLevel="0" collapsed="false">
      <c r="B13" s="12" t="s">
        <v>220</v>
      </c>
      <c r="C13" s="12"/>
      <c r="D13" s="12"/>
      <c r="E13" s="12"/>
      <c r="F13" s="12"/>
      <c r="G13" s="12"/>
      <c r="H13" s="12"/>
      <c r="I13" s="12"/>
      <c r="J13" s="12"/>
      <c r="K13" s="12"/>
      <c r="L13" s="12"/>
      <c r="M13" s="12"/>
      <c r="N13" s="12"/>
      <c r="O13" s="12"/>
      <c r="P13" s="12"/>
      <c r="Q13" s="12"/>
      <c r="R13" s="12"/>
      <c r="S13" s="12"/>
      <c r="T13" s="12"/>
      <c r="U13" s="12"/>
      <c r="V13" s="12"/>
      <c r="W13" s="12"/>
      <c r="X13" s="15" t="n">
        <v>750</v>
      </c>
      <c r="Y13" s="15"/>
      <c r="Z13" s="15"/>
      <c r="AA13" s="15"/>
      <c r="AB13" s="15"/>
      <c r="AC13" s="15"/>
    </row>
    <row r="14" customFormat="false" ht="16.5" hidden="false" customHeight="true" outlineLevel="0" collapsed="false">
      <c r="B14" s="12" t="s">
        <v>221</v>
      </c>
      <c r="C14" s="12"/>
      <c r="D14" s="12"/>
      <c r="E14" s="12"/>
      <c r="F14" s="12"/>
      <c r="G14" s="12"/>
      <c r="H14" s="12"/>
      <c r="I14" s="12"/>
      <c r="J14" s="12"/>
      <c r="K14" s="12"/>
      <c r="L14" s="12"/>
      <c r="M14" s="12"/>
      <c r="N14" s="12"/>
      <c r="O14" s="12"/>
      <c r="P14" s="12"/>
      <c r="Q14" s="12"/>
      <c r="R14" s="12"/>
      <c r="S14" s="12"/>
      <c r="T14" s="12"/>
      <c r="U14" s="12"/>
      <c r="V14" s="12"/>
      <c r="W14" s="12"/>
      <c r="X14" s="15" t="n">
        <v>3600</v>
      </c>
      <c r="Y14" s="15"/>
      <c r="Z14" s="15"/>
      <c r="AA14" s="15"/>
      <c r="AB14" s="15"/>
      <c r="AC14" s="15"/>
    </row>
    <row r="15" customFormat="false" ht="16.5" hidden="false" customHeight="true" outlineLevel="0" collapsed="false">
      <c r="B15" s="12" t="s">
        <v>222</v>
      </c>
      <c r="C15" s="12"/>
      <c r="D15" s="12"/>
      <c r="E15" s="12"/>
      <c r="F15" s="12"/>
      <c r="G15" s="12"/>
      <c r="H15" s="12"/>
      <c r="I15" s="12"/>
      <c r="J15" s="12"/>
      <c r="K15" s="12"/>
      <c r="L15" s="12"/>
      <c r="M15" s="12"/>
      <c r="N15" s="12"/>
      <c r="O15" s="12"/>
      <c r="P15" s="12"/>
      <c r="Q15" s="12"/>
      <c r="R15" s="12"/>
      <c r="S15" s="12"/>
      <c r="T15" s="12"/>
      <c r="U15" s="12"/>
      <c r="V15" s="12"/>
      <c r="W15" s="12"/>
      <c r="X15" s="35" t="n">
        <v>9</v>
      </c>
      <c r="Y15" s="35"/>
      <c r="Z15" s="35"/>
      <c r="AA15" s="35"/>
      <c r="AB15" s="35"/>
      <c r="AC15" s="35"/>
    </row>
    <row r="16" customFormat="false" ht="16.5" hidden="false" customHeight="true" outlineLevel="0" collapsed="false">
      <c r="B16" s="12" t="s">
        <v>223</v>
      </c>
      <c r="C16" s="12"/>
      <c r="D16" s="12"/>
      <c r="E16" s="12"/>
      <c r="F16" s="12"/>
      <c r="G16" s="12"/>
      <c r="H16" s="12"/>
      <c r="I16" s="12"/>
      <c r="J16" s="12"/>
      <c r="K16" s="12"/>
      <c r="L16" s="12"/>
      <c r="M16" s="12"/>
      <c r="N16" s="12"/>
      <c r="O16" s="12"/>
      <c r="P16" s="12"/>
      <c r="Q16" s="12"/>
      <c r="R16" s="12"/>
      <c r="S16" s="12"/>
      <c r="T16" s="12"/>
      <c r="U16" s="12"/>
      <c r="V16" s="12"/>
      <c r="W16" s="12"/>
      <c r="X16" s="15" t="n">
        <v>1000</v>
      </c>
      <c r="Y16" s="15"/>
      <c r="Z16" s="15"/>
      <c r="AA16" s="15"/>
      <c r="AB16" s="15"/>
      <c r="AC16" s="15"/>
    </row>
    <row r="17" customFormat="false" ht="16.5" hidden="false" customHeight="true" outlineLevel="0" collapsed="false">
      <c r="B17" s="12" t="s">
        <v>224</v>
      </c>
      <c r="C17" s="12"/>
      <c r="D17" s="12"/>
      <c r="E17" s="12"/>
      <c r="F17" s="12"/>
      <c r="G17" s="12"/>
      <c r="H17" s="12"/>
      <c r="I17" s="12"/>
      <c r="J17" s="12"/>
      <c r="K17" s="12"/>
      <c r="L17" s="12"/>
      <c r="M17" s="12"/>
      <c r="N17" s="12"/>
      <c r="O17" s="12"/>
      <c r="P17" s="12"/>
      <c r="Q17" s="12"/>
      <c r="R17" s="12"/>
      <c r="S17" s="12"/>
      <c r="T17" s="12"/>
      <c r="U17" s="12"/>
      <c r="V17" s="12"/>
      <c r="W17" s="12"/>
      <c r="X17" s="15" t="n">
        <v>1200</v>
      </c>
      <c r="Y17" s="15"/>
      <c r="Z17" s="15"/>
      <c r="AA17" s="15"/>
      <c r="AB17" s="15"/>
      <c r="AC17" s="15"/>
    </row>
    <row r="18" customFormat="false" ht="16.5" hidden="false" customHeight="true" outlineLevel="0" collapsed="false">
      <c r="B18" s="12" t="s">
        <v>225</v>
      </c>
      <c r="C18" s="12"/>
      <c r="D18" s="12"/>
      <c r="E18" s="12"/>
      <c r="F18" s="12"/>
      <c r="G18" s="12"/>
      <c r="H18" s="12"/>
      <c r="I18" s="12"/>
      <c r="J18" s="12"/>
      <c r="K18" s="12"/>
      <c r="L18" s="12"/>
      <c r="M18" s="12"/>
      <c r="N18" s="12"/>
      <c r="O18" s="12"/>
      <c r="P18" s="12"/>
      <c r="Q18" s="12"/>
      <c r="R18" s="12"/>
      <c r="S18" s="12"/>
      <c r="T18" s="12"/>
      <c r="U18" s="12"/>
      <c r="V18" s="12"/>
      <c r="W18" s="12"/>
      <c r="X18" s="15" t="n">
        <v>13000</v>
      </c>
      <c r="Y18" s="15"/>
      <c r="Z18" s="15"/>
      <c r="AA18" s="15"/>
      <c r="AB18" s="15"/>
      <c r="AC18" s="15"/>
    </row>
    <row r="19" customFormat="false" ht="16.5" hidden="false" customHeight="true" outlineLevel="0" collapsed="false">
      <c r="B19" s="12" t="s">
        <v>226</v>
      </c>
      <c r="C19" s="12"/>
      <c r="D19" s="12"/>
      <c r="E19" s="12"/>
      <c r="F19" s="12"/>
      <c r="G19" s="12"/>
      <c r="H19" s="12"/>
      <c r="I19" s="12"/>
      <c r="J19" s="12"/>
      <c r="K19" s="12"/>
      <c r="L19" s="12"/>
      <c r="M19" s="12"/>
      <c r="N19" s="12"/>
      <c r="O19" s="12"/>
      <c r="P19" s="12"/>
      <c r="Q19" s="12"/>
      <c r="R19" s="12"/>
      <c r="S19" s="12"/>
      <c r="T19" s="12"/>
      <c r="U19" s="12"/>
      <c r="V19" s="12"/>
      <c r="W19" s="12"/>
      <c r="X19" s="15" t="n">
        <v>21000</v>
      </c>
      <c r="Y19" s="15"/>
      <c r="Z19" s="15"/>
      <c r="AA19" s="15"/>
      <c r="AB19" s="15"/>
      <c r="AC19" s="15"/>
    </row>
    <row r="20" customFormat="false" ht="16.5" hidden="false" customHeight="true" outlineLevel="0" collapsed="false">
      <c r="B20" s="12" t="s">
        <v>227</v>
      </c>
      <c r="C20" s="12"/>
      <c r="D20" s="12"/>
      <c r="E20" s="12"/>
      <c r="F20" s="12"/>
      <c r="G20" s="12"/>
      <c r="H20" s="12"/>
      <c r="I20" s="12"/>
      <c r="J20" s="12"/>
      <c r="K20" s="12"/>
      <c r="L20" s="12"/>
      <c r="M20" s="12"/>
      <c r="N20" s="12"/>
      <c r="O20" s="12"/>
      <c r="P20" s="12"/>
      <c r="Q20" s="12"/>
      <c r="R20" s="12"/>
      <c r="S20" s="12"/>
      <c r="T20" s="12"/>
      <c r="U20" s="12"/>
      <c r="V20" s="12"/>
      <c r="W20" s="12"/>
      <c r="X20" s="15" t="n">
        <v>400</v>
      </c>
      <c r="Y20" s="15"/>
      <c r="Z20" s="15"/>
      <c r="AA20" s="15"/>
      <c r="AB20" s="15"/>
      <c r="AC20" s="15"/>
    </row>
    <row r="21" customFormat="false" ht="16.5" hidden="false" customHeight="true" outlineLevel="0" collapsed="false">
      <c r="B21" s="12" t="s">
        <v>228</v>
      </c>
      <c r="C21" s="12"/>
      <c r="D21" s="12"/>
      <c r="E21" s="12"/>
      <c r="F21" s="12"/>
      <c r="G21" s="12"/>
      <c r="H21" s="12"/>
      <c r="I21" s="12"/>
      <c r="J21" s="12"/>
      <c r="K21" s="12"/>
      <c r="L21" s="12"/>
      <c r="M21" s="12"/>
      <c r="N21" s="12"/>
      <c r="O21" s="12"/>
      <c r="P21" s="12"/>
      <c r="Q21" s="12"/>
      <c r="R21" s="12"/>
      <c r="S21" s="12"/>
      <c r="T21" s="12"/>
      <c r="U21" s="12"/>
      <c r="V21" s="12"/>
      <c r="W21" s="12"/>
      <c r="X21" s="15" t="n">
        <v>650</v>
      </c>
      <c r="Y21" s="15"/>
      <c r="Z21" s="15"/>
      <c r="AA21" s="15"/>
      <c r="AB21" s="15"/>
      <c r="AC21" s="15"/>
    </row>
    <row r="22" customFormat="false" ht="16.5" hidden="false" customHeight="true" outlineLevel="0" collapsed="false">
      <c r="B22" s="12" t="s">
        <v>229</v>
      </c>
      <c r="C22" s="12"/>
      <c r="D22" s="12"/>
      <c r="E22" s="12"/>
      <c r="F22" s="12"/>
      <c r="G22" s="12"/>
      <c r="H22" s="12"/>
      <c r="I22" s="12"/>
      <c r="J22" s="12"/>
      <c r="K22" s="12"/>
      <c r="L22" s="12"/>
      <c r="M22" s="12"/>
      <c r="N22" s="12"/>
      <c r="O22" s="12"/>
      <c r="P22" s="12"/>
      <c r="Q22" s="12"/>
      <c r="R22" s="12"/>
      <c r="S22" s="12"/>
      <c r="T22" s="12"/>
      <c r="U22" s="12"/>
      <c r="V22" s="12"/>
      <c r="W22" s="12"/>
      <c r="X22" s="15" t="n">
        <v>4500</v>
      </c>
      <c r="Y22" s="15"/>
      <c r="Z22" s="15"/>
      <c r="AA22" s="15"/>
      <c r="AB22" s="15"/>
      <c r="AC22" s="15"/>
    </row>
    <row r="23" customFormat="false" ht="16.5" hidden="false" customHeight="true" outlineLevel="0" collapsed="false">
      <c r="B23" s="12" t="s">
        <v>230</v>
      </c>
      <c r="C23" s="12"/>
      <c r="D23" s="12"/>
      <c r="E23" s="12"/>
      <c r="F23" s="12"/>
      <c r="G23" s="12"/>
      <c r="H23" s="12"/>
      <c r="I23" s="12"/>
      <c r="J23" s="12"/>
      <c r="K23" s="12"/>
      <c r="L23" s="12"/>
      <c r="M23" s="12"/>
      <c r="N23" s="12"/>
      <c r="O23" s="12"/>
      <c r="P23" s="12"/>
      <c r="Q23" s="12"/>
      <c r="R23" s="12"/>
      <c r="S23" s="12"/>
      <c r="T23" s="12"/>
      <c r="U23" s="12"/>
      <c r="V23" s="12"/>
      <c r="W23" s="12"/>
      <c r="X23" s="15" t="n">
        <v>300</v>
      </c>
      <c r="Y23" s="15"/>
      <c r="Z23" s="15"/>
      <c r="AA23" s="15"/>
      <c r="AB23" s="15"/>
      <c r="AC23" s="15"/>
    </row>
    <row r="24" customFormat="false" ht="16.5" hidden="false" customHeight="true" outlineLevel="0" collapsed="false">
      <c r="B24" s="12" t="s">
        <v>231</v>
      </c>
      <c r="C24" s="12"/>
      <c r="D24" s="12"/>
      <c r="E24" s="12"/>
      <c r="F24" s="12"/>
      <c r="G24" s="12"/>
      <c r="H24" s="12"/>
      <c r="I24" s="12"/>
      <c r="J24" s="12"/>
      <c r="K24" s="12"/>
      <c r="L24" s="12"/>
      <c r="M24" s="12"/>
      <c r="N24" s="12"/>
      <c r="O24" s="12"/>
      <c r="P24" s="12"/>
      <c r="Q24" s="12"/>
      <c r="R24" s="12"/>
      <c r="S24" s="12"/>
      <c r="T24" s="12"/>
      <c r="U24" s="12"/>
      <c r="V24" s="12"/>
      <c r="W24" s="12"/>
      <c r="X24" s="15" t="n">
        <v>500</v>
      </c>
      <c r="Y24" s="15"/>
      <c r="Z24" s="15"/>
      <c r="AA24" s="15"/>
      <c r="AB24" s="15"/>
      <c r="AC24" s="15"/>
    </row>
    <row r="25" customFormat="false" ht="16.5" hidden="false" customHeight="true" outlineLevel="0" collapsed="false">
      <c r="B25" s="12" t="s">
        <v>232</v>
      </c>
      <c r="C25" s="12"/>
      <c r="D25" s="12"/>
      <c r="E25" s="12"/>
      <c r="F25" s="12"/>
      <c r="G25" s="12"/>
      <c r="H25" s="12"/>
      <c r="I25" s="12"/>
      <c r="J25" s="12"/>
      <c r="K25" s="12"/>
      <c r="L25" s="12"/>
      <c r="M25" s="12"/>
      <c r="N25" s="12"/>
      <c r="O25" s="12"/>
      <c r="P25" s="12"/>
      <c r="Q25" s="12"/>
      <c r="R25" s="12"/>
      <c r="S25" s="12"/>
      <c r="T25" s="12"/>
      <c r="U25" s="12"/>
      <c r="V25" s="12"/>
      <c r="W25" s="12"/>
      <c r="X25" s="15" t="n">
        <v>120</v>
      </c>
      <c r="Y25" s="15"/>
      <c r="Z25" s="15"/>
      <c r="AA25" s="15"/>
      <c r="AB25" s="15"/>
      <c r="AC25" s="15"/>
    </row>
    <row r="28" customFormat="false" ht="18.75" hidden="false" customHeight="true" outlineLevel="0" collapsed="false">
      <c r="B28" s="3" t="s">
        <v>233</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ustomFormat="false" ht="17.25" hidden="false" customHeight="true" outlineLevel="0" collapsed="false">
      <c r="B29" s="36" t="s">
        <v>234</v>
      </c>
      <c r="C29" s="36"/>
      <c r="D29" s="36"/>
      <c r="E29" s="36"/>
      <c r="F29" s="36"/>
      <c r="G29" s="36"/>
      <c r="H29" s="36"/>
      <c r="I29" s="36"/>
      <c r="J29" s="36"/>
      <c r="K29" s="36"/>
      <c r="L29" s="36"/>
      <c r="M29" s="36"/>
      <c r="N29" s="36"/>
      <c r="O29" s="36"/>
      <c r="P29" s="36"/>
      <c r="Q29" s="36"/>
      <c r="R29" s="36"/>
      <c r="S29" s="36"/>
      <c r="T29" s="36"/>
      <c r="U29" s="36"/>
      <c r="V29" s="36"/>
      <c r="W29" s="36"/>
      <c r="X29" s="38"/>
      <c r="Y29" s="38"/>
      <c r="Z29" s="38"/>
      <c r="AA29" s="38"/>
      <c r="AB29" s="38"/>
      <c r="AC29" s="39" t="str">
        <f aca="false">IF(X29="","",IFERROR(IF(ABS(ABS(X29)-ABS('Q11.12 Ans'!X29))&lt;0.5,"✓","✗"),"✗"))</f>
        <v/>
      </c>
    </row>
    <row r="30" customFormat="false" ht="17.25" hidden="false" customHeight="true" outlineLevel="0" collapsed="false">
      <c r="B30" s="36" t="s">
        <v>235</v>
      </c>
      <c r="C30" s="36"/>
      <c r="D30" s="36"/>
      <c r="E30" s="36"/>
      <c r="F30" s="36"/>
      <c r="G30" s="36"/>
      <c r="H30" s="36"/>
      <c r="I30" s="36"/>
      <c r="J30" s="36"/>
      <c r="K30" s="36"/>
      <c r="L30" s="36"/>
      <c r="M30" s="36"/>
      <c r="N30" s="36"/>
      <c r="O30" s="36"/>
      <c r="P30" s="36"/>
      <c r="Q30" s="36"/>
      <c r="R30" s="36"/>
      <c r="S30" s="36"/>
      <c r="T30" s="36"/>
      <c r="U30" s="36"/>
      <c r="V30" s="36"/>
      <c r="W30" s="36"/>
      <c r="X30" s="38"/>
      <c r="Y30" s="38"/>
      <c r="Z30" s="38"/>
      <c r="AA30" s="38"/>
      <c r="AB30" s="38"/>
      <c r="AC30" s="39" t="str">
        <f aca="false">IF(X30="","",IFERROR(IF(ABS(ABS(X30)-ABS('Q11.12 Ans'!X30))&lt;0.5,"✓","✗"),"✗"))</f>
        <v/>
      </c>
    </row>
    <row r="31" customFormat="false" ht="17.25" hidden="false" customHeight="true" outlineLevel="0" collapsed="false">
      <c r="B31" s="36" t="s">
        <v>202</v>
      </c>
      <c r="C31" s="36"/>
      <c r="D31" s="36"/>
      <c r="E31" s="36"/>
      <c r="F31" s="36"/>
      <c r="G31" s="36"/>
      <c r="H31" s="36"/>
      <c r="I31" s="36"/>
      <c r="J31" s="36"/>
      <c r="K31" s="36"/>
      <c r="L31" s="36"/>
      <c r="M31" s="36"/>
      <c r="N31" s="36"/>
      <c r="O31" s="36"/>
      <c r="P31" s="36"/>
      <c r="Q31" s="36"/>
      <c r="R31" s="36"/>
      <c r="S31" s="36"/>
      <c r="T31" s="36"/>
      <c r="U31" s="36"/>
      <c r="V31" s="36"/>
      <c r="W31" s="36"/>
      <c r="X31" s="38"/>
      <c r="Y31" s="38"/>
      <c r="Z31" s="38"/>
      <c r="AA31" s="38"/>
      <c r="AB31" s="38"/>
      <c r="AC31" s="39" t="str">
        <f aca="false">IF(X31="","",IFERROR(IF(ABS(ABS(X31)-ABS('Q11.12 Ans'!X31))&lt;0.5,"✓","✗"),"✗"))</f>
        <v/>
      </c>
    </row>
    <row r="32" customFormat="false" ht="17.25" hidden="false" customHeight="true" outlineLevel="0" collapsed="false">
      <c r="B32" s="36" t="s">
        <v>236</v>
      </c>
      <c r="C32" s="36"/>
      <c r="D32" s="36"/>
      <c r="E32" s="36"/>
      <c r="F32" s="36"/>
      <c r="G32" s="36"/>
      <c r="H32" s="36"/>
      <c r="I32" s="36"/>
      <c r="J32" s="36"/>
      <c r="K32" s="36"/>
      <c r="L32" s="36"/>
      <c r="M32" s="36"/>
      <c r="N32" s="36"/>
      <c r="O32" s="36"/>
      <c r="P32" s="36"/>
      <c r="Q32" s="36"/>
      <c r="R32" s="36"/>
      <c r="S32" s="36"/>
      <c r="T32" s="36"/>
      <c r="U32" s="36"/>
      <c r="V32" s="36"/>
      <c r="W32" s="36"/>
      <c r="X32" s="38"/>
      <c r="Y32" s="38"/>
      <c r="Z32" s="38"/>
      <c r="AA32" s="38"/>
      <c r="AB32" s="38"/>
      <c r="AC32" s="39" t="str">
        <f aca="false">IF(X32="","",IFERROR(IF(ABS(ABS(X32)-ABS('Q11.12 Ans'!X32))&lt;0.5,"✓","✗"),"✗"))</f>
        <v/>
      </c>
    </row>
    <row r="34" customFormat="false" ht="18.75" hidden="false" customHeight="true" outlineLevel="0" collapsed="false">
      <c r="B34" s="3" t="s">
        <v>237</v>
      </c>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ustomFormat="false" ht="15" hidden="false" customHeight="false" outlineLevel="0" collapsed="false">
      <c r="B35" s="18" t="s">
        <v>238</v>
      </c>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row>
    <row r="36" customFormat="false" ht="15" hidden="false" customHeight="false" outlineLevel="0" collapsed="false">
      <c r="B36" s="43"/>
      <c r="C36" s="43"/>
      <c r="D36" s="43"/>
      <c r="E36" s="33" t="s">
        <v>68</v>
      </c>
      <c r="F36" s="33"/>
      <c r="G36" s="33"/>
      <c r="H36" s="33"/>
      <c r="I36" s="33"/>
      <c r="J36" s="33"/>
      <c r="K36" s="33"/>
      <c r="L36" s="33"/>
      <c r="M36" s="33"/>
      <c r="N36" s="33"/>
      <c r="O36" s="33"/>
      <c r="P36" s="33"/>
      <c r="Q36" s="33"/>
      <c r="R36" s="34" t="s">
        <v>72</v>
      </c>
      <c r="S36" s="34"/>
      <c r="T36" s="34"/>
      <c r="U36" s="34"/>
      <c r="V36" s="34"/>
      <c r="W36" s="34" t="s">
        <v>72</v>
      </c>
      <c r="X36" s="34"/>
      <c r="Y36" s="34"/>
      <c r="Z36" s="34"/>
      <c r="AA36" s="34"/>
      <c r="AB36" s="34" t="s">
        <v>72</v>
      </c>
      <c r="AC36" s="34"/>
      <c r="AD36" s="34"/>
      <c r="AE36" s="34"/>
      <c r="AF36" s="34"/>
    </row>
    <row r="37" customFormat="false" ht="17.25" hidden="false" customHeight="true" outlineLevel="0" collapsed="false">
      <c r="B37" s="44"/>
      <c r="C37" s="44"/>
      <c r="D37" s="44"/>
      <c r="E37" s="28" t="s">
        <v>239</v>
      </c>
      <c r="F37" s="28"/>
      <c r="G37" s="28"/>
      <c r="H37" s="28"/>
      <c r="I37" s="28"/>
      <c r="J37" s="28"/>
      <c r="K37" s="28"/>
      <c r="L37" s="28"/>
      <c r="M37" s="28"/>
      <c r="N37" s="28"/>
      <c r="O37" s="28"/>
      <c r="P37" s="28"/>
      <c r="Q37" s="28"/>
      <c r="AB37" s="38"/>
      <c r="AC37" s="38"/>
      <c r="AD37" s="38"/>
      <c r="AE37" s="38"/>
      <c r="AF37" s="39" t="str">
        <f aca="false">IF(AB37="","",IFERROR(IF(ABS(ABS(AB37)-ABS('Q11.12 Ans'!AB37))&lt;0.5,"✓","✗"),"✗"))</f>
        <v/>
      </c>
    </row>
    <row r="38" customFormat="false" ht="17.25" hidden="false" customHeight="true" outlineLevel="0" collapsed="false">
      <c r="B38" s="44" t="s">
        <v>240</v>
      </c>
      <c r="C38" s="44"/>
      <c r="D38" s="44"/>
      <c r="E38" s="28" t="s">
        <v>241</v>
      </c>
      <c r="F38" s="28"/>
      <c r="G38" s="28"/>
      <c r="H38" s="28"/>
      <c r="I38" s="28"/>
      <c r="J38" s="28"/>
      <c r="K38" s="28"/>
      <c r="L38" s="28"/>
      <c r="M38" s="28"/>
      <c r="N38" s="28"/>
      <c r="O38" s="28"/>
      <c r="P38" s="28"/>
      <c r="Q38" s="28"/>
      <c r="AB38" s="38"/>
      <c r="AC38" s="38"/>
      <c r="AD38" s="38"/>
      <c r="AE38" s="38"/>
      <c r="AF38" s="39" t="str">
        <f aca="false">IF(AB38="","",IFERROR(IF(ABS(ABS(AB38)-ABS('Q11.12 Ans'!AB38))&lt;0.5,"✓","✗"),"✗"))</f>
        <v/>
      </c>
    </row>
    <row r="39" customFormat="false" ht="17.25" hidden="false" customHeight="true" outlineLevel="0" collapsed="false">
      <c r="B39" s="44" t="s">
        <v>167</v>
      </c>
      <c r="C39" s="44"/>
      <c r="D39" s="44"/>
      <c r="E39" s="28" t="s">
        <v>242</v>
      </c>
      <c r="F39" s="28"/>
      <c r="G39" s="28"/>
      <c r="H39" s="28"/>
      <c r="I39" s="28"/>
      <c r="J39" s="28"/>
      <c r="K39" s="28"/>
      <c r="L39" s="28"/>
      <c r="M39" s="28"/>
      <c r="N39" s="28"/>
      <c r="O39" s="28"/>
      <c r="P39" s="28"/>
      <c r="Q39" s="28"/>
      <c r="AB39" s="38"/>
      <c r="AC39" s="38"/>
      <c r="AD39" s="38"/>
      <c r="AE39" s="38"/>
      <c r="AF39" s="39" t="str">
        <f aca="false">IF(AB39="","",IFERROR(IF(ABS(ABS(AB39)-ABS('Q11.12 Ans'!AB39))&lt;0.5,"✓","✗"),"✗"))</f>
        <v/>
      </c>
    </row>
    <row r="40" customFormat="false" ht="17.25" hidden="false" customHeight="true" outlineLevel="0" collapsed="false">
      <c r="B40" s="44" t="s">
        <v>167</v>
      </c>
      <c r="C40" s="44"/>
      <c r="D40" s="44"/>
      <c r="E40" s="28" t="s">
        <v>243</v>
      </c>
      <c r="F40" s="28"/>
      <c r="G40" s="28"/>
      <c r="H40" s="28"/>
      <c r="I40" s="28"/>
      <c r="J40" s="28"/>
      <c r="K40" s="28"/>
      <c r="L40" s="28"/>
      <c r="M40" s="28"/>
      <c r="N40" s="28"/>
      <c r="O40" s="28"/>
      <c r="P40" s="28"/>
      <c r="Q40" s="28"/>
      <c r="AB40" s="38"/>
      <c r="AC40" s="38"/>
      <c r="AD40" s="38"/>
      <c r="AE40" s="38"/>
      <c r="AF40" s="39" t="str">
        <f aca="false">IF(AB40="","",IFERROR(IF(ABS(ABS(AB40)-ABS('Q11.12 Ans'!AB40))&lt;0.5,"✓","✗"),"✗"))</f>
        <v/>
      </c>
    </row>
    <row r="41" customFormat="false" ht="17.25" hidden="false" customHeight="true" outlineLevel="0" collapsed="false">
      <c r="B41" s="44" t="s">
        <v>167</v>
      </c>
      <c r="C41" s="44"/>
      <c r="D41" s="44"/>
      <c r="E41" s="28" t="s">
        <v>244</v>
      </c>
      <c r="F41" s="28"/>
      <c r="G41" s="28"/>
      <c r="H41" s="28"/>
      <c r="I41" s="28"/>
      <c r="J41" s="28"/>
      <c r="K41" s="28"/>
      <c r="L41" s="28"/>
      <c r="M41" s="28"/>
      <c r="N41" s="28"/>
      <c r="O41" s="28"/>
      <c r="P41" s="28"/>
      <c r="Q41" s="28"/>
      <c r="AB41" s="38"/>
      <c r="AC41" s="38"/>
      <c r="AD41" s="38"/>
      <c r="AE41" s="38"/>
      <c r="AF41" s="39" t="str">
        <f aca="false">IF(AB41="","",IFERROR(IF(ABS(ABS(AB41)-ABS('Q11.12 Ans'!AB41))&lt;0.5,"✓","✗"),"✗"))</f>
        <v/>
      </c>
    </row>
    <row r="42" customFormat="false" ht="17.25" hidden="false" customHeight="true" outlineLevel="0" collapsed="false">
      <c r="B42" s="44" t="s">
        <v>240</v>
      </c>
      <c r="C42" s="44"/>
      <c r="D42" s="44"/>
      <c r="E42" s="28" t="s">
        <v>245</v>
      </c>
      <c r="F42" s="28"/>
      <c r="G42" s="28"/>
      <c r="H42" s="28"/>
      <c r="I42" s="28"/>
      <c r="J42" s="28"/>
      <c r="K42" s="28"/>
      <c r="L42" s="28"/>
      <c r="M42" s="28"/>
      <c r="N42" s="28"/>
      <c r="O42" s="28"/>
      <c r="P42" s="28"/>
      <c r="Q42" s="28"/>
      <c r="AB42" s="47"/>
      <c r="AC42" s="47"/>
      <c r="AD42" s="47"/>
      <c r="AE42" s="47"/>
      <c r="AF42" s="39" t="str">
        <f aca="false">IF(AB42="","",IFERROR(IF(ABS(ABS(AB42)-ABS('Q11.12 Ans'!AB42))&lt;0.5,"✓","✗"),"✗"))</f>
        <v/>
      </c>
    </row>
    <row r="43" customFormat="false" ht="17.25" hidden="false" customHeight="true" outlineLevel="0" collapsed="false">
      <c r="B43" s="44"/>
      <c r="C43" s="44"/>
      <c r="D43" s="44"/>
      <c r="E43" s="48" t="s">
        <v>246</v>
      </c>
      <c r="F43" s="48"/>
      <c r="G43" s="48"/>
      <c r="H43" s="48"/>
      <c r="I43" s="48"/>
      <c r="J43" s="48"/>
      <c r="K43" s="48"/>
      <c r="L43" s="48"/>
      <c r="M43" s="48"/>
      <c r="N43" s="48"/>
      <c r="O43" s="48"/>
      <c r="P43" s="48"/>
      <c r="Q43" s="48"/>
      <c r="AB43" s="42"/>
      <c r="AC43" s="42"/>
      <c r="AD43" s="42"/>
      <c r="AE43" s="42"/>
      <c r="AF43" s="39" t="str">
        <f aca="false">IF(AB43="","",IFERROR(IF(ABS(ABS(AB43)-ABS('Q11.12 Ans'!AB43))&lt;0.5,"✓","✗"),"✗"))</f>
        <v/>
      </c>
    </row>
    <row r="45" customFormat="false" ht="18.75" hidden="false" customHeight="true" outlineLevel="0" collapsed="false">
      <c r="B45" s="3" t="s">
        <v>247</v>
      </c>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ustomFormat="false" ht="17.25" hidden="false" customHeight="true" outlineLevel="0" collapsed="false">
      <c r="B46" s="36" t="s">
        <v>248</v>
      </c>
      <c r="C46" s="36"/>
      <c r="D46" s="36"/>
      <c r="E46" s="36"/>
      <c r="F46" s="36"/>
      <c r="G46" s="36"/>
      <c r="H46" s="36"/>
      <c r="I46" s="36"/>
      <c r="J46" s="36"/>
      <c r="K46" s="36"/>
      <c r="L46" s="36"/>
      <c r="M46" s="36"/>
      <c r="N46" s="36"/>
      <c r="O46" s="36"/>
      <c r="P46" s="36"/>
      <c r="Q46" s="36"/>
      <c r="R46" s="36"/>
      <c r="S46" s="36"/>
      <c r="T46" s="36"/>
      <c r="U46" s="36"/>
      <c r="V46" s="36"/>
      <c r="W46" s="36"/>
      <c r="X46" s="38"/>
      <c r="Y46" s="38"/>
      <c r="Z46" s="38"/>
      <c r="AA46" s="38"/>
      <c r="AB46" s="38"/>
      <c r="AC46" s="39" t="str">
        <f aca="false">IF(X46="","",IFERROR(IF(ABS(ABS(X46)-ABS('Q11.12 Ans'!X46))&lt;0.5,"✓","✗"),"✗"))</f>
        <v/>
      </c>
    </row>
    <row r="47" customFormat="false" ht="17.25" hidden="false" customHeight="true" outlineLevel="0" collapsed="false">
      <c r="B47" s="36" t="s">
        <v>249</v>
      </c>
      <c r="C47" s="36"/>
      <c r="D47" s="36"/>
      <c r="E47" s="36"/>
      <c r="F47" s="36"/>
      <c r="G47" s="36"/>
      <c r="H47" s="36"/>
      <c r="I47" s="36"/>
      <c r="J47" s="36"/>
      <c r="K47" s="36"/>
      <c r="L47" s="36"/>
      <c r="M47" s="36"/>
      <c r="N47" s="36"/>
      <c r="O47" s="36"/>
      <c r="P47" s="36"/>
      <c r="Q47" s="36"/>
      <c r="R47" s="36"/>
      <c r="S47" s="36"/>
      <c r="T47" s="36"/>
      <c r="U47" s="36"/>
      <c r="V47" s="36"/>
      <c r="W47" s="36"/>
      <c r="X47" s="38"/>
      <c r="Y47" s="38"/>
      <c r="Z47" s="38"/>
      <c r="AA47" s="38"/>
      <c r="AB47" s="38"/>
      <c r="AC47" s="39" t="str">
        <f aca="false">IF(X47="","",IFERROR(IF(ABS(ABS(X47)-ABS('Q11.12 Ans'!X47))&lt;0.5,"✓","✗"),"✗"))</f>
        <v/>
      </c>
    </row>
    <row r="49" customFormat="false" ht="18.75" hidden="false" customHeight="true" outlineLevel="0" collapsed="false">
      <c r="B49" s="3" t="s">
        <v>250</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ustomFormat="false" ht="15" hidden="false" customHeight="false" outlineLevel="0" collapsed="false">
      <c r="B50" s="17" t="s">
        <v>64</v>
      </c>
      <c r="C50" s="17"/>
      <c r="D50" s="17"/>
      <c r="E50" s="18" t="s">
        <v>85</v>
      </c>
      <c r="F50" s="18"/>
      <c r="G50" s="18"/>
      <c r="H50" s="18"/>
      <c r="I50" s="18"/>
      <c r="J50" s="18"/>
      <c r="K50" s="18"/>
      <c r="L50" s="18"/>
      <c r="M50" s="18"/>
      <c r="N50" s="18"/>
      <c r="O50" s="18"/>
      <c r="P50" s="18"/>
      <c r="Q50" s="18"/>
      <c r="R50" s="18"/>
      <c r="S50" s="18"/>
      <c r="T50" s="18"/>
      <c r="U50" s="18"/>
      <c r="V50" s="18"/>
      <c r="W50" s="18"/>
      <c r="X50" s="18"/>
      <c r="Y50" s="18"/>
      <c r="Z50" s="18"/>
      <c r="AA50" s="18"/>
      <c r="AB50" s="18"/>
      <c r="AC50" s="18"/>
      <c r="AD50" s="19" t="s">
        <v>66</v>
      </c>
      <c r="AE50" s="19"/>
      <c r="AF50" s="19"/>
    </row>
    <row r="51" customFormat="false" ht="15" hidden="false" customHeight="false" outlineLevel="0" collapsed="false">
      <c r="B51" s="20" t="s">
        <v>67</v>
      </c>
      <c r="C51" s="20"/>
      <c r="D51" s="20"/>
      <c r="E51" s="20" t="s">
        <v>68</v>
      </c>
      <c r="F51" s="20"/>
      <c r="G51" s="20"/>
      <c r="H51" s="20"/>
      <c r="I51" s="20"/>
      <c r="J51" s="20"/>
      <c r="K51" s="20"/>
      <c r="L51" s="21" t="s">
        <v>69</v>
      </c>
      <c r="M51" s="22" t="s">
        <v>70</v>
      </c>
      <c r="N51" s="22"/>
      <c r="O51" s="22"/>
      <c r="P51" s="22"/>
      <c r="Q51" s="23"/>
      <c r="R51" s="24" t="s">
        <v>67</v>
      </c>
      <c r="S51" s="24"/>
      <c r="T51" s="24"/>
      <c r="U51" s="20" t="s">
        <v>68</v>
      </c>
      <c r="V51" s="20"/>
      <c r="W51" s="20"/>
      <c r="X51" s="20"/>
      <c r="Y51" s="20"/>
      <c r="Z51" s="20"/>
      <c r="AA51" s="20"/>
      <c r="AB51" s="21" t="s">
        <v>69</v>
      </c>
      <c r="AC51" s="22" t="s">
        <v>70</v>
      </c>
      <c r="AD51" s="22"/>
      <c r="AE51" s="22"/>
      <c r="AF51" s="22"/>
    </row>
    <row r="52" customFormat="false" ht="16.5" hidden="false" customHeight="true" outlineLevel="0" collapsed="false">
      <c r="B52" s="25" t="s">
        <v>71</v>
      </c>
      <c r="C52" s="25"/>
      <c r="D52" s="25"/>
      <c r="M52" s="26" t="s">
        <v>72</v>
      </c>
      <c r="N52" s="26"/>
      <c r="O52" s="26"/>
      <c r="R52" s="27" t="s">
        <v>71</v>
      </c>
      <c r="S52" s="27"/>
      <c r="T52" s="27"/>
      <c r="AC52" s="26" t="s">
        <v>72</v>
      </c>
      <c r="AD52" s="26"/>
      <c r="AE52" s="26"/>
    </row>
    <row r="53" customFormat="false" ht="17.25" hidden="false" customHeight="true" outlineLevel="0" collapsed="false">
      <c r="B53" s="6" t="s">
        <v>73</v>
      </c>
      <c r="C53" s="6"/>
      <c r="D53" s="6"/>
      <c r="E53" s="28" t="s">
        <v>157</v>
      </c>
      <c r="F53" s="28"/>
      <c r="G53" s="28"/>
      <c r="H53" s="28"/>
      <c r="I53" s="28"/>
      <c r="J53" s="28"/>
      <c r="K53" s="28"/>
      <c r="L53" s="29"/>
      <c r="M53" s="38"/>
      <c r="N53" s="38"/>
      <c r="O53" s="38"/>
      <c r="P53" s="39" t="str">
        <f aca="false">IF(M53="","",IFERROR(IF(ABS(ABS(M53)-ABS('Q11.12 Ans'!M53))&lt;0.5,"✓","✗"),"✗"))</f>
        <v/>
      </c>
      <c r="R53" s="30" t="s">
        <v>78</v>
      </c>
      <c r="S53" s="30"/>
      <c r="T53" s="30"/>
      <c r="U53" s="28" t="s">
        <v>79</v>
      </c>
      <c r="V53" s="28"/>
      <c r="W53" s="28"/>
      <c r="X53" s="28"/>
      <c r="Y53" s="28"/>
      <c r="Z53" s="28"/>
      <c r="AA53" s="28"/>
      <c r="AB53" s="29" t="s">
        <v>80</v>
      </c>
      <c r="AC53" s="38"/>
      <c r="AD53" s="38"/>
      <c r="AE53" s="38"/>
      <c r="AF53" s="39" t="str">
        <f aca="false">IF(AC53="","",IFERROR(IF(ABS(ABS(AC53)-ABS('Q11.12 Ans'!AC53))&lt;0.5,"✓","✗"),"✗"))</f>
        <v/>
      </c>
    </row>
    <row r="54" customFormat="false" ht="17.25" hidden="false" customHeight="true" outlineLevel="0" collapsed="false">
      <c r="B54" s="6" t="s">
        <v>207</v>
      </c>
      <c r="C54" s="6"/>
      <c r="D54" s="6"/>
      <c r="E54" s="28" t="s">
        <v>153</v>
      </c>
      <c r="F54" s="28"/>
      <c r="G54" s="28"/>
      <c r="H54" s="28"/>
      <c r="I54" s="28"/>
      <c r="J54" s="28"/>
      <c r="K54" s="28"/>
      <c r="L54" s="29" t="s">
        <v>77</v>
      </c>
      <c r="M54" s="38"/>
      <c r="N54" s="38"/>
      <c r="O54" s="38"/>
      <c r="P54" s="39" t="str">
        <f aca="false">IF(M54="","",IFERROR(IF(ABS(ABS(M54)-ABS('Q11.12 Ans'!M54))&lt;0.5,"✓","✗"),"✗"))</f>
        <v/>
      </c>
      <c r="R54" s="30" t="s">
        <v>78</v>
      </c>
      <c r="S54" s="30"/>
      <c r="T54" s="30"/>
      <c r="U54" s="28" t="s">
        <v>156</v>
      </c>
      <c r="V54" s="28"/>
      <c r="W54" s="28"/>
      <c r="X54" s="28"/>
      <c r="Y54" s="28"/>
      <c r="Z54" s="28"/>
      <c r="AA54" s="28"/>
      <c r="AB54" s="29"/>
      <c r="AC54" s="38"/>
      <c r="AD54" s="38"/>
      <c r="AE54" s="38"/>
      <c r="AF54" s="39" t="str">
        <f aca="false">IF(AC54="","",IFERROR(IF(ABS(ABS(AC54)-ABS('Q11.12 Ans'!AC54))&lt;0.5,"✓","✗"),"✗"))</f>
        <v/>
      </c>
    </row>
    <row r="55" customFormat="false" ht="16.5" hidden="false" customHeight="true" outlineLevel="0" collapsed="false">
      <c r="M55" s="42"/>
      <c r="N55" s="42"/>
      <c r="O55" s="42"/>
      <c r="P55" s="39" t="str">
        <f aca="false">IF(M55="","",IFERROR(IF(ABS(ABS(M55)-ABS('Q11.12 Ans'!M55))&lt;0.5,"✓","✗"),"✗"))</f>
        <v/>
      </c>
      <c r="R55" s="32"/>
      <c r="AC55" s="42"/>
      <c r="AD55" s="42"/>
      <c r="AE55" s="42"/>
      <c r="AF55" s="39" t="str">
        <f aca="false">IF(AC55="","",IFERROR(IF(ABS(ABS(AC55)-ABS('Q11.12 Ans'!AC55))&lt;0.5,"✓","✗"),"✗"))</f>
        <v/>
      </c>
    </row>
    <row r="56" customFormat="false" ht="16.5" hidden="false" customHeight="true" outlineLevel="0" collapsed="false">
      <c r="B56" s="25" t="s">
        <v>83</v>
      </c>
      <c r="C56" s="25"/>
      <c r="D56" s="25"/>
      <c r="R56" s="32"/>
    </row>
    <row r="57" customFormat="false" ht="17.25" hidden="false" customHeight="true" outlineLevel="0" collapsed="false">
      <c r="B57" s="6" t="s">
        <v>73</v>
      </c>
      <c r="C57" s="6"/>
      <c r="D57" s="6"/>
      <c r="E57" s="28" t="s">
        <v>157</v>
      </c>
      <c r="F57" s="28"/>
      <c r="G57" s="28"/>
      <c r="H57" s="28"/>
      <c r="I57" s="28"/>
      <c r="J57" s="28"/>
      <c r="K57" s="28"/>
      <c r="L57" s="29"/>
      <c r="M57" s="38"/>
      <c r="N57" s="38"/>
      <c r="O57" s="38"/>
      <c r="P57" s="39" t="str">
        <f aca="false">IF(M57="","",IFERROR(IF(ABS(ABS(M57)-ABS('Q11.12 Ans'!M57))&lt;0.5,"✓","✗"),"✗"))</f>
        <v/>
      </c>
      <c r="R57" s="32"/>
    </row>
  </sheetData>
  <mergeCells count="114">
    <mergeCell ref="B1:AF1"/>
    <mergeCell ref="B2:AF2"/>
    <mergeCell ref="B3:G3"/>
    <mergeCell ref="H3:AF3"/>
    <mergeCell ref="B5:AF5"/>
    <mergeCell ref="C6:AF6"/>
    <mergeCell ref="C7:AF7"/>
    <mergeCell ref="C8:AF8"/>
    <mergeCell ref="C9:AF9"/>
    <mergeCell ref="C10:AF10"/>
    <mergeCell ref="B11:W11"/>
    <mergeCell ref="X11:AC11"/>
    <mergeCell ref="B12:W12"/>
    <mergeCell ref="X12:AC12"/>
    <mergeCell ref="B13:W13"/>
    <mergeCell ref="X13:AC13"/>
    <mergeCell ref="B14:W14"/>
    <mergeCell ref="X14:AC14"/>
    <mergeCell ref="B15:W15"/>
    <mergeCell ref="X15:AC15"/>
    <mergeCell ref="B16:W16"/>
    <mergeCell ref="X16:AC16"/>
    <mergeCell ref="B17:W17"/>
    <mergeCell ref="X17:AC17"/>
    <mergeCell ref="B18:W18"/>
    <mergeCell ref="X18:AC18"/>
    <mergeCell ref="B19:W19"/>
    <mergeCell ref="X19:AC19"/>
    <mergeCell ref="B20:W20"/>
    <mergeCell ref="X20:AC20"/>
    <mergeCell ref="B21:W21"/>
    <mergeCell ref="X21:AC21"/>
    <mergeCell ref="B22:W22"/>
    <mergeCell ref="X22:AC22"/>
    <mergeCell ref="B23:W23"/>
    <mergeCell ref="X23:AC23"/>
    <mergeCell ref="B24:W24"/>
    <mergeCell ref="X24:AC24"/>
    <mergeCell ref="B25:W25"/>
    <mergeCell ref="X25:AC25"/>
    <mergeCell ref="B28:AF28"/>
    <mergeCell ref="B29:W29"/>
    <mergeCell ref="X29:AB29"/>
    <mergeCell ref="B30:W30"/>
    <mergeCell ref="X30:AB30"/>
    <mergeCell ref="B31:W31"/>
    <mergeCell ref="X31:AB31"/>
    <mergeCell ref="B32:W32"/>
    <mergeCell ref="X32:AB32"/>
    <mergeCell ref="B34:AF34"/>
    <mergeCell ref="B35:AF35"/>
    <mergeCell ref="B36:D36"/>
    <mergeCell ref="E36:Q36"/>
    <mergeCell ref="R36:V36"/>
    <mergeCell ref="W36:AA36"/>
    <mergeCell ref="AB36:AF36"/>
    <mergeCell ref="B37:D37"/>
    <mergeCell ref="E37:Q37"/>
    <mergeCell ref="AB37:AE37"/>
    <mergeCell ref="B38:D38"/>
    <mergeCell ref="E38:Q38"/>
    <mergeCell ref="AB38:AE38"/>
    <mergeCell ref="B39:D39"/>
    <mergeCell ref="E39:Q39"/>
    <mergeCell ref="AB39:AE39"/>
    <mergeCell ref="B40:D40"/>
    <mergeCell ref="E40:Q40"/>
    <mergeCell ref="AB40:AE40"/>
    <mergeCell ref="B41:D41"/>
    <mergeCell ref="E41:Q41"/>
    <mergeCell ref="AB41:AE41"/>
    <mergeCell ref="B42:D42"/>
    <mergeCell ref="E42:Q42"/>
    <mergeCell ref="AB42:AE42"/>
    <mergeCell ref="B43:D43"/>
    <mergeCell ref="E43:Q43"/>
    <mergeCell ref="AB43:AE43"/>
    <mergeCell ref="B45:AF45"/>
    <mergeCell ref="B46:W46"/>
    <mergeCell ref="X46:AB46"/>
    <mergeCell ref="B47:W47"/>
    <mergeCell ref="X47:AB47"/>
    <mergeCell ref="B49:AF49"/>
    <mergeCell ref="B50:D50"/>
    <mergeCell ref="E50:AC50"/>
    <mergeCell ref="AD50:AF50"/>
    <mergeCell ref="B51:D51"/>
    <mergeCell ref="E51:K51"/>
    <mergeCell ref="M51:P51"/>
    <mergeCell ref="R51:T51"/>
    <mergeCell ref="U51:AA51"/>
    <mergeCell ref="AC51:AF51"/>
    <mergeCell ref="B52:D52"/>
    <mergeCell ref="M52:O52"/>
    <mergeCell ref="R52:T52"/>
    <mergeCell ref="AC52:AE52"/>
    <mergeCell ref="B53:D53"/>
    <mergeCell ref="E53:K53"/>
    <mergeCell ref="M53:O53"/>
    <mergeCell ref="R53:T53"/>
    <mergeCell ref="U53:AA53"/>
    <mergeCell ref="AC53:AE53"/>
    <mergeCell ref="B54:D54"/>
    <mergeCell ref="E54:K54"/>
    <mergeCell ref="M54:O54"/>
    <mergeCell ref="R54:T54"/>
    <mergeCell ref="U54:AA54"/>
    <mergeCell ref="AC54:AE54"/>
    <mergeCell ref="M55:O55"/>
    <mergeCell ref="AC55:AE55"/>
    <mergeCell ref="B56:D56"/>
    <mergeCell ref="B57:D57"/>
    <mergeCell ref="E57:K57"/>
    <mergeCell ref="M57:O57"/>
  </mergeCells>
  <conditionalFormatting sqref="B4:AG5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251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7" t="s">
        <v>123</v>
      </c>
      <c r="C3" s="17"/>
      <c r="D3" s="17"/>
      <c r="E3" s="17"/>
      <c r="F3" s="17"/>
      <c r="G3" s="17"/>
      <c r="H3" s="17" t="str">
        <f aca="false">COUNTIF(B4:AG32,"✓")&amp;" correct out of 8 answer cells"</f>
        <v>0 correct out of 8 answer cells</v>
      </c>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252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253</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254</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255</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5" hidden="false" customHeight="false" outlineLevel="0" collapsed="false">
      <c r="B9" s="33" t="s">
        <v>127</v>
      </c>
      <c r="C9" s="33"/>
      <c r="D9" s="33"/>
      <c r="E9" s="33"/>
      <c r="F9" s="33"/>
      <c r="G9" s="33"/>
      <c r="H9" s="33"/>
      <c r="I9" s="33"/>
      <c r="J9" s="33"/>
      <c r="K9" s="33"/>
      <c r="L9" s="33"/>
      <c r="M9" s="33"/>
      <c r="N9" s="33"/>
      <c r="O9" s="33"/>
      <c r="P9" s="33"/>
      <c r="Q9" s="33"/>
      <c r="R9" s="33"/>
      <c r="S9" s="33"/>
      <c r="T9" s="33"/>
      <c r="U9" s="33"/>
      <c r="V9" s="33"/>
      <c r="W9" s="33"/>
      <c r="X9" s="34" t="s">
        <v>114</v>
      </c>
      <c r="Y9" s="34"/>
      <c r="Z9" s="34"/>
      <c r="AA9" s="34"/>
      <c r="AB9" s="34"/>
      <c r="AC9" s="34"/>
    </row>
    <row r="10" customFormat="false" ht="16.5" hidden="false" customHeight="true" outlineLevel="0" collapsed="false">
      <c r="B10" s="12" t="s">
        <v>256</v>
      </c>
      <c r="C10" s="12"/>
      <c r="D10" s="12"/>
      <c r="E10" s="12"/>
      <c r="F10" s="12"/>
      <c r="G10" s="12"/>
      <c r="H10" s="12"/>
      <c r="I10" s="12"/>
      <c r="J10" s="12"/>
      <c r="K10" s="12"/>
      <c r="L10" s="12"/>
      <c r="M10" s="12"/>
      <c r="N10" s="12"/>
      <c r="O10" s="12"/>
      <c r="P10" s="12"/>
      <c r="Q10" s="12"/>
      <c r="R10" s="12"/>
      <c r="S10" s="12"/>
      <c r="T10" s="12"/>
      <c r="U10" s="12"/>
      <c r="V10" s="12"/>
      <c r="W10" s="12"/>
      <c r="X10" s="15" t="n">
        <v>420</v>
      </c>
      <c r="Y10" s="15"/>
      <c r="Z10" s="15"/>
      <c r="AA10" s="15"/>
      <c r="AB10" s="15"/>
      <c r="AC10" s="15"/>
    </row>
    <row r="11" customFormat="false" ht="16.5" hidden="false" customHeight="true" outlineLevel="0" collapsed="false">
      <c r="B11" s="12" t="s">
        <v>257</v>
      </c>
      <c r="C11" s="12"/>
      <c r="D11" s="12"/>
      <c r="E11" s="12"/>
      <c r="F11" s="12"/>
      <c r="G11" s="12"/>
      <c r="H11" s="12"/>
      <c r="I11" s="12"/>
      <c r="J11" s="12"/>
      <c r="K11" s="12"/>
      <c r="L11" s="12"/>
      <c r="M11" s="12"/>
      <c r="N11" s="12"/>
      <c r="O11" s="12"/>
      <c r="P11" s="12"/>
      <c r="Q11" s="12"/>
      <c r="R11" s="12"/>
      <c r="S11" s="12"/>
      <c r="T11" s="12"/>
      <c r="U11" s="12"/>
      <c r="V11" s="12"/>
      <c r="W11" s="12"/>
      <c r="X11" s="15" t="n">
        <v>2400</v>
      </c>
      <c r="Y11" s="15"/>
      <c r="Z11" s="15"/>
      <c r="AA11" s="15"/>
      <c r="AB11" s="15"/>
      <c r="AC11" s="15"/>
    </row>
    <row r="12" customFormat="false" ht="16.5" hidden="false" customHeight="true" outlineLevel="0" collapsed="false">
      <c r="B12" s="12" t="s">
        <v>150</v>
      </c>
      <c r="C12" s="12"/>
      <c r="D12" s="12"/>
      <c r="E12" s="12"/>
      <c r="F12" s="12"/>
      <c r="G12" s="12"/>
      <c r="H12" s="12"/>
      <c r="I12" s="12"/>
      <c r="J12" s="12"/>
      <c r="K12" s="12"/>
      <c r="L12" s="12"/>
      <c r="M12" s="12"/>
      <c r="N12" s="12"/>
      <c r="O12" s="12"/>
      <c r="P12" s="12"/>
      <c r="Q12" s="12"/>
      <c r="R12" s="12"/>
      <c r="S12" s="12"/>
      <c r="T12" s="12"/>
      <c r="U12" s="12"/>
      <c r="V12" s="12"/>
      <c r="W12" s="12"/>
      <c r="X12" s="35" t="n">
        <v>3</v>
      </c>
      <c r="Y12" s="35"/>
      <c r="Z12" s="35"/>
      <c r="AA12" s="35"/>
      <c r="AB12" s="35"/>
      <c r="AC12" s="35"/>
    </row>
    <row r="13" customFormat="false" ht="16.5" hidden="false" customHeight="true" outlineLevel="0" collapsed="false">
      <c r="B13" s="12" t="s">
        <v>258</v>
      </c>
      <c r="C13" s="12"/>
      <c r="D13" s="12"/>
      <c r="E13" s="12"/>
      <c r="F13" s="12"/>
      <c r="G13" s="12"/>
      <c r="H13" s="12"/>
      <c r="I13" s="12"/>
      <c r="J13" s="12"/>
      <c r="K13" s="12"/>
      <c r="L13" s="12"/>
      <c r="M13" s="12"/>
      <c r="N13" s="12"/>
      <c r="O13" s="12"/>
      <c r="P13" s="12"/>
      <c r="Q13" s="12"/>
      <c r="R13" s="12"/>
      <c r="S13" s="12"/>
      <c r="T13" s="12"/>
      <c r="U13" s="12"/>
      <c r="V13" s="12"/>
      <c r="W13" s="12"/>
      <c r="X13" s="15" t="n">
        <v>650</v>
      </c>
      <c r="Y13" s="15"/>
      <c r="Z13" s="15"/>
      <c r="AA13" s="15"/>
      <c r="AB13" s="15"/>
      <c r="AC13" s="15"/>
    </row>
    <row r="16" customFormat="false" ht="18.75" hidden="false" customHeight="true" outlineLevel="0" collapsed="false">
      <c r="B16" s="3" t="s">
        <v>259</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36" t="s">
        <v>260</v>
      </c>
      <c r="C17" s="36"/>
      <c r="D17" s="36"/>
      <c r="E17" s="36"/>
      <c r="F17" s="36"/>
      <c r="G17" s="36"/>
      <c r="H17" s="36"/>
      <c r="I17" s="36"/>
      <c r="J17" s="36"/>
      <c r="K17" s="36"/>
      <c r="L17" s="36"/>
      <c r="M17" s="36"/>
      <c r="N17" s="36"/>
      <c r="O17" s="36"/>
      <c r="P17" s="36"/>
      <c r="Q17" s="36"/>
      <c r="R17" s="36"/>
      <c r="S17" s="36"/>
      <c r="T17" s="36"/>
      <c r="U17" s="36"/>
      <c r="V17" s="36"/>
      <c r="W17" s="36"/>
      <c r="X17" s="38"/>
      <c r="Y17" s="38"/>
      <c r="Z17" s="38"/>
      <c r="AA17" s="38"/>
      <c r="AB17" s="38"/>
      <c r="AC17" s="39" t="str">
        <f aca="false">IF(X17="","",IFERROR(IF(ABS(ABS(X17)-ABS('QJ11.1 Ans'!X17))&lt;0.5,"✓","✗"),"✗"))</f>
        <v/>
      </c>
    </row>
    <row r="18" customFormat="false" ht="17.25" hidden="false" customHeight="true" outlineLevel="0" collapsed="false">
      <c r="B18" s="36" t="s">
        <v>261</v>
      </c>
      <c r="C18" s="36"/>
      <c r="D18" s="36"/>
      <c r="E18" s="36"/>
      <c r="F18" s="36"/>
      <c r="G18" s="36"/>
      <c r="H18" s="36"/>
      <c r="I18" s="36"/>
      <c r="J18" s="36"/>
      <c r="K18" s="36"/>
      <c r="L18" s="36"/>
      <c r="M18" s="36"/>
      <c r="N18" s="36"/>
      <c r="O18" s="36"/>
      <c r="P18" s="36"/>
      <c r="Q18" s="36"/>
      <c r="R18" s="36"/>
      <c r="S18" s="36"/>
      <c r="T18" s="36"/>
      <c r="U18" s="36"/>
      <c r="V18" s="36"/>
      <c r="W18" s="36"/>
      <c r="X18" s="38"/>
      <c r="Y18" s="38"/>
      <c r="Z18" s="38"/>
      <c r="AA18" s="38"/>
      <c r="AB18" s="38"/>
      <c r="AC18" s="39" t="str">
        <f aca="false">IF(X18="","",IFERROR(IF(ABS(ABS(X18)-ABS('QJ11.1 Ans'!X18))&lt;0.5,"✓","✗"),"✗"))</f>
        <v/>
      </c>
    </row>
    <row r="20" customFormat="false" ht="18.75" hidden="false" customHeight="true" outlineLevel="0" collapsed="false">
      <c r="B20" s="3" t="s">
        <v>262</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5" hidden="false" customHeight="false" outlineLevel="0" collapsed="false">
      <c r="B21" s="33" t="s">
        <v>67</v>
      </c>
      <c r="C21" s="33"/>
      <c r="D21" s="33"/>
      <c r="E21" s="33" t="s">
        <v>68</v>
      </c>
      <c r="F21" s="33"/>
      <c r="G21" s="33"/>
      <c r="H21" s="33"/>
      <c r="I21" s="33"/>
      <c r="J21" s="33"/>
      <c r="K21" s="33"/>
      <c r="L21" s="33"/>
      <c r="M21" s="33"/>
      <c r="N21" s="33"/>
      <c r="O21" s="33"/>
      <c r="P21" s="33"/>
      <c r="Q21" s="33"/>
      <c r="R21" s="33"/>
      <c r="S21" s="33"/>
      <c r="T21" s="33"/>
      <c r="U21" s="34" t="s">
        <v>263</v>
      </c>
      <c r="V21" s="34"/>
      <c r="W21" s="34"/>
      <c r="X21" s="34"/>
      <c r="Y21" s="34"/>
      <c r="Z21" s="34"/>
      <c r="AA21" s="34" t="s">
        <v>264</v>
      </c>
      <c r="AB21" s="34"/>
      <c r="AC21" s="34"/>
      <c r="AD21" s="34"/>
      <c r="AE21" s="34"/>
      <c r="AF21" s="34"/>
    </row>
    <row r="22" customFormat="false" ht="16.5" hidden="false" customHeight="true" outlineLevel="0" collapsed="false">
      <c r="B22" s="49" t="s">
        <v>71</v>
      </c>
      <c r="C22" s="49"/>
      <c r="D22" s="49"/>
      <c r="E22" s="50"/>
      <c r="F22" s="50"/>
      <c r="G22" s="50"/>
      <c r="H22" s="50"/>
      <c r="I22" s="50"/>
      <c r="J22" s="50"/>
      <c r="K22" s="50"/>
      <c r="L22" s="50"/>
      <c r="M22" s="50"/>
      <c r="N22" s="50"/>
      <c r="O22" s="50"/>
      <c r="P22" s="50"/>
      <c r="Q22" s="50"/>
      <c r="R22" s="50"/>
      <c r="S22" s="50"/>
      <c r="T22" s="50"/>
      <c r="U22" s="51" t="s">
        <v>72</v>
      </c>
      <c r="V22" s="51"/>
      <c r="W22" s="51"/>
      <c r="X22" s="51"/>
      <c r="Y22" s="51"/>
      <c r="Z22" s="51"/>
      <c r="AA22" s="51" t="s">
        <v>72</v>
      </c>
      <c r="AB22" s="51"/>
      <c r="AC22" s="51"/>
      <c r="AD22" s="51"/>
      <c r="AE22" s="51"/>
      <c r="AF22" s="51"/>
    </row>
    <row r="23" customFormat="false" ht="16.5" hidden="false" customHeight="true" outlineLevel="0" collapsed="false">
      <c r="B23" s="50" t="s">
        <v>78</v>
      </c>
      <c r="C23" s="50"/>
      <c r="D23" s="50"/>
      <c r="E23" s="50" t="s">
        <v>56</v>
      </c>
      <c r="F23" s="50"/>
      <c r="G23" s="50"/>
      <c r="H23" s="50"/>
      <c r="I23" s="50"/>
      <c r="J23" s="50"/>
      <c r="K23" s="50"/>
      <c r="L23" s="50"/>
      <c r="M23" s="50"/>
      <c r="N23" s="50"/>
      <c r="O23" s="50"/>
      <c r="P23" s="50"/>
      <c r="Q23" s="50"/>
      <c r="R23" s="50"/>
      <c r="S23" s="50"/>
      <c r="T23" s="50"/>
      <c r="U23" s="38"/>
      <c r="V23" s="38"/>
      <c r="W23" s="38"/>
      <c r="X23" s="38"/>
      <c r="Y23" s="38"/>
      <c r="Z23" s="51" t="str">
        <f aca="false">IF(U23="","",IFERROR(IF(ABS(ABS(U23)-ABS('QJ11.1 Ans'!U23))&lt;0.5,"✓","✗"),"✗"))</f>
        <v/>
      </c>
      <c r="AA23" s="50"/>
      <c r="AB23" s="50"/>
      <c r="AC23" s="50"/>
      <c r="AD23" s="50"/>
      <c r="AE23" s="50"/>
      <c r="AF23" s="50"/>
    </row>
    <row r="24" customFormat="false" ht="16.5" hidden="false" customHeight="true" outlineLevel="0" collapsed="false">
      <c r="B24" s="50"/>
      <c r="C24" s="50"/>
      <c r="D24" s="50"/>
      <c r="E24" s="52" t="s">
        <v>265</v>
      </c>
      <c r="F24" s="52"/>
      <c r="G24" s="52"/>
      <c r="H24" s="52"/>
      <c r="I24" s="52"/>
      <c r="J24" s="52"/>
      <c r="K24" s="52"/>
      <c r="L24" s="52"/>
      <c r="M24" s="52"/>
      <c r="N24" s="52"/>
      <c r="O24" s="52"/>
      <c r="P24" s="52"/>
      <c r="Q24" s="52"/>
      <c r="R24" s="52"/>
      <c r="S24" s="52"/>
      <c r="T24" s="52"/>
      <c r="U24" s="50"/>
      <c r="V24" s="50"/>
      <c r="W24" s="50"/>
      <c r="X24" s="50"/>
      <c r="Y24" s="50"/>
      <c r="Z24" s="50"/>
      <c r="AA24" s="38"/>
      <c r="AB24" s="38"/>
      <c r="AC24" s="38"/>
      <c r="AD24" s="38"/>
      <c r="AE24" s="38"/>
      <c r="AF24" s="51" t="str">
        <f aca="false">IF(AA24="","",IFERROR(IF(ABS(ABS(AA24)-ABS('QJ11.1 Ans'!AA24))&lt;0.5,"✓","✗"),"✗"))</f>
        <v/>
      </c>
    </row>
    <row r="25" customFormat="false" ht="17.25" hidden="false" customHeight="true" outlineLevel="0" collapsed="false">
      <c r="B25" s="50"/>
      <c r="C25" s="50"/>
      <c r="D25" s="50"/>
      <c r="E25" s="53" t="s">
        <v>266</v>
      </c>
      <c r="F25" s="53"/>
      <c r="G25" s="53"/>
      <c r="H25" s="53"/>
      <c r="I25" s="53"/>
      <c r="J25" s="53"/>
      <c r="K25" s="53"/>
      <c r="L25" s="53"/>
      <c r="M25" s="53"/>
      <c r="N25" s="53"/>
      <c r="O25" s="53"/>
      <c r="P25" s="53"/>
      <c r="Q25" s="53"/>
      <c r="R25" s="53"/>
      <c r="S25" s="53"/>
      <c r="T25" s="53"/>
      <c r="U25" s="50"/>
      <c r="V25" s="50"/>
      <c r="W25" s="50"/>
      <c r="X25" s="50"/>
      <c r="Y25" s="50"/>
      <c r="Z25" s="50"/>
      <c r="AA25" s="50"/>
      <c r="AB25" s="50"/>
      <c r="AC25" s="50"/>
      <c r="AD25" s="50"/>
      <c r="AE25" s="50"/>
      <c r="AF25" s="50"/>
    </row>
    <row r="26" customFormat="false" ht="16.5" hidden="false" customHeight="true" outlineLevel="0" collapsed="false">
      <c r="B26" s="50" t="s">
        <v>78</v>
      </c>
      <c r="C26" s="50"/>
      <c r="D26" s="50"/>
      <c r="E26" s="50" t="s">
        <v>267</v>
      </c>
      <c r="F26" s="50"/>
      <c r="G26" s="50"/>
      <c r="H26" s="50"/>
      <c r="I26" s="50"/>
      <c r="J26" s="50"/>
      <c r="K26" s="50"/>
      <c r="L26" s="50"/>
      <c r="M26" s="50"/>
      <c r="N26" s="50"/>
      <c r="O26" s="50"/>
      <c r="P26" s="50"/>
      <c r="Q26" s="50"/>
      <c r="R26" s="50"/>
      <c r="S26" s="50"/>
      <c r="T26" s="50"/>
      <c r="U26" s="38"/>
      <c r="V26" s="38"/>
      <c r="W26" s="38"/>
      <c r="X26" s="38"/>
      <c r="Y26" s="38"/>
      <c r="Z26" s="51" t="str">
        <f aca="false">IF(U26="","",IFERROR(IF(ABS(ABS(U26)-ABS('QJ11.1 Ans'!U26))&lt;0.5,"✓","✗"),"✗"))</f>
        <v/>
      </c>
      <c r="AA26" s="50"/>
      <c r="AB26" s="50"/>
      <c r="AC26" s="50"/>
      <c r="AD26" s="50"/>
      <c r="AE26" s="50"/>
      <c r="AF26" s="50"/>
    </row>
    <row r="27" customFormat="false" ht="16.5" hidden="false" customHeight="true" outlineLevel="0" collapsed="false">
      <c r="B27" s="50"/>
      <c r="C27" s="50"/>
      <c r="D27" s="50"/>
      <c r="E27" s="52" t="s">
        <v>55</v>
      </c>
      <c r="F27" s="52"/>
      <c r="G27" s="52"/>
      <c r="H27" s="52"/>
      <c r="I27" s="52"/>
      <c r="J27" s="52"/>
      <c r="K27" s="52"/>
      <c r="L27" s="52"/>
      <c r="M27" s="52"/>
      <c r="N27" s="52"/>
      <c r="O27" s="52"/>
      <c r="P27" s="52"/>
      <c r="Q27" s="52"/>
      <c r="R27" s="52"/>
      <c r="S27" s="52"/>
      <c r="T27" s="52"/>
      <c r="U27" s="50"/>
      <c r="V27" s="50"/>
      <c r="W27" s="50"/>
      <c r="X27" s="50"/>
      <c r="Y27" s="50"/>
      <c r="Z27" s="50"/>
      <c r="AA27" s="38"/>
      <c r="AB27" s="38"/>
      <c r="AC27" s="38"/>
      <c r="AD27" s="38"/>
      <c r="AE27" s="38"/>
      <c r="AF27" s="51" t="str">
        <f aca="false">IF(AA27="","",IFERROR(IF(ABS(ABS(AA27)-ABS('QJ11.1 Ans'!AA27))&lt;0.5,"✓","✗"),"✗"))</f>
        <v/>
      </c>
    </row>
    <row r="28" customFormat="false" ht="17.25" hidden="false" customHeight="true" outlineLevel="0" collapsed="false">
      <c r="B28" s="50"/>
      <c r="C28" s="50"/>
      <c r="D28" s="50"/>
      <c r="E28" s="53" t="s">
        <v>268</v>
      </c>
      <c r="F28" s="53"/>
      <c r="G28" s="53"/>
      <c r="H28" s="53"/>
      <c r="I28" s="53"/>
      <c r="J28" s="53"/>
      <c r="K28" s="53"/>
      <c r="L28" s="53"/>
      <c r="M28" s="53"/>
      <c r="N28" s="53"/>
      <c r="O28" s="53"/>
      <c r="P28" s="53"/>
      <c r="Q28" s="53"/>
      <c r="R28" s="53"/>
      <c r="S28" s="53"/>
      <c r="T28" s="53"/>
      <c r="U28" s="50"/>
      <c r="V28" s="50"/>
      <c r="W28" s="50"/>
      <c r="X28" s="50"/>
      <c r="Y28" s="50"/>
      <c r="Z28" s="50"/>
      <c r="AA28" s="50"/>
      <c r="AB28" s="50"/>
      <c r="AC28" s="50"/>
      <c r="AD28" s="50"/>
      <c r="AE28" s="50"/>
      <c r="AF28" s="50"/>
    </row>
    <row r="29" customFormat="false" ht="16.5" hidden="false" customHeight="true" outlineLevel="0" collapsed="false">
      <c r="B29" s="50" t="s">
        <v>78</v>
      </c>
      <c r="C29" s="50"/>
      <c r="D29" s="50"/>
      <c r="E29" s="50" t="s">
        <v>191</v>
      </c>
      <c r="F29" s="50"/>
      <c r="G29" s="50"/>
      <c r="H29" s="50"/>
      <c r="I29" s="50"/>
      <c r="J29" s="50"/>
      <c r="K29" s="50"/>
      <c r="L29" s="50"/>
      <c r="M29" s="50"/>
      <c r="N29" s="50"/>
      <c r="O29" s="50"/>
      <c r="P29" s="50"/>
      <c r="Q29" s="50"/>
      <c r="R29" s="50"/>
      <c r="S29" s="50"/>
      <c r="T29" s="50"/>
      <c r="U29" s="38"/>
      <c r="V29" s="38"/>
      <c r="W29" s="38"/>
      <c r="X29" s="38"/>
      <c r="Y29" s="38"/>
      <c r="Z29" s="51" t="str">
        <f aca="false">IF(U29="","",IFERROR(IF(ABS(ABS(U29)-ABS('QJ11.1 Ans'!U29))&lt;0.5,"✓","✗"),"✗"))</f>
        <v/>
      </c>
      <c r="AA29" s="50"/>
      <c r="AB29" s="50"/>
      <c r="AC29" s="50"/>
      <c r="AD29" s="50"/>
      <c r="AE29" s="50"/>
      <c r="AF29" s="50"/>
    </row>
    <row r="30" customFormat="false" ht="16.5" hidden="false" customHeight="true" outlineLevel="0" collapsed="false">
      <c r="B30" s="50"/>
      <c r="C30" s="50"/>
      <c r="D30" s="50"/>
      <c r="E30" s="52" t="s">
        <v>265</v>
      </c>
      <c r="F30" s="52"/>
      <c r="G30" s="52"/>
      <c r="H30" s="52"/>
      <c r="I30" s="52"/>
      <c r="J30" s="52"/>
      <c r="K30" s="52"/>
      <c r="L30" s="52"/>
      <c r="M30" s="52"/>
      <c r="N30" s="52"/>
      <c r="O30" s="52"/>
      <c r="P30" s="52"/>
      <c r="Q30" s="52"/>
      <c r="R30" s="52"/>
      <c r="S30" s="52"/>
      <c r="T30" s="52"/>
      <c r="U30" s="50"/>
      <c r="V30" s="50"/>
      <c r="W30" s="50"/>
      <c r="X30" s="50"/>
      <c r="Y30" s="50"/>
      <c r="Z30" s="50"/>
      <c r="AA30" s="38"/>
      <c r="AB30" s="38"/>
      <c r="AC30" s="38"/>
      <c r="AD30" s="38"/>
      <c r="AE30" s="38"/>
      <c r="AF30" s="51" t="str">
        <f aca="false">IF(AA30="","",IFERROR(IF(ABS(ABS(AA30)-ABS('QJ11.1 Ans'!AA30))&lt;0.5,"✓","✗"),"✗"))</f>
        <v/>
      </c>
    </row>
    <row r="31" customFormat="false" ht="17.25" hidden="false" customHeight="true" outlineLevel="0" collapsed="false">
      <c r="B31" s="50"/>
      <c r="C31" s="50"/>
      <c r="D31" s="50"/>
      <c r="E31" s="53" t="s">
        <v>269</v>
      </c>
      <c r="F31" s="53"/>
      <c r="G31" s="53"/>
      <c r="H31" s="53"/>
      <c r="I31" s="53"/>
      <c r="J31" s="53"/>
      <c r="K31" s="53"/>
      <c r="L31" s="53"/>
      <c r="M31" s="53"/>
      <c r="N31" s="53"/>
      <c r="O31" s="53"/>
      <c r="P31" s="53"/>
      <c r="Q31" s="53"/>
      <c r="R31" s="53"/>
      <c r="S31" s="53"/>
      <c r="T31" s="53"/>
      <c r="U31" s="50"/>
      <c r="V31" s="50"/>
      <c r="W31" s="50"/>
      <c r="X31" s="50"/>
      <c r="Y31" s="50"/>
      <c r="Z31" s="50"/>
      <c r="AA31" s="50"/>
      <c r="AB31" s="50"/>
      <c r="AC31" s="50"/>
      <c r="AD31" s="50"/>
      <c r="AE31" s="50"/>
      <c r="AF31" s="50"/>
    </row>
  </sheetData>
  <mergeCells count="68">
    <mergeCell ref="B1:AF1"/>
    <mergeCell ref="B2:AF2"/>
    <mergeCell ref="B3:G3"/>
    <mergeCell ref="H3:AF3"/>
    <mergeCell ref="B5:AF5"/>
    <mergeCell ref="C6:AF6"/>
    <mergeCell ref="C7:AF7"/>
    <mergeCell ref="C8:AF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20:AF20"/>
    <mergeCell ref="B21:D21"/>
    <mergeCell ref="E21:T21"/>
    <mergeCell ref="U21:Z21"/>
    <mergeCell ref="AA21:AF21"/>
    <mergeCell ref="B22:D22"/>
    <mergeCell ref="E22:T22"/>
    <mergeCell ref="U22:Z22"/>
    <mergeCell ref="AA22:AF22"/>
    <mergeCell ref="B23:D23"/>
    <mergeCell ref="E23:T23"/>
    <mergeCell ref="U23:Y23"/>
    <mergeCell ref="AA23:AF23"/>
    <mergeCell ref="B24:D24"/>
    <mergeCell ref="E24:T24"/>
    <mergeCell ref="U24:Z24"/>
    <mergeCell ref="AA24:AE24"/>
    <mergeCell ref="B25:D25"/>
    <mergeCell ref="E25:T25"/>
    <mergeCell ref="U25:Z25"/>
    <mergeCell ref="AA25:AF25"/>
    <mergeCell ref="B26:D26"/>
    <mergeCell ref="E26:T26"/>
    <mergeCell ref="U26:Y26"/>
    <mergeCell ref="AA26:AF26"/>
    <mergeCell ref="B27:D27"/>
    <mergeCell ref="E27:T27"/>
    <mergeCell ref="U27:Z27"/>
    <mergeCell ref="AA27:AE27"/>
    <mergeCell ref="B28:D28"/>
    <mergeCell ref="E28:T28"/>
    <mergeCell ref="U28:Z28"/>
    <mergeCell ref="AA28:AF28"/>
    <mergeCell ref="B29:D29"/>
    <mergeCell ref="E29:T29"/>
    <mergeCell ref="U29:Y29"/>
    <mergeCell ref="AA29:AF29"/>
    <mergeCell ref="B30:D30"/>
    <mergeCell ref="E30:T30"/>
    <mergeCell ref="U30:Z30"/>
    <mergeCell ref="AA30:AE30"/>
    <mergeCell ref="B31:D31"/>
    <mergeCell ref="E31:T31"/>
    <mergeCell ref="U31:Z31"/>
    <mergeCell ref="AA31:AF31"/>
  </mergeCells>
  <conditionalFormatting sqref="B4: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7" t="s">
        <v>123</v>
      </c>
      <c r="C3" s="17"/>
      <c r="D3" s="17"/>
      <c r="E3" s="17"/>
      <c r="F3" s="17"/>
      <c r="G3" s="17"/>
      <c r="H3" s="17" t="str">
        <f aca="false">COUNTIF(B4:AG32,"✓")&amp;" correct out of 8 answer cells"</f>
        <v>0 correct out of 8 answer cells</v>
      </c>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252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271</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272</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273</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5" hidden="false" customHeight="false" outlineLevel="0" collapsed="false">
      <c r="B9" s="33" t="s">
        <v>127</v>
      </c>
      <c r="C9" s="33"/>
      <c r="D9" s="33"/>
      <c r="E9" s="33"/>
      <c r="F9" s="33"/>
      <c r="G9" s="33"/>
      <c r="H9" s="33"/>
      <c r="I9" s="33"/>
      <c r="J9" s="33"/>
      <c r="K9" s="33"/>
      <c r="L9" s="33"/>
      <c r="M9" s="33"/>
      <c r="N9" s="33"/>
      <c r="O9" s="33"/>
      <c r="P9" s="33"/>
      <c r="Q9" s="33"/>
      <c r="R9" s="33"/>
      <c r="S9" s="33"/>
      <c r="T9" s="33"/>
      <c r="U9" s="33"/>
      <c r="V9" s="33"/>
      <c r="W9" s="33"/>
      <c r="X9" s="34" t="s">
        <v>114</v>
      </c>
      <c r="Y9" s="34"/>
      <c r="Z9" s="34"/>
      <c r="AA9" s="34"/>
      <c r="AB9" s="34"/>
      <c r="AC9" s="34"/>
    </row>
    <row r="10" customFormat="false" ht="16.5" hidden="false" customHeight="true" outlineLevel="0" collapsed="false">
      <c r="B10" s="12" t="s">
        <v>128</v>
      </c>
      <c r="C10" s="12"/>
      <c r="D10" s="12"/>
      <c r="E10" s="12"/>
      <c r="F10" s="12"/>
      <c r="G10" s="12"/>
      <c r="H10" s="12"/>
      <c r="I10" s="12"/>
      <c r="J10" s="12"/>
      <c r="K10" s="12"/>
      <c r="L10" s="12"/>
      <c r="M10" s="12"/>
      <c r="N10" s="12"/>
      <c r="O10" s="12"/>
      <c r="P10" s="12"/>
      <c r="Q10" s="12"/>
      <c r="R10" s="12"/>
      <c r="S10" s="12"/>
      <c r="T10" s="12"/>
      <c r="U10" s="12"/>
      <c r="V10" s="12"/>
      <c r="W10" s="12"/>
      <c r="X10" s="15" t="n">
        <v>500</v>
      </c>
      <c r="Y10" s="15"/>
      <c r="Z10" s="15"/>
      <c r="AA10" s="15"/>
      <c r="AB10" s="15"/>
      <c r="AC10" s="15"/>
    </row>
    <row r="11" customFormat="false" ht="16.5" hidden="false" customHeight="true" outlineLevel="0" collapsed="false">
      <c r="B11" s="12" t="s">
        <v>229</v>
      </c>
      <c r="C11" s="12"/>
      <c r="D11" s="12"/>
      <c r="E11" s="12"/>
      <c r="F11" s="12"/>
      <c r="G11" s="12"/>
      <c r="H11" s="12"/>
      <c r="I11" s="12"/>
      <c r="J11" s="12"/>
      <c r="K11" s="12"/>
      <c r="L11" s="12"/>
      <c r="M11" s="12"/>
      <c r="N11" s="12"/>
      <c r="O11" s="12"/>
      <c r="P11" s="12"/>
      <c r="Q11" s="12"/>
      <c r="R11" s="12"/>
      <c r="S11" s="12"/>
      <c r="T11" s="12"/>
      <c r="U11" s="12"/>
      <c r="V11" s="12"/>
      <c r="W11" s="12"/>
      <c r="X11" s="15" t="n">
        <v>6500</v>
      </c>
      <c r="Y11" s="15"/>
      <c r="Z11" s="15"/>
      <c r="AA11" s="15"/>
      <c r="AB11" s="15"/>
      <c r="AC11" s="15"/>
    </row>
    <row r="12" customFormat="false" ht="16.5" hidden="false" customHeight="true" outlineLevel="0" collapsed="false">
      <c r="B12" s="12" t="s">
        <v>274</v>
      </c>
      <c r="C12" s="12"/>
      <c r="D12" s="12"/>
      <c r="E12" s="12"/>
      <c r="F12" s="12"/>
      <c r="G12" s="12"/>
      <c r="H12" s="12"/>
      <c r="I12" s="12"/>
      <c r="J12" s="12"/>
      <c r="K12" s="12"/>
      <c r="L12" s="12"/>
      <c r="M12" s="12"/>
      <c r="N12" s="12"/>
      <c r="O12" s="12"/>
      <c r="P12" s="12"/>
      <c r="Q12" s="12"/>
      <c r="R12" s="12"/>
      <c r="S12" s="12"/>
      <c r="T12" s="12"/>
      <c r="U12" s="12"/>
      <c r="V12" s="12"/>
      <c r="W12" s="12"/>
      <c r="X12" s="15" t="n">
        <v>380</v>
      </c>
      <c r="Y12" s="15"/>
      <c r="Z12" s="15"/>
      <c r="AA12" s="15"/>
      <c r="AB12" s="15"/>
      <c r="AC12" s="15"/>
    </row>
    <row r="13" customFormat="false" ht="16.5" hidden="false" customHeight="true" outlineLevel="0" collapsed="false">
      <c r="B13" s="12" t="s">
        <v>232</v>
      </c>
      <c r="C13" s="12"/>
      <c r="D13" s="12"/>
      <c r="E13" s="12"/>
      <c r="F13" s="12"/>
      <c r="G13" s="12"/>
      <c r="H13" s="12"/>
      <c r="I13" s="12"/>
      <c r="J13" s="12"/>
      <c r="K13" s="12"/>
      <c r="L13" s="12"/>
      <c r="M13" s="12"/>
      <c r="N13" s="12"/>
      <c r="O13" s="12"/>
      <c r="P13" s="12"/>
      <c r="Q13" s="12"/>
      <c r="R13" s="12"/>
      <c r="S13" s="12"/>
      <c r="T13" s="12"/>
      <c r="U13" s="12"/>
      <c r="V13" s="12"/>
      <c r="W13" s="12"/>
      <c r="X13" s="15" t="n">
        <v>150</v>
      </c>
      <c r="Y13" s="15"/>
      <c r="Z13" s="15"/>
      <c r="AA13" s="15"/>
      <c r="AB13" s="15"/>
      <c r="AC13" s="15"/>
    </row>
    <row r="16" customFormat="false" ht="18.75" hidden="false" customHeight="true" outlineLevel="0" collapsed="false">
      <c r="B16" s="3" t="s">
        <v>275</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36" t="s">
        <v>178</v>
      </c>
      <c r="C17" s="36"/>
      <c r="D17" s="36"/>
      <c r="E17" s="36"/>
      <c r="F17" s="36"/>
      <c r="G17" s="36"/>
      <c r="H17" s="36"/>
      <c r="I17" s="36"/>
      <c r="J17" s="36"/>
      <c r="K17" s="36"/>
      <c r="L17" s="36"/>
      <c r="M17" s="36"/>
      <c r="N17" s="36"/>
      <c r="O17" s="36"/>
      <c r="P17" s="36"/>
      <c r="Q17" s="36"/>
      <c r="R17" s="36"/>
      <c r="S17" s="36"/>
      <c r="T17" s="36"/>
      <c r="U17" s="36"/>
      <c r="V17" s="36"/>
      <c r="W17" s="36"/>
      <c r="X17" s="38"/>
      <c r="Y17" s="38"/>
      <c r="Z17" s="38"/>
      <c r="AA17" s="38"/>
      <c r="AB17" s="38"/>
      <c r="AC17" s="39" t="str">
        <f aca="false">IF(X17="","",IFERROR(IF(ABS(ABS(X17)-ABS('QJ11.2 Ans'!X17))&lt;0.5,"✓","✗"),"✗"))</f>
        <v/>
      </c>
    </row>
    <row r="18" customFormat="false" ht="17.25" hidden="false" customHeight="true" outlineLevel="0" collapsed="false">
      <c r="B18" s="36" t="s">
        <v>179</v>
      </c>
      <c r="C18" s="36"/>
      <c r="D18" s="36"/>
      <c r="E18" s="36"/>
      <c r="F18" s="36"/>
      <c r="G18" s="36"/>
      <c r="H18" s="36"/>
      <c r="I18" s="36"/>
      <c r="J18" s="36"/>
      <c r="K18" s="36"/>
      <c r="L18" s="36"/>
      <c r="M18" s="36"/>
      <c r="N18" s="36"/>
      <c r="O18" s="36"/>
      <c r="P18" s="36"/>
      <c r="Q18" s="36"/>
      <c r="R18" s="36"/>
      <c r="S18" s="36"/>
      <c r="T18" s="36"/>
      <c r="U18" s="36"/>
      <c r="V18" s="36"/>
      <c r="W18" s="36"/>
      <c r="X18" s="38"/>
      <c r="Y18" s="38"/>
      <c r="Z18" s="38"/>
      <c r="AA18" s="38"/>
      <c r="AB18" s="38"/>
      <c r="AC18" s="39" t="str">
        <f aca="false">IF(X18="","",IFERROR(IF(ABS(ABS(X18)-ABS('QJ11.2 Ans'!X18))&lt;0.5,"✓","✗"),"✗"))</f>
        <v/>
      </c>
    </row>
    <row r="20" customFormat="false" ht="18.75" hidden="false" customHeight="true" outlineLevel="0" collapsed="false">
      <c r="B20" s="3" t="s">
        <v>262</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5" hidden="false" customHeight="false" outlineLevel="0" collapsed="false">
      <c r="B21" s="33" t="s">
        <v>67</v>
      </c>
      <c r="C21" s="33"/>
      <c r="D21" s="33"/>
      <c r="E21" s="33" t="s">
        <v>68</v>
      </c>
      <c r="F21" s="33"/>
      <c r="G21" s="33"/>
      <c r="H21" s="33"/>
      <c r="I21" s="33"/>
      <c r="J21" s="33"/>
      <c r="K21" s="33"/>
      <c r="L21" s="33"/>
      <c r="M21" s="33"/>
      <c r="N21" s="33"/>
      <c r="O21" s="33"/>
      <c r="P21" s="33"/>
      <c r="Q21" s="33"/>
      <c r="R21" s="33"/>
      <c r="S21" s="33"/>
      <c r="T21" s="33"/>
      <c r="U21" s="34" t="s">
        <v>263</v>
      </c>
      <c r="V21" s="34"/>
      <c r="W21" s="34"/>
      <c r="X21" s="34"/>
      <c r="Y21" s="34"/>
      <c r="Z21" s="34"/>
      <c r="AA21" s="34" t="s">
        <v>264</v>
      </c>
      <c r="AB21" s="34"/>
      <c r="AC21" s="34"/>
      <c r="AD21" s="34"/>
      <c r="AE21" s="34"/>
      <c r="AF21" s="34"/>
    </row>
    <row r="22" customFormat="false" ht="16.5" hidden="false" customHeight="true" outlineLevel="0" collapsed="false">
      <c r="B22" s="49" t="s">
        <v>71</v>
      </c>
      <c r="C22" s="49"/>
      <c r="D22" s="49"/>
      <c r="E22" s="50"/>
      <c r="F22" s="50"/>
      <c r="G22" s="50"/>
      <c r="H22" s="50"/>
      <c r="I22" s="50"/>
      <c r="J22" s="50"/>
      <c r="K22" s="50"/>
      <c r="L22" s="50"/>
      <c r="M22" s="50"/>
      <c r="N22" s="50"/>
      <c r="O22" s="50"/>
      <c r="P22" s="50"/>
      <c r="Q22" s="50"/>
      <c r="R22" s="50"/>
      <c r="S22" s="50"/>
      <c r="T22" s="50"/>
      <c r="U22" s="51" t="s">
        <v>72</v>
      </c>
      <c r="V22" s="51"/>
      <c r="W22" s="51"/>
      <c r="X22" s="51"/>
      <c r="Y22" s="51"/>
      <c r="Z22" s="51"/>
      <c r="AA22" s="51" t="s">
        <v>72</v>
      </c>
      <c r="AB22" s="51"/>
      <c r="AC22" s="51"/>
      <c r="AD22" s="51"/>
      <c r="AE22" s="51"/>
      <c r="AF22" s="51"/>
    </row>
    <row r="23" customFormat="false" ht="16.5" hidden="false" customHeight="true" outlineLevel="0" collapsed="false">
      <c r="B23" s="50" t="s">
        <v>78</v>
      </c>
      <c r="C23" s="50"/>
      <c r="D23" s="50"/>
      <c r="E23" s="50" t="s">
        <v>276</v>
      </c>
      <c r="F23" s="50"/>
      <c r="G23" s="50"/>
      <c r="H23" s="50"/>
      <c r="I23" s="50"/>
      <c r="J23" s="50"/>
      <c r="K23" s="50"/>
      <c r="L23" s="50"/>
      <c r="M23" s="50"/>
      <c r="N23" s="50"/>
      <c r="O23" s="50"/>
      <c r="P23" s="50"/>
      <c r="Q23" s="50"/>
      <c r="R23" s="50"/>
      <c r="S23" s="50"/>
      <c r="T23" s="50"/>
      <c r="U23" s="38"/>
      <c r="V23" s="38"/>
      <c r="W23" s="38"/>
      <c r="X23" s="38"/>
      <c r="Y23" s="38"/>
      <c r="Z23" s="51" t="str">
        <f aca="false">IF(U23="","",IFERROR(IF(ABS(ABS(U23)-ABS('QJ11.2 Ans'!U23))&lt;0.5,"✓","✗"),"✗"))</f>
        <v/>
      </c>
      <c r="AA23" s="50"/>
      <c r="AB23" s="50"/>
      <c r="AC23" s="50"/>
      <c r="AD23" s="50"/>
      <c r="AE23" s="50"/>
      <c r="AF23" s="50"/>
    </row>
    <row r="24" customFormat="false" ht="16.5" hidden="false" customHeight="true" outlineLevel="0" collapsed="false">
      <c r="B24" s="50"/>
      <c r="C24" s="50"/>
      <c r="D24" s="50"/>
      <c r="E24" s="52" t="s">
        <v>277</v>
      </c>
      <c r="F24" s="52"/>
      <c r="G24" s="52"/>
      <c r="H24" s="52"/>
      <c r="I24" s="52"/>
      <c r="J24" s="52"/>
      <c r="K24" s="52"/>
      <c r="L24" s="52"/>
      <c r="M24" s="52"/>
      <c r="N24" s="52"/>
      <c r="O24" s="52"/>
      <c r="P24" s="52"/>
      <c r="Q24" s="52"/>
      <c r="R24" s="52"/>
      <c r="S24" s="52"/>
      <c r="T24" s="52"/>
      <c r="U24" s="50"/>
      <c r="V24" s="50"/>
      <c r="W24" s="50"/>
      <c r="X24" s="50"/>
      <c r="Y24" s="50"/>
      <c r="Z24" s="50"/>
      <c r="AA24" s="38"/>
      <c r="AB24" s="38"/>
      <c r="AC24" s="38"/>
      <c r="AD24" s="38"/>
      <c r="AE24" s="38"/>
      <c r="AF24" s="51" t="str">
        <f aca="false">IF(AA24="","",IFERROR(IF(ABS(ABS(AA24)-ABS('QJ11.2 Ans'!AA24))&lt;0.5,"✓","✗"),"✗"))</f>
        <v/>
      </c>
    </row>
    <row r="25" customFormat="false" ht="17.25" hidden="false" customHeight="true" outlineLevel="0" collapsed="false">
      <c r="B25" s="50"/>
      <c r="C25" s="50"/>
      <c r="D25" s="50"/>
      <c r="E25" s="53" t="s">
        <v>278</v>
      </c>
      <c r="F25" s="53"/>
      <c r="G25" s="53"/>
      <c r="H25" s="53"/>
      <c r="I25" s="53"/>
      <c r="J25" s="53"/>
      <c r="K25" s="53"/>
      <c r="L25" s="53"/>
      <c r="M25" s="53"/>
      <c r="N25" s="53"/>
      <c r="O25" s="53"/>
      <c r="P25" s="53"/>
      <c r="Q25" s="53"/>
      <c r="R25" s="53"/>
      <c r="S25" s="53"/>
      <c r="T25" s="53"/>
      <c r="U25" s="50"/>
      <c r="V25" s="50"/>
      <c r="W25" s="50"/>
      <c r="X25" s="50"/>
      <c r="Y25" s="50"/>
      <c r="Z25" s="50"/>
      <c r="AA25" s="50"/>
      <c r="AB25" s="50"/>
      <c r="AC25" s="50"/>
      <c r="AD25" s="50"/>
      <c r="AE25" s="50"/>
      <c r="AF25" s="50"/>
    </row>
    <row r="26" customFormat="false" ht="16.5" hidden="false" customHeight="true" outlineLevel="0" collapsed="false">
      <c r="B26" s="50" t="s">
        <v>78</v>
      </c>
      <c r="C26" s="50"/>
      <c r="D26" s="50"/>
      <c r="E26" s="50" t="s">
        <v>279</v>
      </c>
      <c r="F26" s="50"/>
      <c r="G26" s="50"/>
      <c r="H26" s="50"/>
      <c r="I26" s="50"/>
      <c r="J26" s="50"/>
      <c r="K26" s="50"/>
      <c r="L26" s="50"/>
      <c r="M26" s="50"/>
      <c r="N26" s="50"/>
      <c r="O26" s="50"/>
      <c r="P26" s="50"/>
      <c r="Q26" s="50"/>
      <c r="R26" s="50"/>
      <c r="S26" s="50"/>
      <c r="T26" s="50"/>
      <c r="U26" s="38"/>
      <c r="V26" s="38"/>
      <c r="W26" s="38"/>
      <c r="X26" s="38"/>
      <c r="Y26" s="38"/>
      <c r="Z26" s="51" t="str">
        <f aca="false">IF(U26="","",IFERROR(IF(ABS(ABS(U26)-ABS('QJ11.2 Ans'!U26))&lt;0.5,"✓","✗"),"✗"))</f>
        <v/>
      </c>
      <c r="AA26" s="50"/>
      <c r="AB26" s="50"/>
      <c r="AC26" s="50"/>
      <c r="AD26" s="50"/>
      <c r="AE26" s="50"/>
      <c r="AF26" s="50"/>
    </row>
    <row r="27" customFormat="false" ht="16.5" hidden="false" customHeight="true" outlineLevel="0" collapsed="false">
      <c r="B27" s="50"/>
      <c r="C27" s="50"/>
      <c r="D27" s="50"/>
      <c r="E27" s="52" t="s">
        <v>198</v>
      </c>
      <c r="F27" s="52"/>
      <c r="G27" s="52"/>
      <c r="H27" s="52"/>
      <c r="I27" s="52"/>
      <c r="J27" s="52"/>
      <c r="K27" s="52"/>
      <c r="L27" s="52"/>
      <c r="M27" s="52"/>
      <c r="N27" s="52"/>
      <c r="O27" s="52"/>
      <c r="P27" s="52"/>
      <c r="Q27" s="52"/>
      <c r="R27" s="52"/>
      <c r="S27" s="52"/>
      <c r="T27" s="52"/>
      <c r="U27" s="50"/>
      <c r="V27" s="50"/>
      <c r="W27" s="50"/>
      <c r="X27" s="50"/>
      <c r="Y27" s="50"/>
      <c r="Z27" s="50"/>
      <c r="AA27" s="38"/>
      <c r="AB27" s="38"/>
      <c r="AC27" s="38"/>
      <c r="AD27" s="38"/>
      <c r="AE27" s="38"/>
      <c r="AF27" s="51" t="str">
        <f aca="false">IF(AA27="","",IFERROR(IF(ABS(ABS(AA27)-ABS('QJ11.2 Ans'!AA27))&lt;0.5,"✓","✗"),"✗"))</f>
        <v/>
      </c>
    </row>
    <row r="28" customFormat="false" ht="17.25" hidden="false" customHeight="true" outlineLevel="0" collapsed="false">
      <c r="B28" s="50"/>
      <c r="C28" s="50"/>
      <c r="D28" s="50"/>
      <c r="E28" s="53" t="s">
        <v>280</v>
      </c>
      <c r="F28" s="53"/>
      <c r="G28" s="53"/>
      <c r="H28" s="53"/>
      <c r="I28" s="53"/>
      <c r="J28" s="53"/>
      <c r="K28" s="53"/>
      <c r="L28" s="53"/>
      <c r="M28" s="53"/>
      <c r="N28" s="53"/>
      <c r="O28" s="53"/>
      <c r="P28" s="53"/>
      <c r="Q28" s="53"/>
      <c r="R28" s="53"/>
      <c r="S28" s="53"/>
      <c r="T28" s="53"/>
      <c r="U28" s="50"/>
      <c r="V28" s="50"/>
      <c r="W28" s="50"/>
      <c r="X28" s="50"/>
      <c r="Y28" s="50"/>
      <c r="Z28" s="50"/>
      <c r="AA28" s="50"/>
      <c r="AB28" s="50"/>
      <c r="AC28" s="50"/>
      <c r="AD28" s="50"/>
      <c r="AE28" s="50"/>
      <c r="AF28" s="50"/>
    </row>
    <row r="29" customFormat="false" ht="16.5" hidden="false" customHeight="true" outlineLevel="0" collapsed="false">
      <c r="B29" s="50" t="s">
        <v>78</v>
      </c>
      <c r="C29" s="50"/>
      <c r="D29" s="50"/>
      <c r="E29" s="50" t="s">
        <v>281</v>
      </c>
      <c r="F29" s="50"/>
      <c r="G29" s="50"/>
      <c r="H29" s="50"/>
      <c r="I29" s="50"/>
      <c r="J29" s="50"/>
      <c r="K29" s="50"/>
      <c r="L29" s="50"/>
      <c r="M29" s="50"/>
      <c r="N29" s="50"/>
      <c r="O29" s="50"/>
      <c r="P29" s="50"/>
      <c r="Q29" s="50"/>
      <c r="R29" s="50"/>
      <c r="S29" s="50"/>
      <c r="T29" s="50"/>
      <c r="U29" s="38"/>
      <c r="V29" s="38"/>
      <c r="W29" s="38"/>
      <c r="X29" s="38"/>
      <c r="Y29" s="38"/>
      <c r="Z29" s="51" t="str">
        <f aca="false">IF(U29="","",IFERROR(IF(ABS(ABS(U29)-ABS('QJ11.2 Ans'!U29))&lt;0.5,"✓","✗"),"✗"))</f>
        <v/>
      </c>
      <c r="AA29" s="50"/>
      <c r="AB29" s="50"/>
      <c r="AC29" s="50"/>
      <c r="AD29" s="50"/>
      <c r="AE29" s="50"/>
      <c r="AF29" s="50"/>
    </row>
    <row r="30" customFormat="false" ht="16.5" hidden="false" customHeight="true" outlineLevel="0" collapsed="false">
      <c r="B30" s="50"/>
      <c r="C30" s="50"/>
      <c r="D30" s="50"/>
      <c r="E30" s="52" t="s">
        <v>282</v>
      </c>
      <c r="F30" s="52"/>
      <c r="G30" s="52"/>
      <c r="H30" s="52"/>
      <c r="I30" s="52"/>
      <c r="J30" s="52"/>
      <c r="K30" s="52"/>
      <c r="L30" s="52"/>
      <c r="M30" s="52"/>
      <c r="N30" s="52"/>
      <c r="O30" s="52"/>
      <c r="P30" s="52"/>
      <c r="Q30" s="52"/>
      <c r="R30" s="52"/>
      <c r="S30" s="52"/>
      <c r="T30" s="52"/>
      <c r="U30" s="50"/>
      <c r="V30" s="50"/>
      <c r="W30" s="50"/>
      <c r="X30" s="50"/>
      <c r="Y30" s="50"/>
      <c r="Z30" s="50"/>
      <c r="AA30" s="38"/>
      <c r="AB30" s="38"/>
      <c r="AC30" s="38"/>
      <c r="AD30" s="38"/>
      <c r="AE30" s="38"/>
      <c r="AF30" s="51" t="str">
        <f aca="false">IF(AA30="","",IFERROR(IF(ABS(ABS(AA30)-ABS('QJ11.2 Ans'!AA30))&lt;0.5,"✓","✗"),"✗"))</f>
        <v/>
      </c>
    </row>
    <row r="31" customFormat="false" ht="17.25" hidden="false" customHeight="true" outlineLevel="0" collapsed="false">
      <c r="B31" s="50"/>
      <c r="C31" s="50"/>
      <c r="D31" s="50"/>
      <c r="E31" s="53" t="s">
        <v>283</v>
      </c>
      <c r="F31" s="53"/>
      <c r="G31" s="53"/>
      <c r="H31" s="53"/>
      <c r="I31" s="53"/>
      <c r="J31" s="53"/>
      <c r="K31" s="53"/>
      <c r="L31" s="53"/>
      <c r="M31" s="53"/>
      <c r="N31" s="53"/>
      <c r="O31" s="53"/>
      <c r="P31" s="53"/>
      <c r="Q31" s="53"/>
      <c r="R31" s="53"/>
      <c r="S31" s="53"/>
      <c r="T31" s="53"/>
      <c r="U31" s="50"/>
      <c r="V31" s="50"/>
      <c r="W31" s="50"/>
      <c r="X31" s="50"/>
      <c r="Y31" s="50"/>
      <c r="Z31" s="50"/>
      <c r="AA31" s="50"/>
      <c r="AB31" s="50"/>
      <c r="AC31" s="50"/>
      <c r="AD31" s="50"/>
      <c r="AE31" s="50"/>
      <c r="AF31" s="50"/>
    </row>
  </sheetData>
  <mergeCells count="68">
    <mergeCell ref="B1:AF1"/>
    <mergeCell ref="B2:AF2"/>
    <mergeCell ref="B3:G3"/>
    <mergeCell ref="H3:AF3"/>
    <mergeCell ref="B5:AF5"/>
    <mergeCell ref="C6:AF6"/>
    <mergeCell ref="C7:AF7"/>
    <mergeCell ref="C8:AF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20:AF20"/>
    <mergeCell ref="B21:D21"/>
    <mergeCell ref="E21:T21"/>
    <mergeCell ref="U21:Z21"/>
    <mergeCell ref="AA21:AF21"/>
    <mergeCell ref="B22:D22"/>
    <mergeCell ref="E22:T22"/>
    <mergeCell ref="U22:Z22"/>
    <mergeCell ref="AA22:AF22"/>
    <mergeCell ref="B23:D23"/>
    <mergeCell ref="E23:T23"/>
    <mergeCell ref="U23:Y23"/>
    <mergeCell ref="AA23:AF23"/>
    <mergeCell ref="B24:D24"/>
    <mergeCell ref="E24:T24"/>
    <mergeCell ref="U24:Z24"/>
    <mergeCell ref="AA24:AE24"/>
    <mergeCell ref="B25:D25"/>
    <mergeCell ref="E25:T25"/>
    <mergeCell ref="U25:Z25"/>
    <mergeCell ref="AA25:AF25"/>
    <mergeCell ref="B26:D26"/>
    <mergeCell ref="E26:T26"/>
    <mergeCell ref="U26:Y26"/>
    <mergeCell ref="AA26:AF26"/>
    <mergeCell ref="B27:D27"/>
    <mergeCell ref="E27:T27"/>
    <mergeCell ref="U27:Z27"/>
    <mergeCell ref="AA27:AE27"/>
    <mergeCell ref="B28:D28"/>
    <mergeCell ref="E28:T28"/>
    <mergeCell ref="U28:Z28"/>
    <mergeCell ref="AA28:AF28"/>
    <mergeCell ref="B29:D29"/>
    <mergeCell ref="E29:T29"/>
    <mergeCell ref="U29:Y29"/>
    <mergeCell ref="AA29:AF29"/>
    <mergeCell ref="B30:D30"/>
    <mergeCell ref="E30:T30"/>
    <mergeCell ref="U30:Z30"/>
    <mergeCell ref="AA30:AE30"/>
    <mergeCell ref="B31:D31"/>
    <mergeCell ref="E31:T31"/>
    <mergeCell ref="U31:Z31"/>
    <mergeCell ref="AA31:AF31"/>
  </mergeCells>
  <conditionalFormatting sqref="B4: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B1:AF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284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30" hidden="false" customHeight="true" outlineLevel="0" collapsed="false">
      <c r="B2" s="2" t="s">
        <v>285</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B3" s="17" t="s">
        <v>123</v>
      </c>
      <c r="C3" s="17"/>
      <c r="D3" s="17"/>
      <c r="E3" s="17"/>
      <c r="F3" s="17"/>
      <c r="G3" s="17"/>
      <c r="H3" s="17" t="str">
        <f aca="false">COUNTIF(B4:AG38,"✓")&amp;" correct out of 12 answer cells"</f>
        <v>0 correct out of 12 answer cells</v>
      </c>
      <c r="I3" s="17"/>
      <c r="J3" s="17"/>
      <c r="K3" s="17"/>
      <c r="L3" s="17"/>
      <c r="M3" s="17"/>
      <c r="N3" s="17"/>
      <c r="O3" s="17"/>
      <c r="P3" s="17"/>
      <c r="Q3" s="17"/>
      <c r="R3" s="17"/>
      <c r="S3" s="17"/>
      <c r="T3" s="17"/>
      <c r="U3" s="17"/>
      <c r="V3" s="17"/>
      <c r="W3" s="17"/>
      <c r="X3" s="17"/>
      <c r="Y3" s="17"/>
      <c r="Z3" s="17"/>
      <c r="AA3" s="17"/>
      <c r="AB3" s="17"/>
      <c r="AC3" s="17"/>
      <c r="AD3" s="17"/>
      <c r="AE3" s="17"/>
      <c r="AF3" s="17"/>
    </row>
    <row r="4" customFormat="false" ht="19.5" hidden="false" customHeight="true" outlineLevel="0" collapsed="false">
      <c r="B4" s="17" t="s">
        <v>286</v>
      </c>
      <c r="C4" s="17"/>
      <c r="D4" s="17"/>
      <c r="E4" s="17"/>
      <c r="F4" s="17"/>
      <c r="G4" s="17"/>
      <c r="H4" s="17"/>
      <c r="I4" s="17"/>
      <c r="J4" s="17"/>
      <c r="K4" s="17"/>
      <c r="L4" s="17"/>
      <c r="M4" s="17"/>
      <c r="N4" s="17"/>
      <c r="O4" s="17"/>
      <c r="P4" s="17"/>
      <c r="Q4" s="17"/>
      <c r="R4" s="35" t="n">
        <v>1</v>
      </c>
      <c r="S4" s="35"/>
      <c r="T4" s="35"/>
      <c r="U4" s="35"/>
      <c r="W4" s="14" t="s">
        <v>287</v>
      </c>
      <c r="X4" s="14"/>
      <c r="Y4" s="14"/>
      <c r="Z4" s="14"/>
      <c r="AA4" s="14"/>
      <c r="AB4" s="14"/>
      <c r="AC4" s="14"/>
      <c r="AD4" s="14"/>
      <c r="AE4" s="14"/>
      <c r="AF4" s="14"/>
    </row>
    <row r="6" customFormat="false" ht="15" hidden="false" customHeight="false" outlineLevel="0" collapsed="false">
      <c r="B6" s="33" t="s">
        <v>127</v>
      </c>
      <c r="C6" s="33"/>
      <c r="D6" s="33"/>
      <c r="E6" s="33"/>
      <c r="F6" s="33"/>
      <c r="G6" s="33"/>
      <c r="H6" s="33"/>
      <c r="I6" s="33"/>
      <c r="J6" s="33"/>
      <c r="K6" s="33"/>
      <c r="L6" s="33"/>
      <c r="M6" s="33"/>
      <c r="N6" s="33"/>
      <c r="O6" s="33"/>
      <c r="P6" s="33"/>
      <c r="Q6" s="33"/>
      <c r="R6" s="33"/>
      <c r="S6" s="33"/>
      <c r="T6" s="33"/>
      <c r="U6" s="33"/>
      <c r="V6" s="33"/>
      <c r="W6" s="33"/>
      <c r="X6" s="34" t="s">
        <v>114</v>
      </c>
      <c r="Y6" s="34"/>
      <c r="Z6" s="34"/>
      <c r="AA6" s="34"/>
      <c r="AB6" s="34"/>
      <c r="AC6" s="34"/>
    </row>
    <row r="7" customFormat="false" ht="15" hidden="false" customHeight="false" outlineLevel="0" collapsed="false">
      <c r="B7" s="46" t="s">
        <v>191</v>
      </c>
      <c r="C7" s="46"/>
      <c r="D7" s="46"/>
      <c r="E7" s="46"/>
      <c r="F7" s="46"/>
      <c r="G7" s="46"/>
      <c r="H7" s="46"/>
      <c r="I7" s="46"/>
      <c r="J7" s="46"/>
      <c r="K7" s="46"/>
      <c r="L7" s="46"/>
      <c r="M7" s="46"/>
      <c r="N7" s="46"/>
      <c r="O7" s="46"/>
      <c r="P7" s="46"/>
      <c r="Q7" s="46"/>
      <c r="R7" s="46"/>
      <c r="S7" s="46"/>
      <c r="T7" s="46"/>
      <c r="U7" s="46"/>
      <c r="V7" s="46"/>
      <c r="W7" s="46"/>
      <c r="X7" s="46"/>
      <c r="Y7" s="46"/>
      <c r="Z7" s="46"/>
      <c r="AA7" s="46"/>
      <c r="AB7" s="46"/>
      <c r="AC7" s="46"/>
    </row>
    <row r="8" customFormat="false" ht="16.5" hidden="false" customHeight="true" outlineLevel="0" collapsed="false">
      <c r="B8" s="12" t="s">
        <v>192</v>
      </c>
      <c r="C8" s="12"/>
      <c r="D8" s="12"/>
      <c r="E8" s="12"/>
      <c r="F8" s="12"/>
      <c r="G8" s="12"/>
      <c r="H8" s="12"/>
      <c r="I8" s="12"/>
      <c r="J8" s="12"/>
      <c r="K8" s="12"/>
      <c r="L8" s="12"/>
      <c r="M8" s="12"/>
      <c r="N8" s="12"/>
      <c r="O8" s="12"/>
      <c r="P8" s="12"/>
      <c r="Q8" s="12"/>
      <c r="R8" s="12"/>
      <c r="S8" s="12"/>
      <c r="T8" s="12"/>
      <c r="U8" s="12"/>
      <c r="V8" s="12"/>
      <c r="W8" s="12"/>
      <c r="X8" s="15" t="n">
        <f aca="false">100+MOD($R$4*31+41,11)*50</f>
        <v>400</v>
      </c>
      <c r="Y8" s="15"/>
      <c r="Z8" s="15"/>
      <c r="AA8" s="15"/>
      <c r="AB8" s="15"/>
      <c r="AC8" s="15"/>
    </row>
    <row r="9" customFormat="false" ht="16.5" hidden="false" customHeight="true" outlineLevel="0" collapsed="false">
      <c r="B9" s="12" t="s">
        <v>193</v>
      </c>
      <c r="C9" s="12"/>
      <c r="D9" s="12"/>
      <c r="E9" s="12"/>
      <c r="F9" s="12"/>
      <c r="G9" s="12"/>
      <c r="H9" s="12"/>
      <c r="I9" s="12"/>
      <c r="J9" s="12"/>
      <c r="K9" s="12"/>
      <c r="L9" s="12"/>
      <c r="M9" s="12"/>
      <c r="N9" s="12"/>
      <c r="O9" s="12"/>
      <c r="P9" s="12"/>
      <c r="Q9" s="12"/>
      <c r="R9" s="12"/>
      <c r="S9" s="12"/>
      <c r="T9" s="12"/>
      <c r="U9" s="12"/>
      <c r="V9" s="12"/>
      <c r="W9" s="12"/>
      <c r="X9" s="15" t="n">
        <f aca="false">15000+MOD($R$4*13+95,21)*500</f>
        <v>16500</v>
      </c>
      <c r="Y9" s="15"/>
      <c r="Z9" s="15"/>
      <c r="AA9" s="15"/>
      <c r="AB9" s="15"/>
      <c r="AC9" s="15"/>
    </row>
    <row r="10" customFormat="false" ht="16.5" hidden="false" customHeight="true" outlineLevel="0" collapsed="false">
      <c r="B10" s="12" t="s">
        <v>194</v>
      </c>
      <c r="C10" s="12"/>
      <c r="D10" s="12"/>
      <c r="E10" s="12"/>
      <c r="F10" s="12"/>
      <c r="G10" s="12"/>
      <c r="H10" s="12"/>
      <c r="I10" s="12"/>
      <c r="J10" s="12"/>
      <c r="K10" s="12"/>
      <c r="L10" s="12"/>
      <c r="M10" s="12"/>
      <c r="N10" s="12"/>
      <c r="O10" s="12"/>
      <c r="P10" s="12"/>
      <c r="Q10" s="12"/>
      <c r="R10" s="12"/>
      <c r="S10" s="12"/>
      <c r="T10" s="12"/>
      <c r="U10" s="12"/>
      <c r="V10" s="12"/>
      <c r="W10" s="12"/>
      <c r="X10" s="15" t="n">
        <f aca="false">100+MOD($R$4*53+33,15)*50</f>
        <v>650</v>
      </c>
      <c r="Y10" s="15"/>
      <c r="Z10" s="15"/>
      <c r="AA10" s="15"/>
      <c r="AB10" s="15"/>
      <c r="AC10" s="15"/>
    </row>
    <row r="11" customFormat="false" ht="15" hidden="false" customHeight="false" outlineLevel="0" collapsed="false">
      <c r="B11" s="46" t="s">
        <v>195</v>
      </c>
      <c r="C11" s="46"/>
      <c r="D11" s="46"/>
      <c r="E11" s="46"/>
      <c r="F11" s="46"/>
      <c r="G11" s="46"/>
      <c r="H11" s="46"/>
      <c r="I11" s="46"/>
      <c r="J11" s="46"/>
      <c r="K11" s="46"/>
      <c r="L11" s="46"/>
      <c r="M11" s="46"/>
      <c r="N11" s="46"/>
      <c r="O11" s="46"/>
      <c r="P11" s="46"/>
      <c r="Q11" s="46"/>
      <c r="R11" s="46"/>
      <c r="S11" s="46"/>
      <c r="T11" s="46"/>
      <c r="U11" s="46"/>
      <c r="V11" s="46"/>
      <c r="W11" s="46"/>
      <c r="X11" s="46"/>
      <c r="Y11" s="46"/>
      <c r="Z11" s="46"/>
      <c r="AA11" s="46"/>
      <c r="AB11" s="46"/>
      <c r="AC11" s="46"/>
    </row>
    <row r="12" customFormat="false" ht="16.5" hidden="false" customHeight="true" outlineLevel="0" collapsed="false">
      <c r="B12" s="12" t="s">
        <v>196</v>
      </c>
      <c r="C12" s="12"/>
      <c r="D12" s="12"/>
      <c r="E12" s="12"/>
      <c r="F12" s="12"/>
      <c r="G12" s="12"/>
      <c r="H12" s="12"/>
      <c r="I12" s="12"/>
      <c r="J12" s="12"/>
      <c r="K12" s="12"/>
      <c r="L12" s="12"/>
      <c r="M12" s="12"/>
      <c r="N12" s="12"/>
      <c r="O12" s="12"/>
      <c r="P12" s="12"/>
      <c r="Q12" s="12"/>
      <c r="R12" s="12"/>
      <c r="S12" s="12"/>
      <c r="T12" s="12"/>
      <c r="U12" s="12"/>
      <c r="V12" s="12"/>
      <c r="W12" s="12"/>
      <c r="X12" s="15" t="n">
        <f aca="false">100+MOD($R$4*13+43,7)*50</f>
        <v>100</v>
      </c>
      <c r="Y12" s="15"/>
      <c r="Z12" s="15"/>
      <c r="AA12" s="15"/>
      <c r="AB12" s="15"/>
      <c r="AC12" s="15"/>
    </row>
    <row r="13" customFormat="false" ht="16.5" hidden="false" customHeight="true" outlineLevel="0" collapsed="false">
      <c r="B13" s="12" t="s">
        <v>193</v>
      </c>
      <c r="C13" s="12"/>
      <c r="D13" s="12"/>
      <c r="E13" s="12"/>
      <c r="F13" s="12"/>
      <c r="G13" s="12"/>
      <c r="H13" s="12"/>
      <c r="I13" s="12"/>
      <c r="J13" s="12"/>
      <c r="K13" s="12"/>
      <c r="L13" s="12"/>
      <c r="M13" s="12"/>
      <c r="N13" s="12"/>
      <c r="O13" s="12"/>
      <c r="P13" s="12"/>
      <c r="Q13" s="12"/>
      <c r="R13" s="12"/>
      <c r="S13" s="12"/>
      <c r="T13" s="12"/>
      <c r="U13" s="12"/>
      <c r="V13" s="12"/>
      <c r="W13" s="12"/>
      <c r="X13" s="15" t="n">
        <f aca="false">1200+MOD($R$4*31+93,13)*100</f>
        <v>1900</v>
      </c>
      <c r="Y13" s="15"/>
      <c r="Z13" s="15"/>
      <c r="AA13" s="15"/>
      <c r="AB13" s="15"/>
      <c r="AC13" s="15"/>
    </row>
    <row r="14" customFormat="false" ht="16.5" hidden="false" customHeight="true" outlineLevel="0" collapsed="false">
      <c r="B14" s="12" t="s">
        <v>197</v>
      </c>
      <c r="C14" s="12"/>
      <c r="D14" s="12"/>
      <c r="E14" s="12"/>
      <c r="F14" s="12"/>
      <c r="G14" s="12"/>
      <c r="H14" s="12"/>
      <c r="I14" s="12"/>
      <c r="J14" s="12"/>
      <c r="K14" s="12"/>
      <c r="L14" s="12"/>
      <c r="M14" s="12"/>
      <c r="N14" s="12"/>
      <c r="O14" s="12"/>
      <c r="P14" s="12"/>
      <c r="Q14" s="12"/>
      <c r="R14" s="12"/>
      <c r="S14" s="12"/>
      <c r="T14" s="12"/>
      <c r="U14" s="12"/>
      <c r="V14" s="12"/>
      <c r="W14" s="12"/>
      <c r="X14" s="15" t="n">
        <f aca="false">100+MOD($R$4*41+14,7)*50</f>
        <v>400</v>
      </c>
      <c r="Y14" s="15"/>
      <c r="Z14" s="15"/>
      <c r="AA14" s="15"/>
      <c r="AB14" s="15"/>
      <c r="AC14" s="15"/>
    </row>
    <row r="15" customFormat="false" ht="15" hidden="false" customHeight="false" outlineLevel="0" collapsed="false">
      <c r="B15" s="46" t="s">
        <v>198</v>
      </c>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row>
    <row r="16" customFormat="false" ht="16.5" hidden="false" customHeight="true" outlineLevel="0" collapsed="false">
      <c r="B16" s="12" t="s">
        <v>199</v>
      </c>
      <c r="C16" s="12"/>
      <c r="D16" s="12"/>
      <c r="E16" s="12"/>
      <c r="F16" s="12"/>
      <c r="G16" s="12"/>
      <c r="H16" s="12"/>
      <c r="I16" s="12"/>
      <c r="J16" s="12"/>
      <c r="K16" s="12"/>
      <c r="L16" s="12"/>
      <c r="M16" s="12"/>
      <c r="N16" s="12"/>
      <c r="O16" s="12"/>
      <c r="P16" s="12"/>
      <c r="Q16" s="12"/>
      <c r="R16" s="12"/>
      <c r="S16" s="12"/>
      <c r="T16" s="12"/>
      <c r="U16" s="12"/>
      <c r="V16" s="12"/>
      <c r="W16" s="12"/>
      <c r="X16" s="15" t="n">
        <f aca="false">2000+MOD($R$4*47+5,31)*100</f>
        <v>4100</v>
      </c>
      <c r="Y16" s="15"/>
      <c r="Z16" s="15"/>
      <c r="AA16" s="15"/>
      <c r="AB16" s="15"/>
      <c r="AC16" s="15"/>
    </row>
    <row r="17" customFormat="false" ht="16.5" hidden="false" customHeight="true" outlineLevel="0" collapsed="false">
      <c r="B17" s="12" t="s">
        <v>200</v>
      </c>
      <c r="C17" s="12"/>
      <c r="D17" s="12"/>
      <c r="E17" s="12"/>
      <c r="F17" s="12"/>
      <c r="G17" s="12"/>
      <c r="H17" s="12"/>
      <c r="I17" s="12"/>
      <c r="J17" s="12"/>
      <c r="K17" s="12"/>
      <c r="L17" s="12"/>
      <c r="M17" s="12"/>
      <c r="N17" s="12"/>
      <c r="O17" s="12"/>
      <c r="P17" s="12"/>
      <c r="Q17" s="12"/>
      <c r="R17" s="12"/>
      <c r="S17" s="12"/>
      <c r="T17" s="12"/>
      <c r="U17" s="12"/>
      <c r="V17" s="12"/>
      <c r="W17" s="12"/>
      <c r="X17" s="15" t="n">
        <f aca="false">100+MOD($R$4*43+51,11)*50</f>
        <v>400</v>
      </c>
      <c r="Y17" s="15"/>
      <c r="Z17" s="15"/>
      <c r="AA17" s="15"/>
      <c r="AB17" s="15"/>
      <c r="AC17" s="15"/>
    </row>
    <row r="20" customFormat="false" ht="18.75" hidden="false" customHeight="true" outlineLevel="0" collapsed="false">
      <c r="B20" s="3" t="s">
        <v>201</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36" t="s">
        <v>202</v>
      </c>
      <c r="C21" s="36"/>
      <c r="D21" s="36"/>
      <c r="E21" s="36"/>
      <c r="F21" s="36"/>
      <c r="G21" s="36"/>
      <c r="H21" s="36"/>
      <c r="I21" s="36"/>
      <c r="J21" s="36"/>
      <c r="K21" s="36"/>
      <c r="L21" s="36"/>
      <c r="M21" s="36"/>
      <c r="N21" s="36"/>
      <c r="O21" s="36"/>
      <c r="P21" s="36"/>
      <c r="Q21" s="36"/>
      <c r="R21" s="36"/>
      <c r="S21" s="36"/>
      <c r="T21" s="36"/>
      <c r="U21" s="36"/>
      <c r="V21" s="36"/>
      <c r="W21" s="36"/>
      <c r="X21" s="38"/>
      <c r="Y21" s="38"/>
      <c r="Z21" s="38"/>
      <c r="AA21" s="38"/>
      <c r="AB21" s="38"/>
      <c r="AC21" s="39" t="str">
        <f aca="false">IF(X21="","",IFERROR(IF(ABS(ABS(X21)-ABS('P11.11 Ans'!X21))&lt;0.5,"✓","✗"),"✗"))</f>
        <v/>
      </c>
    </row>
    <row r="22" customFormat="false" ht="17.25" hidden="false" customHeight="true" outlineLevel="0" collapsed="false">
      <c r="B22" s="36" t="s">
        <v>203</v>
      </c>
      <c r="C22" s="36"/>
      <c r="D22" s="36"/>
      <c r="E22" s="36"/>
      <c r="F22" s="36"/>
      <c r="G22" s="36"/>
      <c r="H22" s="36"/>
      <c r="I22" s="36"/>
      <c r="J22" s="36"/>
      <c r="K22" s="36"/>
      <c r="L22" s="36"/>
      <c r="M22" s="36"/>
      <c r="N22" s="36"/>
      <c r="O22" s="36"/>
      <c r="P22" s="36"/>
      <c r="Q22" s="36"/>
      <c r="R22" s="36"/>
      <c r="S22" s="36"/>
      <c r="T22" s="36"/>
      <c r="U22" s="36"/>
      <c r="V22" s="36"/>
      <c r="W22" s="36"/>
      <c r="X22" s="38"/>
      <c r="Y22" s="38"/>
      <c r="Z22" s="38"/>
      <c r="AA22" s="38"/>
      <c r="AB22" s="38"/>
      <c r="AC22" s="39" t="str">
        <f aca="false">IF(X22="","",IFERROR(IF(ABS(ABS(X22)-ABS('P11.11 Ans'!X22))&lt;0.5,"✓","✗"),"✗"))</f>
        <v/>
      </c>
    </row>
    <row r="23" customFormat="false" ht="17.25" hidden="false" customHeight="true" outlineLevel="0" collapsed="false">
      <c r="B23" s="36" t="s">
        <v>204</v>
      </c>
      <c r="C23" s="36"/>
      <c r="D23" s="36"/>
      <c r="E23" s="36"/>
      <c r="F23" s="36"/>
      <c r="G23" s="36"/>
      <c r="H23" s="36"/>
      <c r="I23" s="36"/>
      <c r="J23" s="36"/>
      <c r="K23" s="36"/>
      <c r="L23" s="36"/>
      <c r="M23" s="36"/>
      <c r="N23" s="36"/>
      <c r="O23" s="36"/>
      <c r="P23" s="36"/>
      <c r="Q23" s="36"/>
      <c r="R23" s="36"/>
      <c r="S23" s="36"/>
      <c r="T23" s="36"/>
      <c r="U23" s="36"/>
      <c r="V23" s="36"/>
      <c r="W23" s="36"/>
      <c r="X23" s="38"/>
      <c r="Y23" s="38"/>
      <c r="Z23" s="38"/>
      <c r="AA23" s="38"/>
      <c r="AB23" s="38"/>
      <c r="AC23" s="39" t="str">
        <f aca="false">IF(X23="","",IFERROR(IF(ABS(ABS(X23)-ABS('P11.11 Ans'!X23))&lt;0.5,"✓","✗"),"✗"))</f>
        <v/>
      </c>
    </row>
    <row r="25" customFormat="false" ht="18.75" hidden="false" customHeight="true" outlineLevel="0" collapsed="false">
      <c r="B25" s="3" t="s">
        <v>205</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5" hidden="false" customHeight="false" outlineLevel="0" collapsed="false">
      <c r="B26" s="17" t="s">
        <v>64</v>
      </c>
      <c r="C26" s="17"/>
      <c r="D26" s="17"/>
      <c r="E26" s="18" t="s">
        <v>206</v>
      </c>
      <c r="F26" s="18"/>
      <c r="G26" s="18"/>
      <c r="H26" s="18"/>
      <c r="I26" s="18"/>
      <c r="J26" s="18"/>
      <c r="K26" s="18"/>
      <c r="L26" s="18"/>
      <c r="M26" s="18"/>
      <c r="N26" s="18"/>
      <c r="O26" s="18"/>
      <c r="P26" s="18"/>
      <c r="Q26" s="18"/>
      <c r="R26" s="18"/>
      <c r="S26" s="18"/>
      <c r="T26" s="18"/>
      <c r="U26" s="18"/>
      <c r="V26" s="18"/>
      <c r="W26" s="18"/>
      <c r="X26" s="18"/>
      <c r="Y26" s="18"/>
      <c r="Z26" s="18"/>
      <c r="AA26" s="18"/>
      <c r="AB26" s="18"/>
      <c r="AC26" s="18"/>
      <c r="AD26" s="19" t="s">
        <v>66</v>
      </c>
      <c r="AE26" s="19"/>
      <c r="AF26" s="19"/>
    </row>
    <row r="27" customFormat="false" ht="15" hidden="false" customHeight="false" outlineLevel="0" collapsed="false">
      <c r="B27" s="20" t="s">
        <v>67</v>
      </c>
      <c r="C27" s="20"/>
      <c r="D27" s="20"/>
      <c r="E27" s="20" t="s">
        <v>68</v>
      </c>
      <c r="F27" s="20"/>
      <c r="G27" s="20"/>
      <c r="H27" s="20"/>
      <c r="I27" s="20"/>
      <c r="J27" s="20"/>
      <c r="K27" s="20"/>
      <c r="L27" s="21" t="s">
        <v>69</v>
      </c>
      <c r="M27" s="22" t="s">
        <v>70</v>
      </c>
      <c r="N27" s="22"/>
      <c r="O27" s="22"/>
      <c r="P27" s="22"/>
      <c r="Q27" s="23"/>
      <c r="R27" s="24" t="s">
        <v>67</v>
      </c>
      <c r="S27" s="24"/>
      <c r="T27" s="24"/>
      <c r="U27" s="20" t="s">
        <v>68</v>
      </c>
      <c r="V27" s="20"/>
      <c r="W27" s="20"/>
      <c r="X27" s="20"/>
      <c r="Y27" s="20"/>
      <c r="Z27" s="20"/>
      <c r="AA27" s="20"/>
      <c r="AB27" s="21" t="s">
        <v>69</v>
      </c>
      <c r="AC27" s="22" t="s">
        <v>70</v>
      </c>
      <c r="AD27" s="22"/>
      <c r="AE27" s="22"/>
      <c r="AF27" s="22"/>
    </row>
    <row r="28" customFormat="false" ht="16.5" hidden="false" customHeight="true" outlineLevel="0" collapsed="false">
      <c r="B28" s="25" t="s">
        <v>71</v>
      </c>
      <c r="C28" s="25"/>
      <c r="D28" s="25"/>
      <c r="M28" s="26" t="s">
        <v>72</v>
      </c>
      <c r="N28" s="26"/>
      <c r="O28" s="26"/>
      <c r="R28" s="27" t="s">
        <v>71</v>
      </c>
      <c r="S28" s="27"/>
      <c r="T28" s="27"/>
      <c r="AC28" s="26" t="s">
        <v>72</v>
      </c>
      <c r="AD28" s="26"/>
      <c r="AE28" s="26"/>
    </row>
    <row r="29" customFormat="false" ht="17.25" hidden="false" customHeight="true" outlineLevel="0" collapsed="false">
      <c r="B29" s="6"/>
      <c r="C29" s="6"/>
      <c r="D29" s="6"/>
      <c r="E29" s="28" t="s">
        <v>76</v>
      </c>
      <c r="F29" s="28"/>
      <c r="G29" s="28"/>
      <c r="H29" s="28"/>
      <c r="I29" s="28"/>
      <c r="J29" s="28"/>
      <c r="K29" s="28"/>
      <c r="L29" s="29" t="s">
        <v>77</v>
      </c>
      <c r="M29" s="38"/>
      <c r="N29" s="38"/>
      <c r="O29" s="38"/>
      <c r="P29" s="39" t="str">
        <f aca="false">IF(M29="","",IFERROR(IF(ABS(ABS(M29)-ABS('P11.11 Ans'!M29))&lt;0.5,"✓","✗"),"✗"))</f>
        <v/>
      </c>
      <c r="R29" s="30" t="s">
        <v>207</v>
      </c>
      <c r="S29" s="30"/>
      <c r="T29" s="30"/>
      <c r="U29" s="28" t="s">
        <v>157</v>
      </c>
      <c r="V29" s="28"/>
      <c r="W29" s="28"/>
      <c r="X29" s="28"/>
      <c r="Y29" s="28"/>
      <c r="Z29" s="28"/>
      <c r="AA29" s="28"/>
      <c r="AB29" s="29"/>
      <c r="AC29" s="38"/>
      <c r="AD29" s="38"/>
      <c r="AE29" s="38"/>
      <c r="AF29" s="39" t="str">
        <f aca="false">IF(AC29="","",IFERROR(IF(ABS(ABS(AC29)-ABS('P11.11 Ans'!AC29))&lt;0.5,"✓","✗"),"✗"))</f>
        <v/>
      </c>
    </row>
    <row r="30" customFormat="false" ht="16.5" hidden="false" customHeight="true" outlineLevel="0" collapsed="false">
      <c r="B30" s="25" t="s">
        <v>83</v>
      </c>
      <c r="C30" s="25"/>
      <c r="D30" s="25"/>
      <c r="R30" s="27" t="s">
        <v>83</v>
      </c>
      <c r="S30" s="27"/>
      <c r="T30" s="27"/>
    </row>
    <row r="31" customFormat="false" ht="17.25" hidden="false" customHeight="true" outlineLevel="0" collapsed="false">
      <c r="B31" s="6" t="s">
        <v>208</v>
      </c>
      <c r="C31" s="6"/>
      <c r="D31" s="6"/>
      <c r="E31" s="28" t="s">
        <v>156</v>
      </c>
      <c r="F31" s="28"/>
      <c r="G31" s="28"/>
      <c r="H31" s="28"/>
      <c r="I31" s="28"/>
      <c r="J31" s="28"/>
      <c r="K31" s="28"/>
      <c r="L31" s="29"/>
      <c r="M31" s="38"/>
      <c r="N31" s="38"/>
      <c r="O31" s="38"/>
      <c r="P31" s="39" t="str">
        <f aca="false">IF(M31="","",IFERROR(IF(ABS(ABS(M31)-ABS('P11.11 Ans'!M31))&lt;0.5,"✓","✗"),"✗"))</f>
        <v/>
      </c>
      <c r="R31" s="30" t="s">
        <v>208</v>
      </c>
      <c r="S31" s="30"/>
      <c r="T31" s="30"/>
      <c r="U31" s="28" t="s">
        <v>79</v>
      </c>
      <c r="V31" s="28"/>
      <c r="W31" s="28"/>
      <c r="X31" s="28"/>
      <c r="Y31" s="28"/>
      <c r="Z31" s="28"/>
      <c r="AA31" s="28"/>
      <c r="AB31" s="29" t="s">
        <v>80</v>
      </c>
      <c r="AC31" s="38"/>
      <c r="AD31" s="38"/>
      <c r="AE31" s="38"/>
      <c r="AF31" s="39" t="str">
        <f aca="false">IF(AC31="","",IFERROR(IF(ABS(ABS(AC31)-ABS('P11.11 Ans'!AC31))&lt;0.5,"✓","✗"),"✗"))</f>
        <v/>
      </c>
    </row>
    <row r="32" customFormat="false" ht="16.5" hidden="false" customHeight="true" outlineLevel="0" collapsed="false">
      <c r="M32" s="42"/>
      <c r="N32" s="42"/>
      <c r="O32" s="42"/>
      <c r="P32" s="39" t="str">
        <f aca="false">IF(M32="","",IFERROR(IF(ABS(ABS(M32)-ABS('P11.11 Ans'!M32))&lt;0.5,"✓","✗"),"✗"))</f>
        <v/>
      </c>
      <c r="R32" s="32"/>
      <c r="AC32" s="42"/>
      <c r="AD32" s="42"/>
      <c r="AE32" s="42"/>
      <c r="AF32" s="39" t="str">
        <f aca="false">IF(AC32="","",IFERROR(IF(ABS(ABS(AC32)-ABS('P11.11 Ans'!AC32))&lt;0.5,"✓","✗"),"✗"))</f>
        <v/>
      </c>
    </row>
    <row r="33" customFormat="false" ht="17.25" hidden="false" customHeight="true" outlineLevel="0" collapsed="false">
      <c r="R33" s="30" t="s">
        <v>207</v>
      </c>
      <c r="S33" s="30"/>
      <c r="T33" s="30"/>
      <c r="U33" s="28" t="s">
        <v>157</v>
      </c>
      <c r="V33" s="28"/>
      <c r="W33" s="28"/>
      <c r="X33" s="28"/>
      <c r="Y33" s="28"/>
      <c r="Z33" s="28"/>
      <c r="AA33" s="28"/>
      <c r="AB33" s="29"/>
      <c r="AC33" s="38"/>
      <c r="AD33" s="38"/>
      <c r="AE33" s="38"/>
      <c r="AF33" s="39" t="str">
        <f aca="false">IF(AC33="","",IFERROR(IF(ABS(ABS(AC33)-ABS('P11.11 Ans'!AC33))&lt;0.5,"✓","✗"),"✗"))</f>
        <v/>
      </c>
    </row>
    <row r="35" customFormat="false" ht="18.75" hidden="false" customHeight="true" outlineLevel="0" collapsed="false">
      <c r="B35" s="3" t="s">
        <v>209</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7.25" hidden="false" customHeight="true" outlineLevel="0" collapsed="false">
      <c r="B36" s="36" t="s">
        <v>210</v>
      </c>
      <c r="C36" s="36"/>
      <c r="D36" s="36"/>
      <c r="E36" s="36"/>
      <c r="F36" s="36"/>
      <c r="G36" s="36"/>
      <c r="H36" s="36"/>
      <c r="I36" s="36"/>
      <c r="J36" s="36"/>
      <c r="K36" s="36"/>
      <c r="L36" s="36"/>
      <c r="M36" s="36"/>
      <c r="N36" s="36"/>
      <c r="O36" s="36"/>
      <c r="P36" s="36"/>
      <c r="Q36" s="36"/>
      <c r="R36" s="36"/>
      <c r="S36" s="36"/>
      <c r="T36" s="36"/>
      <c r="U36" s="36"/>
      <c r="V36" s="36"/>
      <c r="W36" s="36"/>
      <c r="X36" s="38"/>
      <c r="Y36" s="38"/>
      <c r="Z36" s="38"/>
      <c r="AA36" s="38"/>
      <c r="AB36" s="38"/>
      <c r="AC36" s="39" t="str">
        <f aca="false">IF(X36="","",IFERROR(IF(ABS(ABS(X36)-ABS('P11.11 Ans'!X36))&lt;0.5,"✓","✗"),"✗"))</f>
        <v/>
      </c>
    </row>
    <row r="37" customFormat="false" ht="17.25" hidden="false" customHeight="true" outlineLevel="0" collapsed="false">
      <c r="B37" s="36" t="s">
        <v>211</v>
      </c>
      <c r="C37" s="36"/>
      <c r="D37" s="36"/>
      <c r="E37" s="36"/>
      <c r="F37" s="36"/>
      <c r="G37" s="36"/>
      <c r="H37" s="36"/>
      <c r="I37" s="36"/>
      <c r="J37" s="36"/>
      <c r="K37" s="36"/>
      <c r="L37" s="36"/>
      <c r="M37" s="36"/>
      <c r="N37" s="36"/>
      <c r="O37" s="36"/>
      <c r="P37" s="36"/>
      <c r="Q37" s="36"/>
      <c r="R37" s="36"/>
      <c r="S37" s="36"/>
      <c r="T37" s="36"/>
      <c r="U37" s="36"/>
      <c r="V37" s="36"/>
      <c r="W37" s="36"/>
      <c r="X37" s="38"/>
      <c r="Y37" s="38"/>
      <c r="Z37" s="38"/>
      <c r="AA37" s="38"/>
      <c r="AB37" s="38"/>
      <c r="AC37" s="39" t="str">
        <f aca="false">IF(X37="","",IFERROR(IF(ABS(ABS(X37)-ABS('P11.11 Ans'!X37))&lt;0.5,"✓","✗"),"✗"))</f>
        <v/>
      </c>
    </row>
  </sheetData>
  <mergeCells count="73">
    <mergeCell ref="B1:AF1"/>
    <mergeCell ref="B2:AF2"/>
    <mergeCell ref="B3:G3"/>
    <mergeCell ref="H3:AF3"/>
    <mergeCell ref="B4:Q4"/>
    <mergeCell ref="R4:U4"/>
    <mergeCell ref="W4:AF4"/>
    <mergeCell ref="B6:W6"/>
    <mergeCell ref="X6:AC6"/>
    <mergeCell ref="B7:AC7"/>
    <mergeCell ref="B8:W8"/>
    <mergeCell ref="X8:AC8"/>
    <mergeCell ref="B9:W9"/>
    <mergeCell ref="X9:AC9"/>
    <mergeCell ref="B10:W10"/>
    <mergeCell ref="X10:AC10"/>
    <mergeCell ref="B11:AC11"/>
    <mergeCell ref="B12:W12"/>
    <mergeCell ref="X12:AC12"/>
    <mergeCell ref="B13:W13"/>
    <mergeCell ref="X13:AC13"/>
    <mergeCell ref="B14:W14"/>
    <mergeCell ref="X14:AC14"/>
    <mergeCell ref="B15:AC15"/>
    <mergeCell ref="B16:W16"/>
    <mergeCell ref="X16:AC16"/>
    <mergeCell ref="B17:W17"/>
    <mergeCell ref="X17:AC17"/>
    <mergeCell ref="B20:AF20"/>
    <mergeCell ref="B21:W21"/>
    <mergeCell ref="X21:AB21"/>
    <mergeCell ref="B22:W22"/>
    <mergeCell ref="X22:AB22"/>
    <mergeCell ref="B23:W23"/>
    <mergeCell ref="X23:AB23"/>
    <mergeCell ref="B25:AF25"/>
    <mergeCell ref="B26:D26"/>
    <mergeCell ref="E26:AC26"/>
    <mergeCell ref="AD26:AF26"/>
    <mergeCell ref="B27:D27"/>
    <mergeCell ref="E27:K27"/>
    <mergeCell ref="M27:P27"/>
    <mergeCell ref="R27:T27"/>
    <mergeCell ref="U27:AA27"/>
    <mergeCell ref="AC27:AF27"/>
    <mergeCell ref="B28:D28"/>
    <mergeCell ref="M28:O28"/>
    <mergeCell ref="R28:T28"/>
    <mergeCell ref="AC28:AE28"/>
    <mergeCell ref="B29:D29"/>
    <mergeCell ref="E29:K29"/>
    <mergeCell ref="M29:O29"/>
    <mergeCell ref="R29:T29"/>
    <mergeCell ref="U29:AA29"/>
    <mergeCell ref="AC29:AE29"/>
    <mergeCell ref="B30:D30"/>
    <mergeCell ref="R30:T30"/>
    <mergeCell ref="B31:D31"/>
    <mergeCell ref="E31:K31"/>
    <mergeCell ref="M31:O31"/>
    <mergeCell ref="R31:T31"/>
    <mergeCell ref="U31:AA31"/>
    <mergeCell ref="AC31:AE31"/>
    <mergeCell ref="M32:O32"/>
    <mergeCell ref="AC32:AE32"/>
    <mergeCell ref="R33:T33"/>
    <mergeCell ref="U33:AA33"/>
    <mergeCell ref="AC33:AE33"/>
    <mergeCell ref="B35:AF35"/>
    <mergeCell ref="B36:W36"/>
    <mergeCell ref="X36:AB36"/>
    <mergeCell ref="B37:W37"/>
    <mergeCell ref="X37:AB37"/>
  </mergeCells>
  <conditionalFormatting sqref="B4:AG3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288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289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290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124</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125</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126</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33" t="s">
        <v>127</v>
      </c>
      <c r="C8" s="33"/>
      <c r="D8" s="33"/>
      <c r="E8" s="33"/>
      <c r="F8" s="33"/>
      <c r="G8" s="33"/>
      <c r="H8" s="33"/>
      <c r="I8" s="33"/>
      <c r="J8" s="33"/>
      <c r="K8" s="33"/>
      <c r="L8" s="33"/>
      <c r="M8" s="33"/>
      <c r="N8" s="33"/>
      <c r="O8" s="33"/>
      <c r="P8" s="33"/>
      <c r="Q8" s="33"/>
      <c r="R8" s="33"/>
      <c r="S8" s="33"/>
      <c r="T8" s="33"/>
      <c r="U8" s="33"/>
      <c r="V8" s="33"/>
      <c r="W8" s="33"/>
      <c r="X8" s="34" t="s">
        <v>114</v>
      </c>
      <c r="Y8" s="34"/>
      <c r="Z8" s="34"/>
      <c r="AA8" s="34"/>
      <c r="AB8" s="34"/>
      <c r="AC8" s="34"/>
    </row>
    <row r="9" customFormat="false" ht="16.5" hidden="false" customHeight="true" outlineLevel="0" collapsed="false">
      <c r="B9" s="12" t="s">
        <v>128</v>
      </c>
      <c r="C9" s="12"/>
      <c r="D9" s="12"/>
      <c r="E9" s="12"/>
      <c r="F9" s="12"/>
      <c r="G9" s="12"/>
      <c r="H9" s="12"/>
      <c r="I9" s="12"/>
      <c r="J9" s="12"/>
      <c r="K9" s="12"/>
      <c r="L9" s="12"/>
      <c r="M9" s="12"/>
      <c r="N9" s="12"/>
      <c r="O9" s="12"/>
      <c r="P9" s="12"/>
      <c r="Q9" s="12"/>
      <c r="R9" s="12"/>
      <c r="S9" s="12"/>
      <c r="T9" s="12"/>
      <c r="U9" s="12"/>
      <c r="V9" s="12"/>
      <c r="W9" s="12"/>
      <c r="X9" s="54" t="n">
        <f aca="false">'Q11.8'!X9</f>
        <v>800</v>
      </c>
      <c r="Y9" s="54"/>
      <c r="Z9" s="54"/>
      <c r="AA9" s="54"/>
      <c r="AB9" s="54"/>
      <c r="AC9" s="54"/>
    </row>
    <row r="10" customFormat="false" ht="16.5" hidden="false" customHeight="true" outlineLevel="0" collapsed="false">
      <c r="B10" s="12" t="s">
        <v>129</v>
      </c>
      <c r="C10" s="12"/>
      <c r="D10" s="12"/>
      <c r="E10" s="12"/>
      <c r="F10" s="12"/>
      <c r="G10" s="12"/>
      <c r="H10" s="12"/>
      <c r="I10" s="12"/>
      <c r="J10" s="12"/>
      <c r="K10" s="12"/>
      <c r="L10" s="12"/>
      <c r="M10" s="12"/>
      <c r="N10" s="12"/>
      <c r="O10" s="12"/>
      <c r="P10" s="12"/>
      <c r="Q10" s="12"/>
      <c r="R10" s="12"/>
      <c r="S10" s="12"/>
      <c r="T10" s="12"/>
      <c r="U10" s="12"/>
      <c r="V10" s="12"/>
      <c r="W10" s="12"/>
      <c r="X10" s="54" t="n">
        <f aca="false">'Q11.8'!X10</f>
        <v>8800</v>
      </c>
      <c r="Y10" s="54"/>
      <c r="Z10" s="54"/>
      <c r="AA10" s="54"/>
      <c r="AB10" s="54"/>
      <c r="AC10" s="54"/>
    </row>
    <row r="11" customFormat="false" ht="16.5" hidden="false" customHeight="true" outlineLevel="0" collapsed="false">
      <c r="B11" s="12" t="s">
        <v>130</v>
      </c>
      <c r="C11" s="12"/>
      <c r="D11" s="12"/>
      <c r="E11" s="12"/>
      <c r="F11" s="12"/>
      <c r="G11" s="12"/>
      <c r="H11" s="12"/>
      <c r="I11" s="12"/>
      <c r="J11" s="12"/>
      <c r="K11" s="12"/>
      <c r="L11" s="12"/>
      <c r="M11" s="12"/>
      <c r="N11" s="12"/>
      <c r="O11" s="12"/>
      <c r="P11" s="12"/>
      <c r="Q11" s="12"/>
      <c r="R11" s="12"/>
      <c r="S11" s="12"/>
      <c r="T11" s="12"/>
      <c r="U11" s="12"/>
      <c r="V11" s="12"/>
      <c r="W11" s="12"/>
      <c r="X11" s="54" t="n">
        <f aca="false">'Q11.8'!X11</f>
        <v>1800</v>
      </c>
      <c r="Y11" s="54"/>
      <c r="Z11" s="54"/>
      <c r="AA11" s="54"/>
      <c r="AB11" s="54"/>
      <c r="AC11" s="54"/>
    </row>
    <row r="12" customFormat="false" ht="16.5" hidden="false" customHeight="true" outlineLevel="0" collapsed="false">
      <c r="B12" s="12" t="s">
        <v>131</v>
      </c>
      <c r="C12" s="12"/>
      <c r="D12" s="12"/>
      <c r="E12" s="12"/>
      <c r="F12" s="12"/>
      <c r="G12" s="12"/>
      <c r="H12" s="12"/>
      <c r="I12" s="12"/>
      <c r="J12" s="12"/>
      <c r="K12" s="12"/>
      <c r="L12" s="12"/>
      <c r="M12" s="12"/>
      <c r="N12" s="12"/>
      <c r="O12" s="12"/>
      <c r="P12" s="12"/>
      <c r="Q12" s="12"/>
      <c r="R12" s="12"/>
      <c r="S12" s="12"/>
      <c r="T12" s="12"/>
      <c r="U12" s="12"/>
      <c r="V12" s="12"/>
      <c r="W12" s="12"/>
      <c r="X12" s="54" t="n">
        <f aca="false">'Q11.8'!X12</f>
        <v>300</v>
      </c>
      <c r="Y12" s="54"/>
      <c r="Z12" s="54"/>
      <c r="AA12" s="54"/>
      <c r="AB12" s="54"/>
      <c r="AC12" s="54"/>
    </row>
    <row r="15" customFormat="false" ht="18.75" hidden="false" customHeight="true" outlineLevel="0" collapsed="false">
      <c r="B15" s="3" t="s">
        <v>132</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ustomFormat="false" ht="17.25" hidden="false" customHeight="true" outlineLevel="0" collapsed="false">
      <c r="B16" s="36" t="s">
        <v>133</v>
      </c>
      <c r="C16" s="36"/>
      <c r="D16" s="36"/>
      <c r="E16" s="36"/>
      <c r="F16" s="36"/>
      <c r="G16" s="36"/>
      <c r="H16" s="36"/>
      <c r="I16" s="36"/>
      <c r="J16" s="36"/>
      <c r="K16" s="36"/>
      <c r="L16" s="36"/>
      <c r="M16" s="36"/>
      <c r="N16" s="36"/>
      <c r="O16" s="36"/>
      <c r="P16" s="36"/>
      <c r="Q16" s="36"/>
      <c r="R16" s="36"/>
      <c r="S16" s="36"/>
      <c r="T16" s="36"/>
      <c r="U16" s="36"/>
      <c r="V16" s="36"/>
      <c r="W16" s="36"/>
      <c r="X16" s="55" t="n">
        <f aca="false">12*$X$9</f>
        <v>9600</v>
      </c>
      <c r="Y16" s="55"/>
      <c r="Z16" s="55"/>
      <c r="AA16" s="55"/>
      <c r="AB16" s="55"/>
    </row>
    <row r="17" customFormat="false" ht="17.25" hidden="false" customHeight="true" outlineLevel="0" collapsed="false">
      <c r="B17" s="36" t="s">
        <v>134</v>
      </c>
      <c r="C17" s="36"/>
      <c r="D17" s="36"/>
      <c r="E17" s="36"/>
      <c r="F17" s="36"/>
      <c r="G17" s="36"/>
      <c r="H17" s="36"/>
      <c r="I17" s="36"/>
      <c r="J17" s="36"/>
      <c r="K17" s="36"/>
      <c r="L17" s="36"/>
      <c r="M17" s="36"/>
      <c r="N17" s="36"/>
      <c r="O17" s="36"/>
      <c r="P17" s="36"/>
      <c r="Q17" s="36"/>
      <c r="R17" s="36"/>
      <c r="S17" s="36"/>
      <c r="T17" s="36"/>
      <c r="U17" s="36"/>
      <c r="V17" s="36"/>
      <c r="W17" s="36"/>
      <c r="X17" s="55" t="n">
        <f aca="false">12*$X$9-$X$10</f>
        <v>800</v>
      </c>
      <c r="Y17" s="55"/>
      <c r="Z17" s="55"/>
      <c r="AA17" s="55"/>
      <c r="AB17" s="55"/>
    </row>
    <row r="19" customFormat="false" ht="18.75" hidden="false" customHeight="true" outlineLevel="0" collapsed="false">
      <c r="B19" s="3" t="s">
        <v>135</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ustomFormat="false" ht="17.25" hidden="false" customHeight="true" outlineLevel="0" collapsed="false">
      <c r="B20" s="36" t="s">
        <v>136</v>
      </c>
      <c r="C20" s="36"/>
      <c r="D20" s="36"/>
      <c r="E20" s="36"/>
      <c r="F20" s="36"/>
      <c r="G20" s="36"/>
      <c r="H20" s="36"/>
      <c r="I20" s="36"/>
      <c r="J20" s="36"/>
      <c r="K20" s="36"/>
      <c r="L20" s="36"/>
      <c r="M20" s="36"/>
      <c r="N20" s="36"/>
      <c r="O20" s="36"/>
      <c r="P20" s="36"/>
      <c r="Q20" s="36"/>
      <c r="R20" s="36"/>
      <c r="S20" s="36"/>
      <c r="T20" s="36"/>
      <c r="U20" s="36"/>
      <c r="V20" s="36"/>
      <c r="W20" s="36"/>
      <c r="X20" s="55" t="n">
        <f aca="false">$X$11-$X$12</f>
        <v>1500</v>
      </c>
      <c r="Y20" s="55"/>
      <c r="Z20" s="55"/>
      <c r="AA20" s="55"/>
      <c r="AB20" s="55"/>
    </row>
    <row r="22" customFormat="false" ht="18.75" hidden="false" customHeight="true" outlineLevel="0" collapsed="false">
      <c r="B22" s="3" t="s">
        <v>137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36" t="s">
        <v>138</v>
      </c>
      <c r="C23" s="36"/>
      <c r="D23" s="36"/>
      <c r="E23" s="36"/>
      <c r="F23" s="36"/>
      <c r="G23" s="36"/>
      <c r="H23" s="36"/>
      <c r="I23" s="36"/>
      <c r="J23" s="36"/>
      <c r="K23" s="36"/>
      <c r="L23" s="36"/>
      <c r="M23" s="36"/>
      <c r="N23" s="36"/>
      <c r="O23" s="36"/>
      <c r="P23" s="36"/>
      <c r="Q23" s="36"/>
      <c r="R23" s="36"/>
      <c r="S23" s="36"/>
      <c r="T23" s="56" t="str">
        <f aca="false">"Current liabilities (other payables)"</f>
        <v>Current liabilities (other payables)</v>
      </c>
      <c r="U23" s="56"/>
      <c r="V23" s="56"/>
      <c r="W23" s="56"/>
      <c r="X23" s="56"/>
      <c r="Y23" s="56"/>
      <c r="Z23" s="56"/>
      <c r="AA23" s="56"/>
      <c r="AB23" s="56"/>
    </row>
    <row r="24" customFormat="false" ht="17.25" hidden="false" customHeight="true" outlineLevel="0" collapsed="false">
      <c r="B24" s="36" t="s">
        <v>139</v>
      </c>
      <c r="C24" s="36"/>
      <c r="D24" s="36"/>
      <c r="E24" s="36"/>
      <c r="F24" s="36"/>
      <c r="G24" s="36"/>
      <c r="H24" s="36"/>
      <c r="I24" s="36"/>
      <c r="J24" s="36"/>
      <c r="K24" s="36"/>
      <c r="L24" s="36"/>
      <c r="M24" s="36"/>
      <c r="N24" s="36"/>
      <c r="O24" s="36"/>
      <c r="P24" s="36"/>
      <c r="Q24" s="36"/>
      <c r="R24" s="36"/>
      <c r="S24" s="36"/>
      <c r="T24" s="56" t="str">
        <f aca="false">"Current assets (other receivables)"</f>
        <v>Current assets (other receivables)</v>
      </c>
      <c r="U24" s="56"/>
      <c r="V24" s="56"/>
      <c r="W24" s="56"/>
      <c r="X24" s="56"/>
      <c r="Y24" s="56"/>
      <c r="Z24" s="56"/>
      <c r="AA24" s="56"/>
      <c r="AB24" s="56"/>
    </row>
    <row r="26" customFormat="false" ht="18.75" hidden="false" customHeight="true" outlineLevel="0" collapsed="false">
      <c r="B26" s="3" t="s">
        <v>140</v>
      </c>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ustomFormat="false" ht="17.25" hidden="false" customHeight="true" outlineLevel="0" collapsed="false">
      <c r="B27" s="36" t="s">
        <v>141</v>
      </c>
      <c r="C27" s="36"/>
      <c r="D27" s="36"/>
      <c r="E27" s="36"/>
      <c r="F27" s="36"/>
      <c r="G27" s="36"/>
      <c r="H27" s="36"/>
      <c r="I27" s="36"/>
      <c r="J27" s="36"/>
      <c r="K27" s="36"/>
      <c r="L27" s="36"/>
      <c r="M27" s="36"/>
      <c r="N27" s="36"/>
      <c r="O27" s="36"/>
      <c r="P27" s="36"/>
      <c r="Q27" s="36"/>
      <c r="R27" s="36"/>
      <c r="S27" s="36"/>
      <c r="T27" s="56" t="str">
        <f aca="false">"Accruals"</f>
        <v>Accruals</v>
      </c>
      <c r="U27" s="56"/>
      <c r="V27" s="56"/>
      <c r="W27" s="56"/>
      <c r="X27" s="56"/>
      <c r="Y27" s="56"/>
      <c r="Z27" s="56"/>
      <c r="AA27" s="56"/>
      <c r="AB27" s="56"/>
    </row>
  </sheetData>
  <mergeCells count="32">
    <mergeCell ref="B1:AF1"/>
    <mergeCell ref="B2:AF2"/>
    <mergeCell ref="B3:AF3"/>
    <mergeCell ref="B5:AF5"/>
    <mergeCell ref="C6:AF6"/>
    <mergeCell ref="C7:AF7"/>
    <mergeCell ref="B8:W8"/>
    <mergeCell ref="X8:AC8"/>
    <mergeCell ref="B9:W9"/>
    <mergeCell ref="X9:AC9"/>
    <mergeCell ref="B10:W10"/>
    <mergeCell ref="X10:AC10"/>
    <mergeCell ref="B11:W11"/>
    <mergeCell ref="X11:AC11"/>
    <mergeCell ref="B12:W12"/>
    <mergeCell ref="X12:AC12"/>
    <mergeCell ref="B15:AF15"/>
    <mergeCell ref="B16:W16"/>
    <mergeCell ref="X16:AB16"/>
    <mergeCell ref="B17:W17"/>
    <mergeCell ref="X17:AB17"/>
    <mergeCell ref="B19:AF19"/>
    <mergeCell ref="B20:W20"/>
    <mergeCell ref="X20:AB20"/>
    <mergeCell ref="B22:AF22"/>
    <mergeCell ref="B23:S23"/>
    <mergeCell ref="T23:AB23"/>
    <mergeCell ref="B24:S24"/>
    <mergeCell ref="T24:AB24"/>
    <mergeCell ref="B26:AF26"/>
    <mergeCell ref="B27:S27"/>
    <mergeCell ref="T27:AB27"/>
  </mergeCells>
  <conditionalFormatting sqref="B1:AG2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4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291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289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290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124</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143</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144</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33" t="s">
        <v>127</v>
      </c>
      <c r="C8" s="33"/>
      <c r="D8" s="33"/>
      <c r="E8" s="33"/>
      <c r="F8" s="33"/>
      <c r="G8" s="33"/>
      <c r="H8" s="33"/>
      <c r="I8" s="33"/>
      <c r="J8" s="33"/>
      <c r="K8" s="33"/>
      <c r="L8" s="33"/>
      <c r="M8" s="33"/>
      <c r="N8" s="33"/>
      <c r="O8" s="33"/>
      <c r="P8" s="33"/>
      <c r="Q8" s="33"/>
      <c r="R8" s="33"/>
      <c r="S8" s="33"/>
      <c r="T8" s="33"/>
      <c r="U8" s="33"/>
      <c r="V8" s="33"/>
      <c r="W8" s="33"/>
      <c r="X8" s="34" t="s">
        <v>114</v>
      </c>
      <c r="Y8" s="34"/>
      <c r="Z8" s="34"/>
      <c r="AA8" s="34"/>
      <c r="AB8" s="34"/>
      <c r="AC8" s="34"/>
    </row>
    <row r="9" customFormat="false" ht="16.5" hidden="false" customHeight="true" outlineLevel="0" collapsed="false">
      <c r="B9" s="12" t="s">
        <v>145</v>
      </c>
      <c r="C9" s="12"/>
      <c r="D9" s="12"/>
      <c r="E9" s="12"/>
      <c r="F9" s="12"/>
      <c r="G9" s="12"/>
      <c r="H9" s="12"/>
      <c r="I9" s="12"/>
      <c r="J9" s="12"/>
      <c r="K9" s="12"/>
      <c r="L9" s="12"/>
      <c r="M9" s="12"/>
      <c r="N9" s="12"/>
      <c r="O9" s="12"/>
      <c r="P9" s="12"/>
      <c r="Q9" s="12"/>
      <c r="R9" s="12"/>
      <c r="S9" s="12"/>
      <c r="T9" s="12"/>
      <c r="U9" s="12"/>
      <c r="V9" s="12"/>
      <c r="W9" s="12"/>
      <c r="X9" s="54" t="n">
        <f aca="false">'Q11.9'!X9</f>
        <v>600</v>
      </c>
      <c r="Y9" s="54"/>
      <c r="Z9" s="54"/>
      <c r="AA9" s="54"/>
      <c r="AB9" s="54"/>
      <c r="AC9" s="54"/>
    </row>
    <row r="10" customFormat="false" ht="16.5" hidden="false" customHeight="true" outlineLevel="0" collapsed="false">
      <c r="B10" s="12" t="s">
        <v>146</v>
      </c>
      <c r="C10" s="12"/>
      <c r="D10" s="12"/>
      <c r="E10" s="12"/>
      <c r="F10" s="12"/>
      <c r="G10" s="12"/>
      <c r="H10" s="12"/>
      <c r="I10" s="12"/>
      <c r="J10" s="12"/>
      <c r="K10" s="12"/>
      <c r="L10" s="12"/>
      <c r="M10" s="12"/>
      <c r="N10" s="12"/>
      <c r="O10" s="12"/>
      <c r="P10" s="12"/>
      <c r="Q10" s="12"/>
      <c r="R10" s="12"/>
      <c r="S10" s="12"/>
      <c r="T10" s="12"/>
      <c r="U10" s="12"/>
      <c r="V10" s="12"/>
      <c r="W10" s="12"/>
      <c r="X10" s="54" t="n">
        <f aca="false">'Q11.9'!X10</f>
        <v>550</v>
      </c>
      <c r="Y10" s="54"/>
      <c r="Z10" s="54"/>
      <c r="AA10" s="54"/>
      <c r="AB10" s="54"/>
      <c r="AC10" s="54"/>
    </row>
    <row r="11" customFormat="false" ht="16.5" hidden="false" customHeight="true" outlineLevel="0" collapsed="false">
      <c r="B11" s="12" t="s">
        <v>147</v>
      </c>
      <c r="C11" s="12"/>
      <c r="D11" s="12"/>
      <c r="E11" s="12"/>
      <c r="F11" s="12"/>
      <c r="G11" s="12"/>
      <c r="H11" s="12"/>
      <c r="I11" s="12"/>
      <c r="J11" s="12"/>
      <c r="K11" s="12"/>
      <c r="L11" s="12"/>
      <c r="M11" s="12"/>
      <c r="N11" s="12"/>
      <c r="O11" s="12"/>
      <c r="P11" s="12"/>
      <c r="Q11" s="12"/>
      <c r="R11" s="12"/>
      <c r="S11" s="12"/>
      <c r="T11" s="12"/>
      <c r="U11" s="12"/>
      <c r="V11" s="12"/>
      <c r="W11" s="12"/>
      <c r="X11" s="54" t="n">
        <f aca="false">'Q11.9'!X11</f>
        <v>500</v>
      </c>
      <c r="Y11" s="54"/>
      <c r="Z11" s="54"/>
      <c r="AA11" s="54"/>
      <c r="AB11" s="54"/>
      <c r="AC11" s="54"/>
    </row>
    <row r="12" customFormat="false" ht="16.5" hidden="false" customHeight="true" outlineLevel="0" collapsed="false">
      <c r="B12" s="12" t="s">
        <v>148</v>
      </c>
      <c r="C12" s="12"/>
      <c r="D12" s="12"/>
      <c r="E12" s="12"/>
      <c r="F12" s="12"/>
      <c r="G12" s="12"/>
      <c r="H12" s="12"/>
      <c r="I12" s="12"/>
      <c r="J12" s="12"/>
      <c r="K12" s="12"/>
      <c r="L12" s="12"/>
      <c r="M12" s="12"/>
      <c r="N12" s="12"/>
      <c r="O12" s="12"/>
      <c r="P12" s="12"/>
      <c r="Q12" s="12"/>
      <c r="R12" s="12"/>
      <c r="S12" s="12"/>
      <c r="T12" s="12"/>
      <c r="U12" s="12"/>
      <c r="V12" s="12"/>
      <c r="W12" s="12"/>
      <c r="X12" s="54" t="n">
        <f aca="false">'Q11.9'!X12</f>
        <v>580</v>
      </c>
      <c r="Y12" s="54"/>
      <c r="Z12" s="54"/>
      <c r="AA12" s="54"/>
      <c r="AB12" s="54"/>
      <c r="AC12" s="54"/>
    </row>
    <row r="13" customFormat="false" ht="16.5" hidden="false" customHeight="true" outlineLevel="0" collapsed="false">
      <c r="B13" s="12" t="s">
        <v>149</v>
      </c>
      <c r="C13" s="12"/>
      <c r="D13" s="12"/>
      <c r="E13" s="12"/>
      <c r="F13" s="12"/>
      <c r="G13" s="12"/>
      <c r="H13" s="12"/>
      <c r="I13" s="12"/>
      <c r="J13" s="12"/>
      <c r="K13" s="12"/>
      <c r="L13" s="12"/>
      <c r="M13" s="12"/>
      <c r="N13" s="12"/>
      <c r="O13" s="12"/>
      <c r="P13" s="12"/>
      <c r="Q13" s="12"/>
      <c r="R13" s="12"/>
      <c r="S13" s="12"/>
      <c r="T13" s="12"/>
      <c r="U13" s="12"/>
      <c r="V13" s="12"/>
      <c r="W13" s="12"/>
      <c r="X13" s="54" t="n">
        <f aca="false">'Q11.9'!X13</f>
        <v>2400</v>
      </c>
      <c r="Y13" s="54"/>
      <c r="Z13" s="54"/>
      <c r="AA13" s="54"/>
      <c r="AB13" s="54"/>
      <c r="AC13" s="54"/>
    </row>
    <row r="14" customFormat="false" ht="16.5" hidden="false" customHeight="true" outlineLevel="0" collapsed="false">
      <c r="B14" s="12" t="s">
        <v>150</v>
      </c>
      <c r="C14" s="12"/>
      <c r="D14" s="12"/>
      <c r="E14" s="12"/>
      <c r="F14" s="12"/>
      <c r="G14" s="12"/>
      <c r="H14" s="12"/>
      <c r="I14" s="12"/>
      <c r="J14" s="12"/>
      <c r="K14" s="12"/>
      <c r="L14" s="12"/>
      <c r="M14" s="12"/>
      <c r="N14" s="12"/>
      <c r="O14" s="12"/>
      <c r="P14" s="12"/>
      <c r="Q14" s="12"/>
      <c r="R14" s="12"/>
      <c r="S14" s="12"/>
      <c r="T14" s="12"/>
      <c r="U14" s="12"/>
      <c r="V14" s="12"/>
      <c r="W14" s="12"/>
      <c r="X14" s="57" t="n">
        <f aca="false">'Q11.9'!X14</f>
        <v>6</v>
      </c>
      <c r="Y14" s="57"/>
      <c r="Z14" s="57"/>
      <c r="AA14" s="57"/>
      <c r="AB14" s="57"/>
      <c r="AC14" s="57"/>
    </row>
    <row r="17" customFormat="false" ht="18.75" hidden="false" customHeight="true" outlineLevel="0" collapsed="false">
      <c r="B17" s="3" t="s">
        <v>151</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5" hidden="false" customHeight="false" outlineLevel="0" collapsed="false">
      <c r="B18" s="17" t="s">
        <v>64</v>
      </c>
      <c r="C18" s="17"/>
      <c r="D18" s="17"/>
      <c r="E18" s="18" t="s">
        <v>87</v>
      </c>
      <c r="F18" s="18"/>
      <c r="G18" s="18"/>
      <c r="H18" s="18"/>
      <c r="I18" s="18"/>
      <c r="J18" s="18"/>
      <c r="K18" s="18"/>
      <c r="L18" s="18"/>
      <c r="M18" s="18"/>
      <c r="N18" s="18"/>
      <c r="O18" s="18"/>
      <c r="P18" s="18"/>
      <c r="Q18" s="18"/>
      <c r="R18" s="18"/>
      <c r="S18" s="18"/>
      <c r="T18" s="18"/>
      <c r="U18" s="18"/>
      <c r="V18" s="18"/>
      <c r="W18" s="18"/>
      <c r="X18" s="18"/>
      <c r="Y18" s="18"/>
      <c r="Z18" s="18"/>
      <c r="AA18" s="18"/>
      <c r="AB18" s="18"/>
      <c r="AC18" s="18"/>
      <c r="AD18" s="19" t="s">
        <v>66</v>
      </c>
      <c r="AE18" s="19"/>
      <c r="AF18" s="19"/>
    </row>
    <row r="19" customFormat="false" ht="15" hidden="false" customHeight="false" outlineLevel="0" collapsed="false">
      <c r="B19" s="20" t="s">
        <v>67</v>
      </c>
      <c r="C19" s="20"/>
      <c r="D19" s="20"/>
      <c r="E19" s="20" t="s">
        <v>68</v>
      </c>
      <c r="F19" s="20"/>
      <c r="G19" s="20"/>
      <c r="H19" s="20"/>
      <c r="I19" s="20"/>
      <c r="J19" s="20"/>
      <c r="K19" s="20"/>
      <c r="L19" s="21" t="s">
        <v>69</v>
      </c>
      <c r="M19" s="22" t="s">
        <v>70</v>
      </c>
      <c r="N19" s="22"/>
      <c r="O19" s="22"/>
      <c r="P19" s="22"/>
      <c r="Q19" s="23"/>
      <c r="R19" s="24" t="s">
        <v>67</v>
      </c>
      <c r="S19" s="24"/>
      <c r="T19" s="24"/>
      <c r="U19" s="20" t="s">
        <v>68</v>
      </c>
      <c r="V19" s="20"/>
      <c r="W19" s="20"/>
      <c r="X19" s="20"/>
      <c r="Y19" s="20"/>
      <c r="Z19" s="20"/>
      <c r="AA19" s="20"/>
      <c r="AB19" s="21" t="s">
        <v>69</v>
      </c>
      <c r="AC19" s="22" t="s">
        <v>70</v>
      </c>
      <c r="AD19" s="22"/>
      <c r="AE19" s="22"/>
      <c r="AF19" s="22"/>
    </row>
    <row r="20" customFormat="false" ht="16.5" hidden="false" customHeight="true" outlineLevel="0" collapsed="false">
      <c r="B20" s="25" t="s">
        <v>71</v>
      </c>
      <c r="C20" s="25"/>
      <c r="D20" s="25"/>
      <c r="M20" s="26" t="s">
        <v>72</v>
      </c>
      <c r="N20" s="26"/>
      <c r="O20" s="26"/>
      <c r="R20" s="27" t="s">
        <v>71</v>
      </c>
      <c r="S20" s="27"/>
      <c r="T20" s="27"/>
      <c r="AC20" s="26" t="s">
        <v>72</v>
      </c>
      <c r="AD20" s="26"/>
      <c r="AE20" s="26"/>
    </row>
    <row r="21" customFormat="false" ht="17.25" hidden="false" customHeight="true" outlineLevel="0" collapsed="false">
      <c r="B21" s="6" t="s">
        <v>152</v>
      </c>
      <c r="C21" s="6"/>
      <c r="D21" s="6"/>
      <c r="E21" s="28" t="s">
        <v>153</v>
      </c>
      <c r="F21" s="28"/>
      <c r="G21" s="28"/>
      <c r="H21" s="28"/>
      <c r="I21" s="28"/>
      <c r="J21" s="28"/>
      <c r="K21" s="28"/>
      <c r="L21" s="29" t="s">
        <v>77</v>
      </c>
      <c r="M21" s="55" t="n">
        <f aca="false">$X$9</f>
        <v>600</v>
      </c>
      <c r="N21" s="55"/>
      <c r="O21" s="55"/>
      <c r="R21" s="30" t="s">
        <v>78</v>
      </c>
      <c r="S21" s="30"/>
      <c r="T21" s="30"/>
      <c r="U21" s="28" t="s">
        <v>79</v>
      </c>
      <c r="V21" s="28"/>
      <c r="W21" s="28"/>
      <c r="X21" s="28"/>
      <c r="Y21" s="28"/>
      <c r="Z21" s="28"/>
      <c r="AA21" s="28"/>
      <c r="AB21" s="29" t="s">
        <v>80</v>
      </c>
      <c r="AC21" s="55" t="n">
        <f aca="false">$X$9+$X$10+$X$11+$X$12</f>
        <v>2230</v>
      </c>
      <c r="AD21" s="55"/>
      <c r="AE21" s="55"/>
    </row>
    <row r="22" customFormat="false" ht="17.25" hidden="false" customHeight="true" outlineLevel="0" collapsed="false">
      <c r="B22" s="6" t="s">
        <v>154</v>
      </c>
      <c r="C22" s="6"/>
      <c r="D22" s="6"/>
      <c r="E22" s="28" t="s">
        <v>153</v>
      </c>
      <c r="F22" s="28"/>
      <c r="G22" s="28"/>
      <c r="H22" s="28"/>
      <c r="I22" s="28"/>
      <c r="J22" s="28"/>
      <c r="K22" s="28"/>
      <c r="L22" s="29" t="s">
        <v>77</v>
      </c>
      <c r="M22" s="55" t="n">
        <f aca="false">$X$10</f>
        <v>550</v>
      </c>
      <c r="N22" s="55"/>
      <c r="O22" s="55"/>
      <c r="R22" s="32"/>
    </row>
    <row r="23" customFormat="false" ht="17.25" hidden="false" customHeight="true" outlineLevel="0" collapsed="false">
      <c r="B23" s="6" t="s">
        <v>155</v>
      </c>
      <c r="C23" s="6"/>
      <c r="D23" s="6"/>
      <c r="E23" s="28" t="s">
        <v>153</v>
      </c>
      <c r="F23" s="28"/>
      <c r="G23" s="28"/>
      <c r="H23" s="28"/>
      <c r="I23" s="28"/>
      <c r="J23" s="28"/>
      <c r="K23" s="28"/>
      <c r="L23" s="29" t="s">
        <v>77</v>
      </c>
      <c r="M23" s="55" t="n">
        <f aca="false">$X$11</f>
        <v>500</v>
      </c>
      <c r="N23" s="55"/>
      <c r="O23" s="55"/>
      <c r="R23" s="32"/>
    </row>
    <row r="24" customFormat="false" ht="17.25" hidden="false" customHeight="true" outlineLevel="0" collapsed="false">
      <c r="B24" s="6" t="s">
        <v>78</v>
      </c>
      <c r="C24" s="6"/>
      <c r="D24" s="6"/>
      <c r="E24" s="28" t="s">
        <v>156</v>
      </c>
      <c r="F24" s="28"/>
      <c r="G24" s="28"/>
      <c r="H24" s="28"/>
      <c r="I24" s="28"/>
      <c r="J24" s="28"/>
      <c r="K24" s="28"/>
      <c r="L24" s="29"/>
      <c r="M24" s="55" t="n">
        <f aca="false">$X$12</f>
        <v>580</v>
      </c>
      <c r="N24" s="55"/>
      <c r="O24" s="55"/>
      <c r="R24" s="32"/>
    </row>
    <row r="25" customFormat="false" ht="16.5" hidden="false" customHeight="true" outlineLevel="0" collapsed="false">
      <c r="M25" s="58" t="n">
        <f aca="false">SUM(M20:M24)</f>
        <v>2230</v>
      </c>
      <c r="N25" s="58"/>
      <c r="O25" s="58"/>
      <c r="R25" s="32"/>
      <c r="AC25" s="58" t="n">
        <f aca="false">SUM(AC20:AC24)</f>
        <v>2230</v>
      </c>
      <c r="AD25" s="58"/>
      <c r="AE25" s="58"/>
    </row>
    <row r="26" customFormat="false" ht="16.5" hidden="false" customHeight="true" outlineLevel="0" collapsed="false">
      <c r="R26" s="27" t="s">
        <v>83</v>
      </c>
      <c r="S26" s="27"/>
      <c r="T26" s="27"/>
    </row>
    <row r="27" customFormat="false" ht="17.25" hidden="false" customHeight="true" outlineLevel="0" collapsed="false">
      <c r="R27" s="30" t="s">
        <v>73</v>
      </c>
      <c r="S27" s="30"/>
      <c r="T27" s="30"/>
      <c r="U27" s="28" t="s">
        <v>157</v>
      </c>
      <c r="V27" s="28"/>
      <c r="W27" s="28"/>
      <c r="X27" s="28"/>
      <c r="Y27" s="28"/>
      <c r="Z27" s="28"/>
      <c r="AA27" s="28"/>
      <c r="AB27" s="29"/>
      <c r="AC27" s="55" t="n">
        <f aca="false">$X$12</f>
        <v>580</v>
      </c>
      <c r="AD27" s="55"/>
      <c r="AE27" s="55"/>
    </row>
    <row r="29" customFormat="false" ht="18.75" hidden="false" customHeight="true" outlineLevel="0" collapsed="false">
      <c r="B29" s="3" t="s">
        <v>158</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ustomFormat="false" ht="15" hidden="false" customHeight="false" outlineLevel="0" collapsed="false">
      <c r="B30" s="17" t="s">
        <v>64</v>
      </c>
      <c r="C30" s="17"/>
      <c r="D30" s="17"/>
      <c r="E30" s="18" t="s">
        <v>85</v>
      </c>
      <c r="F30" s="18"/>
      <c r="G30" s="18"/>
      <c r="H30" s="18"/>
      <c r="I30" s="18"/>
      <c r="J30" s="18"/>
      <c r="K30" s="18"/>
      <c r="L30" s="18"/>
      <c r="M30" s="18"/>
      <c r="N30" s="18"/>
      <c r="O30" s="18"/>
      <c r="P30" s="18"/>
      <c r="Q30" s="18"/>
      <c r="R30" s="18"/>
      <c r="S30" s="18"/>
      <c r="T30" s="18"/>
      <c r="U30" s="18"/>
      <c r="V30" s="18"/>
      <c r="W30" s="18"/>
      <c r="X30" s="18"/>
      <c r="Y30" s="18"/>
      <c r="Z30" s="18"/>
      <c r="AA30" s="18"/>
      <c r="AB30" s="18"/>
      <c r="AC30" s="18"/>
      <c r="AD30" s="19" t="s">
        <v>66</v>
      </c>
      <c r="AE30" s="19"/>
      <c r="AF30" s="19"/>
    </row>
    <row r="31" customFormat="false" ht="15" hidden="false" customHeight="false" outlineLevel="0" collapsed="false">
      <c r="B31" s="20" t="s">
        <v>67</v>
      </c>
      <c r="C31" s="20"/>
      <c r="D31" s="20"/>
      <c r="E31" s="20" t="s">
        <v>68</v>
      </c>
      <c r="F31" s="20"/>
      <c r="G31" s="20"/>
      <c r="H31" s="20"/>
      <c r="I31" s="20"/>
      <c r="J31" s="20"/>
      <c r="K31" s="20"/>
      <c r="L31" s="21" t="s">
        <v>69</v>
      </c>
      <c r="M31" s="22" t="s">
        <v>70</v>
      </c>
      <c r="N31" s="22"/>
      <c r="O31" s="22"/>
      <c r="P31" s="22"/>
      <c r="Q31" s="23"/>
      <c r="R31" s="24" t="s">
        <v>67</v>
      </c>
      <c r="S31" s="24"/>
      <c r="T31" s="24"/>
      <c r="U31" s="20" t="s">
        <v>68</v>
      </c>
      <c r="V31" s="20"/>
      <c r="W31" s="20"/>
      <c r="X31" s="20"/>
      <c r="Y31" s="20"/>
      <c r="Z31" s="20"/>
      <c r="AA31" s="20"/>
      <c r="AB31" s="21" t="s">
        <v>69</v>
      </c>
      <c r="AC31" s="22" t="s">
        <v>70</v>
      </c>
      <c r="AD31" s="22"/>
      <c r="AE31" s="22"/>
      <c r="AF31" s="22"/>
    </row>
    <row r="32" customFormat="false" ht="16.5" hidden="false" customHeight="true" outlineLevel="0" collapsed="false">
      <c r="B32" s="25" t="s">
        <v>71</v>
      </c>
      <c r="C32" s="25"/>
      <c r="D32" s="25"/>
      <c r="M32" s="26" t="s">
        <v>72</v>
      </c>
      <c r="N32" s="26"/>
      <c r="O32" s="26"/>
      <c r="R32" s="27" t="s">
        <v>71</v>
      </c>
      <c r="S32" s="27"/>
      <c r="T32" s="27"/>
      <c r="AC32" s="26" t="s">
        <v>72</v>
      </c>
      <c r="AD32" s="26"/>
      <c r="AE32" s="26"/>
    </row>
    <row r="33" customFormat="false" ht="17.25" hidden="false" customHeight="true" outlineLevel="0" collapsed="false">
      <c r="B33" s="6" t="s">
        <v>159</v>
      </c>
      <c r="C33" s="6"/>
      <c r="D33" s="6"/>
      <c r="E33" s="28" t="s">
        <v>153</v>
      </c>
      <c r="F33" s="28"/>
      <c r="G33" s="28"/>
      <c r="H33" s="28"/>
      <c r="I33" s="28"/>
      <c r="J33" s="28"/>
      <c r="K33" s="28"/>
      <c r="L33" s="29" t="s">
        <v>77</v>
      </c>
      <c r="M33" s="55" t="n">
        <f aca="false">$X$13</f>
        <v>2400</v>
      </c>
      <c r="N33" s="55"/>
      <c r="O33" s="55"/>
      <c r="R33" s="30" t="s">
        <v>78</v>
      </c>
      <c r="S33" s="30"/>
      <c r="T33" s="30"/>
      <c r="U33" s="28" t="s">
        <v>79</v>
      </c>
      <c r="V33" s="28"/>
      <c r="W33" s="28"/>
      <c r="X33" s="28"/>
      <c r="Y33" s="28"/>
      <c r="Z33" s="28"/>
      <c r="AA33" s="28"/>
      <c r="AB33" s="29" t="s">
        <v>80</v>
      </c>
      <c r="AC33" s="55" t="n">
        <f aca="false">$X$13/12*$X$14</f>
        <v>1200</v>
      </c>
      <c r="AD33" s="55"/>
      <c r="AE33" s="55"/>
    </row>
    <row r="34" customFormat="false" ht="17.25" hidden="false" customHeight="true" outlineLevel="0" collapsed="false">
      <c r="R34" s="30" t="s">
        <v>78</v>
      </c>
      <c r="S34" s="30"/>
      <c r="T34" s="30"/>
      <c r="U34" s="28" t="s">
        <v>156</v>
      </c>
      <c r="V34" s="28"/>
      <c r="W34" s="28"/>
      <c r="X34" s="28"/>
      <c r="Y34" s="28"/>
      <c r="Z34" s="28"/>
      <c r="AA34" s="28"/>
      <c r="AB34" s="29"/>
      <c r="AC34" s="55" t="n">
        <f aca="false">$X$13-$X$13/12*$X$14</f>
        <v>1200</v>
      </c>
      <c r="AD34" s="55"/>
      <c r="AE34" s="55"/>
    </row>
    <row r="35" customFormat="false" ht="16.5" hidden="false" customHeight="true" outlineLevel="0" collapsed="false">
      <c r="M35" s="58" t="n">
        <f aca="false">SUM(M32:M34)</f>
        <v>2400</v>
      </c>
      <c r="N35" s="58"/>
      <c r="O35" s="58"/>
      <c r="R35" s="32"/>
      <c r="AC35" s="58" t="n">
        <f aca="false">SUM(AC32:AC34)</f>
        <v>2400</v>
      </c>
      <c r="AD35" s="58"/>
      <c r="AE35" s="58"/>
    </row>
    <row r="36" customFormat="false" ht="16.5" hidden="false" customHeight="true" outlineLevel="0" collapsed="false">
      <c r="B36" s="25" t="s">
        <v>83</v>
      </c>
      <c r="C36" s="25"/>
      <c r="D36" s="25"/>
      <c r="R36" s="32"/>
    </row>
    <row r="37" customFormat="false" ht="17.25" hidden="false" customHeight="true" outlineLevel="0" collapsed="false">
      <c r="B37" s="6" t="s">
        <v>73</v>
      </c>
      <c r="C37" s="6"/>
      <c r="D37" s="6"/>
      <c r="E37" s="28" t="s">
        <v>157</v>
      </c>
      <c r="F37" s="28"/>
      <c r="G37" s="28"/>
      <c r="H37" s="28"/>
      <c r="I37" s="28"/>
      <c r="J37" s="28"/>
      <c r="K37" s="28"/>
      <c r="L37" s="29"/>
      <c r="M37" s="55" t="n">
        <f aca="false">$X$13-$X$13/12*$X$14</f>
        <v>1200</v>
      </c>
      <c r="N37" s="55"/>
      <c r="O37" s="55"/>
      <c r="R37" s="32"/>
    </row>
    <row r="39" customFormat="false" ht="18.75" hidden="false" customHeight="true" outlineLevel="0" collapsed="false">
      <c r="B39" s="3" t="s">
        <v>160</v>
      </c>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ustomFormat="false" ht="15" hidden="false" customHeight="false" outlineLevel="0" collapsed="false">
      <c r="B40" s="18" t="s">
        <v>161</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row>
    <row r="41" customFormat="false" ht="15" hidden="false" customHeight="false" outlineLevel="0" collapsed="false">
      <c r="B41" s="43"/>
      <c r="C41" s="43"/>
      <c r="D41" s="43"/>
      <c r="E41" s="33" t="s">
        <v>68</v>
      </c>
      <c r="F41" s="33"/>
      <c r="G41" s="33"/>
      <c r="H41" s="33"/>
      <c r="I41" s="33"/>
      <c r="J41" s="33"/>
      <c r="K41" s="33"/>
      <c r="L41" s="33"/>
      <c r="M41" s="33"/>
      <c r="N41" s="33"/>
      <c r="O41" s="33"/>
      <c r="P41" s="33"/>
      <c r="Q41" s="33"/>
      <c r="R41" s="34" t="s">
        <v>72</v>
      </c>
      <c r="S41" s="34"/>
      <c r="T41" s="34"/>
      <c r="U41" s="34"/>
      <c r="V41" s="34"/>
      <c r="W41" s="34" t="s">
        <v>72</v>
      </c>
      <c r="X41" s="34"/>
      <c r="Y41" s="34"/>
      <c r="Z41" s="34"/>
      <c r="AA41" s="34"/>
      <c r="AB41" s="34" t="s">
        <v>72</v>
      </c>
      <c r="AC41" s="34"/>
      <c r="AD41" s="34"/>
      <c r="AE41" s="34"/>
      <c r="AF41" s="34"/>
    </row>
    <row r="42" customFormat="false" ht="30" hidden="false" customHeight="true" outlineLevel="0" collapsed="false">
      <c r="B42" s="43"/>
      <c r="C42" s="43"/>
      <c r="D42" s="43"/>
      <c r="E42" s="43"/>
      <c r="F42" s="43"/>
      <c r="G42" s="43"/>
      <c r="H42" s="43"/>
      <c r="I42" s="43"/>
      <c r="J42" s="43"/>
      <c r="K42" s="43"/>
      <c r="L42" s="43"/>
      <c r="M42" s="43"/>
      <c r="N42" s="43"/>
      <c r="O42" s="43"/>
      <c r="P42" s="43"/>
      <c r="Q42" s="43"/>
      <c r="R42" s="11" t="s">
        <v>162</v>
      </c>
      <c r="S42" s="11"/>
      <c r="T42" s="11"/>
      <c r="U42" s="11"/>
      <c r="V42" s="11"/>
      <c r="W42" s="11" t="s">
        <v>163</v>
      </c>
      <c r="X42" s="11"/>
      <c r="Y42" s="11"/>
      <c r="Z42" s="11"/>
      <c r="AA42" s="11"/>
      <c r="AB42" s="11" t="s">
        <v>164</v>
      </c>
      <c r="AC42" s="11"/>
      <c r="AD42" s="11"/>
      <c r="AE42" s="11"/>
      <c r="AF42" s="11"/>
    </row>
    <row r="43" customFormat="false" ht="17.25" hidden="false" customHeight="true" outlineLevel="0" collapsed="false">
      <c r="B43" s="44"/>
      <c r="C43" s="44"/>
      <c r="D43" s="44"/>
      <c r="E43" s="45" t="s">
        <v>165</v>
      </c>
      <c r="F43" s="45"/>
      <c r="G43" s="45"/>
      <c r="H43" s="45"/>
      <c r="I43" s="45"/>
      <c r="J43" s="45"/>
      <c r="K43" s="45"/>
      <c r="L43" s="45"/>
      <c r="M43" s="45"/>
      <c r="N43" s="45"/>
      <c r="O43" s="45"/>
      <c r="P43" s="45"/>
      <c r="Q43" s="45"/>
    </row>
    <row r="44" customFormat="false" ht="17.25" hidden="false" customHeight="true" outlineLevel="0" collapsed="false">
      <c r="B44" s="44"/>
      <c r="C44" s="44"/>
      <c r="D44" s="44"/>
      <c r="E44" s="28" t="s">
        <v>166</v>
      </c>
      <c r="F44" s="28"/>
      <c r="G44" s="28"/>
      <c r="H44" s="28"/>
      <c r="I44" s="28"/>
      <c r="J44" s="28"/>
      <c r="K44" s="28"/>
      <c r="L44" s="28"/>
      <c r="M44" s="28"/>
      <c r="N44" s="28"/>
      <c r="O44" s="28"/>
      <c r="P44" s="28"/>
      <c r="Q44" s="28"/>
      <c r="W44" s="55" t="n">
        <f aca="false">$X$13-$X$13/12*$X$14</f>
        <v>1200</v>
      </c>
      <c r="X44" s="55"/>
      <c r="Y44" s="55"/>
      <c r="Z44" s="55"/>
    </row>
    <row r="45" customFormat="false" ht="17.25" hidden="false" customHeight="true" outlineLevel="0" collapsed="false">
      <c r="B45" s="44" t="s">
        <v>167</v>
      </c>
      <c r="C45" s="44"/>
      <c r="D45" s="44"/>
      <c r="E45" s="45" t="s">
        <v>168</v>
      </c>
      <c r="F45" s="45"/>
      <c r="G45" s="45"/>
      <c r="H45" s="45"/>
      <c r="I45" s="45"/>
      <c r="J45" s="45"/>
      <c r="K45" s="45"/>
      <c r="L45" s="45"/>
      <c r="M45" s="45"/>
      <c r="N45" s="45"/>
      <c r="O45" s="45"/>
      <c r="P45" s="45"/>
      <c r="Q45" s="45"/>
    </row>
    <row r="46" customFormat="false" ht="17.25" hidden="false" customHeight="true" outlineLevel="0" collapsed="false">
      <c r="B46" s="44"/>
      <c r="C46" s="44"/>
      <c r="D46" s="44"/>
      <c r="E46" s="28" t="s">
        <v>169</v>
      </c>
      <c r="F46" s="28"/>
      <c r="G46" s="28"/>
      <c r="H46" s="28"/>
      <c r="I46" s="28"/>
      <c r="J46" s="28"/>
      <c r="K46" s="28"/>
      <c r="L46" s="28"/>
      <c r="M46" s="28"/>
      <c r="N46" s="28"/>
      <c r="O46" s="28"/>
      <c r="P46" s="28"/>
      <c r="Q46" s="28"/>
      <c r="W46" s="55" t="n">
        <f aca="false">$X$12</f>
        <v>580</v>
      </c>
      <c r="X46" s="55"/>
      <c r="Y46" s="55"/>
      <c r="Z46" s="55"/>
    </row>
  </sheetData>
  <mergeCells count="106">
    <mergeCell ref="B1:AF1"/>
    <mergeCell ref="B2:AF2"/>
    <mergeCell ref="B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4:W14"/>
    <mergeCell ref="X14:AC14"/>
    <mergeCell ref="B17:AF17"/>
    <mergeCell ref="B18:D18"/>
    <mergeCell ref="E18:AC18"/>
    <mergeCell ref="AD18:AF18"/>
    <mergeCell ref="B19:D19"/>
    <mergeCell ref="E19:K19"/>
    <mergeCell ref="M19:P19"/>
    <mergeCell ref="R19:T19"/>
    <mergeCell ref="U19:AA19"/>
    <mergeCell ref="AC19:AF19"/>
    <mergeCell ref="B20:D20"/>
    <mergeCell ref="M20:O20"/>
    <mergeCell ref="R20:T20"/>
    <mergeCell ref="AC20:AE20"/>
    <mergeCell ref="B21:D21"/>
    <mergeCell ref="E21:K21"/>
    <mergeCell ref="M21:O21"/>
    <mergeCell ref="R21:T21"/>
    <mergeCell ref="U21:AA21"/>
    <mergeCell ref="AC21:AE21"/>
    <mergeCell ref="B22:D22"/>
    <mergeCell ref="E22:K22"/>
    <mergeCell ref="M22:O22"/>
    <mergeCell ref="B23:D23"/>
    <mergeCell ref="E23:K23"/>
    <mergeCell ref="M23:O23"/>
    <mergeCell ref="B24:D24"/>
    <mergeCell ref="E24:K24"/>
    <mergeCell ref="M24:O24"/>
    <mergeCell ref="M25:O25"/>
    <mergeCell ref="AC25:AE25"/>
    <mergeCell ref="R26:T26"/>
    <mergeCell ref="R27:T27"/>
    <mergeCell ref="U27:AA27"/>
    <mergeCell ref="AC27:AE27"/>
    <mergeCell ref="B29:AF29"/>
    <mergeCell ref="B30:D30"/>
    <mergeCell ref="E30:AC30"/>
    <mergeCell ref="AD30:AF30"/>
    <mergeCell ref="B31:D31"/>
    <mergeCell ref="E31:K31"/>
    <mergeCell ref="M31:P31"/>
    <mergeCell ref="R31:T31"/>
    <mergeCell ref="U31:AA31"/>
    <mergeCell ref="AC31:AF31"/>
    <mergeCell ref="B32:D32"/>
    <mergeCell ref="M32:O32"/>
    <mergeCell ref="R32:T32"/>
    <mergeCell ref="AC32:AE32"/>
    <mergeCell ref="B33:D33"/>
    <mergeCell ref="E33:K33"/>
    <mergeCell ref="M33:O33"/>
    <mergeCell ref="R33:T33"/>
    <mergeCell ref="U33:AA33"/>
    <mergeCell ref="AC33:AE33"/>
    <mergeCell ref="R34:T34"/>
    <mergeCell ref="U34:AA34"/>
    <mergeCell ref="AC34:AE34"/>
    <mergeCell ref="M35:O35"/>
    <mergeCell ref="AC35:AE35"/>
    <mergeCell ref="B36:D36"/>
    <mergeCell ref="B37:D37"/>
    <mergeCell ref="E37:K37"/>
    <mergeCell ref="M37:O37"/>
    <mergeCell ref="B39:AF39"/>
    <mergeCell ref="B40:AF40"/>
    <mergeCell ref="B41:D41"/>
    <mergeCell ref="E41:Q41"/>
    <mergeCell ref="R41:V41"/>
    <mergeCell ref="W41:AA41"/>
    <mergeCell ref="AB41:AF41"/>
    <mergeCell ref="B42:D42"/>
    <mergeCell ref="E42:Q42"/>
    <mergeCell ref="R42:V42"/>
    <mergeCell ref="W42:AA42"/>
    <mergeCell ref="AB42:AF42"/>
    <mergeCell ref="B43:D43"/>
    <mergeCell ref="E43:Q43"/>
    <mergeCell ref="B44:D44"/>
    <mergeCell ref="E44:Q44"/>
    <mergeCell ref="W44:Z44"/>
    <mergeCell ref="B45:D45"/>
    <mergeCell ref="E45:Q45"/>
    <mergeCell ref="B46:D46"/>
    <mergeCell ref="E46:Q46"/>
    <mergeCell ref="W46:Z46"/>
  </mergeCells>
  <conditionalFormatting sqref="B1:AG4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4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292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289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290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171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172</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173</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33" t="s">
        <v>127</v>
      </c>
      <c r="C8" s="33"/>
      <c r="D8" s="33"/>
      <c r="E8" s="33"/>
      <c r="F8" s="33"/>
      <c r="G8" s="33"/>
      <c r="H8" s="33"/>
      <c r="I8" s="33"/>
      <c r="J8" s="33"/>
      <c r="K8" s="33"/>
      <c r="L8" s="33"/>
      <c r="M8" s="33"/>
      <c r="N8" s="33"/>
      <c r="O8" s="33"/>
      <c r="P8" s="33"/>
      <c r="Q8" s="33"/>
      <c r="R8" s="33"/>
      <c r="S8" s="33"/>
      <c r="T8" s="33"/>
      <c r="U8" s="33"/>
      <c r="V8" s="33"/>
      <c r="W8" s="33"/>
      <c r="X8" s="34" t="s">
        <v>114</v>
      </c>
      <c r="Y8" s="34"/>
      <c r="Z8" s="34"/>
      <c r="AA8" s="34"/>
      <c r="AB8" s="34"/>
      <c r="AC8" s="34"/>
    </row>
    <row r="9" customFormat="false" ht="16.5" hidden="false" customHeight="true" outlineLevel="0" collapsed="false">
      <c r="B9" s="12" t="s">
        <v>128</v>
      </c>
      <c r="C9" s="12"/>
      <c r="D9" s="12"/>
      <c r="E9" s="12"/>
      <c r="F9" s="12"/>
      <c r="G9" s="12"/>
      <c r="H9" s="12"/>
      <c r="I9" s="12"/>
      <c r="J9" s="12"/>
      <c r="K9" s="12"/>
      <c r="L9" s="12"/>
      <c r="M9" s="12"/>
      <c r="N9" s="12"/>
      <c r="O9" s="12"/>
      <c r="P9" s="12"/>
      <c r="Q9" s="12"/>
      <c r="R9" s="12"/>
      <c r="S9" s="12"/>
      <c r="T9" s="12"/>
      <c r="U9" s="12"/>
      <c r="V9" s="12"/>
      <c r="W9" s="12"/>
      <c r="X9" s="54" t="n">
        <f aca="false">'Q11.10'!X9</f>
        <v>600</v>
      </c>
      <c r="Y9" s="54"/>
      <c r="Z9" s="54"/>
      <c r="AA9" s="54"/>
      <c r="AB9" s="54"/>
      <c r="AC9" s="54"/>
    </row>
    <row r="10" customFormat="false" ht="16.5" hidden="false" customHeight="true" outlineLevel="0" collapsed="false">
      <c r="B10" s="12" t="s">
        <v>174</v>
      </c>
      <c r="C10" s="12"/>
      <c r="D10" s="12"/>
      <c r="E10" s="12"/>
      <c r="F10" s="12"/>
      <c r="G10" s="12"/>
      <c r="H10" s="12"/>
      <c r="I10" s="12"/>
      <c r="J10" s="12"/>
      <c r="K10" s="12"/>
      <c r="L10" s="12"/>
      <c r="M10" s="12"/>
      <c r="N10" s="12"/>
      <c r="O10" s="12"/>
      <c r="P10" s="12"/>
      <c r="Q10" s="12"/>
      <c r="R10" s="12"/>
      <c r="S10" s="12"/>
      <c r="T10" s="12"/>
      <c r="U10" s="12"/>
      <c r="V10" s="12"/>
      <c r="W10" s="12"/>
      <c r="X10" s="54" t="n">
        <f aca="false">'Q11.10'!X10</f>
        <v>7800</v>
      </c>
      <c r="Y10" s="54"/>
      <c r="Z10" s="54"/>
      <c r="AA10" s="54"/>
      <c r="AB10" s="54"/>
      <c r="AC10" s="54"/>
    </row>
    <row r="11" customFormat="false" ht="16.5" hidden="false" customHeight="true" outlineLevel="0" collapsed="false">
      <c r="B11" s="12" t="s">
        <v>175</v>
      </c>
      <c r="C11" s="12"/>
      <c r="D11" s="12"/>
      <c r="E11" s="12"/>
      <c r="F11" s="12"/>
      <c r="G11" s="12"/>
      <c r="H11" s="12"/>
      <c r="I11" s="12"/>
      <c r="J11" s="12"/>
      <c r="K11" s="12"/>
      <c r="L11" s="12"/>
      <c r="M11" s="12"/>
      <c r="N11" s="12"/>
      <c r="O11" s="12"/>
      <c r="P11" s="12"/>
      <c r="Q11" s="12"/>
      <c r="R11" s="12"/>
      <c r="S11" s="12"/>
      <c r="T11" s="12"/>
      <c r="U11" s="12"/>
      <c r="V11" s="12"/>
      <c r="W11" s="12"/>
      <c r="X11" s="54" t="n">
        <f aca="false">'Q11.10'!X11</f>
        <v>2100</v>
      </c>
      <c r="Y11" s="54"/>
      <c r="Z11" s="54"/>
      <c r="AA11" s="54"/>
      <c r="AB11" s="54"/>
      <c r="AC11" s="54"/>
    </row>
    <row r="12" customFormat="false" ht="16.5" hidden="false" customHeight="true" outlineLevel="0" collapsed="false">
      <c r="B12" s="12" t="s">
        <v>176</v>
      </c>
      <c r="C12" s="12"/>
      <c r="D12" s="12"/>
      <c r="E12" s="12"/>
      <c r="F12" s="12"/>
      <c r="G12" s="12"/>
      <c r="H12" s="12"/>
      <c r="I12" s="12"/>
      <c r="J12" s="12"/>
      <c r="K12" s="12"/>
      <c r="L12" s="12"/>
      <c r="M12" s="12"/>
      <c r="N12" s="12"/>
      <c r="O12" s="12"/>
      <c r="P12" s="12"/>
      <c r="Q12" s="12"/>
      <c r="R12" s="12"/>
      <c r="S12" s="12"/>
      <c r="T12" s="12"/>
      <c r="U12" s="12"/>
      <c r="V12" s="12"/>
      <c r="W12" s="12"/>
      <c r="X12" s="54" t="n">
        <f aca="false">'Q11.10'!X12</f>
        <v>350</v>
      </c>
      <c r="Y12" s="54"/>
      <c r="Z12" s="54"/>
      <c r="AA12" s="54"/>
      <c r="AB12" s="54"/>
      <c r="AC12" s="54"/>
    </row>
    <row r="15" customFormat="false" ht="18.75" hidden="false" customHeight="true" outlineLevel="0" collapsed="false">
      <c r="B15" s="3" t="s">
        <v>177</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ustomFormat="false" ht="17.25" hidden="false" customHeight="true" outlineLevel="0" collapsed="false">
      <c r="B16" s="36" t="s">
        <v>178</v>
      </c>
      <c r="C16" s="36"/>
      <c r="D16" s="36"/>
      <c r="E16" s="36"/>
      <c r="F16" s="36"/>
      <c r="G16" s="36"/>
      <c r="H16" s="36"/>
      <c r="I16" s="36"/>
      <c r="J16" s="36"/>
      <c r="K16" s="36"/>
      <c r="L16" s="36"/>
      <c r="M16" s="36"/>
      <c r="N16" s="36"/>
      <c r="O16" s="36"/>
      <c r="P16" s="36"/>
      <c r="Q16" s="36"/>
      <c r="R16" s="36"/>
      <c r="S16" s="36"/>
      <c r="T16" s="36"/>
      <c r="U16" s="36"/>
      <c r="V16" s="36"/>
      <c r="W16" s="36"/>
      <c r="X16" s="55" t="n">
        <f aca="false">12*$X$9</f>
        <v>7200</v>
      </c>
      <c r="Y16" s="55"/>
      <c r="Z16" s="55"/>
      <c r="AA16" s="55"/>
      <c r="AB16" s="55"/>
    </row>
    <row r="17" customFormat="false" ht="17.25" hidden="false" customHeight="true" outlineLevel="0" collapsed="false">
      <c r="B17" s="36" t="s">
        <v>179</v>
      </c>
      <c r="C17" s="36"/>
      <c r="D17" s="36"/>
      <c r="E17" s="36"/>
      <c r="F17" s="36"/>
      <c r="G17" s="36"/>
      <c r="H17" s="36"/>
      <c r="I17" s="36"/>
      <c r="J17" s="36"/>
      <c r="K17" s="36"/>
      <c r="L17" s="36"/>
      <c r="M17" s="36"/>
      <c r="N17" s="36"/>
      <c r="O17" s="36"/>
      <c r="P17" s="36"/>
      <c r="Q17" s="36"/>
      <c r="R17" s="36"/>
      <c r="S17" s="36"/>
      <c r="T17" s="36"/>
      <c r="U17" s="36"/>
      <c r="V17" s="36"/>
      <c r="W17" s="36"/>
      <c r="X17" s="55" t="n">
        <f aca="false">$X$10-12*$X$9</f>
        <v>600</v>
      </c>
      <c r="Y17" s="55"/>
      <c r="Z17" s="55"/>
      <c r="AA17" s="55"/>
      <c r="AB17" s="55"/>
    </row>
    <row r="19" customFormat="false" ht="18.75" hidden="false" customHeight="true" outlineLevel="0" collapsed="false">
      <c r="B19" s="3" t="s">
        <v>180</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ustomFormat="false" ht="15" hidden="false" customHeight="false" outlineLevel="0" collapsed="false">
      <c r="B20" s="17" t="s">
        <v>64</v>
      </c>
      <c r="C20" s="17"/>
      <c r="D20" s="17"/>
      <c r="E20" s="18" t="s">
        <v>181</v>
      </c>
      <c r="F20" s="18"/>
      <c r="G20" s="18"/>
      <c r="H20" s="18"/>
      <c r="I20" s="18"/>
      <c r="J20" s="18"/>
      <c r="K20" s="18"/>
      <c r="L20" s="18"/>
      <c r="M20" s="18"/>
      <c r="N20" s="18"/>
      <c r="O20" s="18"/>
      <c r="P20" s="18"/>
      <c r="Q20" s="18"/>
      <c r="R20" s="18"/>
      <c r="S20" s="18"/>
      <c r="T20" s="18"/>
      <c r="U20" s="18"/>
      <c r="V20" s="18"/>
      <c r="W20" s="18"/>
      <c r="X20" s="18"/>
      <c r="Y20" s="18"/>
      <c r="Z20" s="18"/>
      <c r="AA20" s="18"/>
      <c r="AB20" s="18"/>
      <c r="AC20" s="18"/>
      <c r="AD20" s="19" t="s">
        <v>66</v>
      </c>
      <c r="AE20" s="19"/>
      <c r="AF20" s="19"/>
    </row>
    <row r="21" customFormat="false" ht="15" hidden="false" customHeight="false" outlineLevel="0" collapsed="false">
      <c r="B21" s="20" t="s">
        <v>67</v>
      </c>
      <c r="C21" s="20"/>
      <c r="D21" s="20"/>
      <c r="E21" s="20" t="s">
        <v>68</v>
      </c>
      <c r="F21" s="20"/>
      <c r="G21" s="20"/>
      <c r="H21" s="20"/>
      <c r="I21" s="20"/>
      <c r="J21" s="20"/>
      <c r="K21" s="20"/>
      <c r="L21" s="21" t="s">
        <v>69</v>
      </c>
      <c r="M21" s="22" t="s">
        <v>70</v>
      </c>
      <c r="N21" s="22"/>
      <c r="O21" s="22"/>
      <c r="P21" s="22"/>
      <c r="Q21" s="23"/>
      <c r="R21" s="24" t="s">
        <v>67</v>
      </c>
      <c r="S21" s="24"/>
      <c r="T21" s="24"/>
      <c r="U21" s="20" t="s">
        <v>68</v>
      </c>
      <c r="V21" s="20"/>
      <c r="W21" s="20"/>
      <c r="X21" s="20"/>
      <c r="Y21" s="20"/>
      <c r="Z21" s="20"/>
      <c r="AA21" s="20"/>
      <c r="AB21" s="21" t="s">
        <v>69</v>
      </c>
      <c r="AC21" s="22" t="s">
        <v>70</v>
      </c>
      <c r="AD21" s="22"/>
      <c r="AE21" s="22"/>
      <c r="AF21" s="22"/>
    </row>
    <row r="22" customFormat="false" ht="16.5" hidden="false" customHeight="true" outlineLevel="0" collapsed="false">
      <c r="B22" s="25" t="s">
        <v>71</v>
      </c>
      <c r="C22" s="25"/>
      <c r="D22" s="25"/>
      <c r="M22" s="26" t="s">
        <v>72</v>
      </c>
      <c r="N22" s="26"/>
      <c r="O22" s="26"/>
      <c r="R22" s="27" t="s">
        <v>71</v>
      </c>
      <c r="S22" s="27"/>
      <c r="T22" s="27"/>
      <c r="AC22" s="26" t="s">
        <v>72</v>
      </c>
      <c r="AD22" s="26"/>
      <c r="AE22" s="26"/>
    </row>
    <row r="23" customFormat="false" ht="17.25" hidden="false" customHeight="true" outlineLevel="0" collapsed="false">
      <c r="B23" s="6" t="s">
        <v>78</v>
      </c>
      <c r="C23" s="6"/>
      <c r="D23" s="6"/>
      <c r="E23" s="28" t="s">
        <v>79</v>
      </c>
      <c r="F23" s="28"/>
      <c r="G23" s="28"/>
      <c r="H23" s="28"/>
      <c r="I23" s="28"/>
      <c r="J23" s="28"/>
      <c r="K23" s="28"/>
      <c r="L23" s="29" t="s">
        <v>80</v>
      </c>
      <c r="M23" s="55" t="n">
        <f aca="false">12*$X$9</f>
        <v>7200</v>
      </c>
      <c r="N23" s="55"/>
      <c r="O23" s="55"/>
      <c r="R23" s="30"/>
      <c r="S23" s="30"/>
      <c r="T23" s="30"/>
      <c r="U23" s="28" t="s">
        <v>109</v>
      </c>
      <c r="V23" s="28"/>
      <c r="W23" s="28"/>
      <c r="X23" s="28"/>
      <c r="Y23" s="28"/>
      <c r="Z23" s="28"/>
      <c r="AA23" s="28"/>
      <c r="AB23" s="29" t="s">
        <v>77</v>
      </c>
      <c r="AC23" s="55" t="n">
        <f aca="false">$X$10</f>
        <v>7800</v>
      </c>
      <c r="AD23" s="55"/>
      <c r="AE23" s="55"/>
    </row>
    <row r="24" customFormat="false" ht="17.25" hidden="false" customHeight="true" outlineLevel="0" collapsed="false">
      <c r="B24" s="6" t="s">
        <v>78</v>
      </c>
      <c r="C24" s="6"/>
      <c r="D24" s="6"/>
      <c r="E24" s="28" t="s">
        <v>156</v>
      </c>
      <c r="F24" s="28"/>
      <c r="G24" s="28"/>
      <c r="H24" s="28"/>
      <c r="I24" s="28"/>
      <c r="J24" s="28"/>
      <c r="K24" s="28"/>
      <c r="L24" s="29"/>
      <c r="M24" s="55" t="n">
        <f aca="false">$X$10-12*$X$9</f>
        <v>600</v>
      </c>
      <c r="N24" s="55"/>
      <c r="O24" s="55"/>
      <c r="R24" s="32"/>
    </row>
    <row r="25" customFormat="false" ht="16.5" hidden="false" customHeight="true" outlineLevel="0" collapsed="false">
      <c r="M25" s="58" t="n">
        <f aca="false">SUM(M22:M24)</f>
        <v>7800</v>
      </c>
      <c r="N25" s="58"/>
      <c r="O25" s="58"/>
      <c r="R25" s="32"/>
      <c r="AC25" s="58" t="n">
        <f aca="false">SUM(AC22:AC24)</f>
        <v>7800</v>
      </c>
      <c r="AD25" s="58"/>
      <c r="AE25" s="58"/>
    </row>
    <row r="26" customFormat="false" ht="16.5" hidden="false" customHeight="true" outlineLevel="0" collapsed="false">
      <c r="R26" s="27" t="s">
        <v>83</v>
      </c>
      <c r="S26" s="27"/>
      <c r="T26" s="27"/>
    </row>
    <row r="27" customFormat="false" ht="17.25" hidden="false" customHeight="true" outlineLevel="0" collapsed="false">
      <c r="R27" s="30" t="s">
        <v>73</v>
      </c>
      <c r="S27" s="30"/>
      <c r="T27" s="30"/>
      <c r="U27" s="28" t="s">
        <v>157</v>
      </c>
      <c r="V27" s="28"/>
      <c r="W27" s="28"/>
      <c r="X27" s="28"/>
      <c r="Y27" s="28"/>
      <c r="Z27" s="28"/>
      <c r="AA27" s="28"/>
      <c r="AB27" s="29"/>
      <c r="AC27" s="55" t="n">
        <f aca="false">$X$10-12*$X$9</f>
        <v>600</v>
      </c>
      <c r="AD27" s="55"/>
      <c r="AE27" s="55"/>
    </row>
    <row r="29" customFormat="false" ht="18.75" hidden="false" customHeight="true" outlineLevel="0" collapsed="false">
      <c r="B29" s="3" t="s">
        <v>182</v>
      </c>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ustomFormat="false" ht="17.25" hidden="false" customHeight="true" outlineLevel="0" collapsed="false">
      <c r="B30" s="36" t="s">
        <v>183</v>
      </c>
      <c r="C30" s="36"/>
      <c r="D30" s="36"/>
      <c r="E30" s="36"/>
      <c r="F30" s="36"/>
      <c r="G30" s="36"/>
      <c r="H30" s="36"/>
      <c r="I30" s="36"/>
      <c r="J30" s="36"/>
      <c r="K30" s="36"/>
      <c r="L30" s="36"/>
      <c r="M30" s="36"/>
      <c r="N30" s="36"/>
      <c r="O30" s="36"/>
      <c r="P30" s="36"/>
      <c r="Q30" s="36"/>
      <c r="R30" s="36"/>
      <c r="S30" s="36"/>
      <c r="T30" s="36"/>
      <c r="U30" s="36"/>
      <c r="V30" s="36"/>
      <c r="W30" s="36"/>
      <c r="X30" s="55" t="n">
        <f aca="false">$X$11+$X$12</f>
        <v>2450</v>
      </c>
      <c r="Y30" s="55"/>
      <c r="Z30" s="55"/>
      <c r="AA30" s="55"/>
      <c r="AB30" s="55"/>
    </row>
    <row r="32" customFormat="false" ht="18.75" hidden="false" customHeight="true" outlineLevel="0" collapsed="false">
      <c r="B32" s="3" t="s">
        <v>184</v>
      </c>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ustomFormat="false" ht="15" hidden="false" customHeight="false" outlineLevel="0" collapsed="false">
      <c r="B33" s="18" t="s">
        <v>161</v>
      </c>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customFormat="false" ht="15" hidden="false" customHeight="false" outlineLevel="0" collapsed="false">
      <c r="B34" s="43"/>
      <c r="C34" s="43"/>
      <c r="D34" s="43"/>
      <c r="E34" s="33" t="s">
        <v>68</v>
      </c>
      <c r="F34" s="33"/>
      <c r="G34" s="33"/>
      <c r="H34" s="33"/>
      <c r="I34" s="33"/>
      <c r="J34" s="33"/>
      <c r="K34" s="33"/>
      <c r="L34" s="33"/>
      <c r="M34" s="33"/>
      <c r="N34" s="33"/>
      <c r="O34" s="33"/>
      <c r="P34" s="33"/>
      <c r="Q34" s="33"/>
      <c r="R34" s="34" t="s">
        <v>72</v>
      </c>
      <c r="S34" s="34"/>
      <c r="T34" s="34"/>
      <c r="U34" s="34"/>
      <c r="V34" s="34"/>
      <c r="W34" s="34" t="s">
        <v>72</v>
      </c>
      <c r="X34" s="34"/>
      <c r="Y34" s="34"/>
      <c r="Z34" s="34"/>
      <c r="AA34" s="34"/>
      <c r="AB34" s="34" t="s">
        <v>72</v>
      </c>
      <c r="AC34" s="34"/>
      <c r="AD34" s="34"/>
      <c r="AE34" s="34"/>
      <c r="AF34" s="34"/>
    </row>
    <row r="35" customFormat="false" ht="30" hidden="false" customHeight="true" outlineLevel="0" collapsed="false">
      <c r="B35" s="43"/>
      <c r="C35" s="43"/>
      <c r="D35" s="43"/>
      <c r="E35" s="43"/>
      <c r="F35" s="43"/>
      <c r="G35" s="43"/>
      <c r="H35" s="43"/>
      <c r="I35" s="43"/>
      <c r="J35" s="43"/>
      <c r="K35" s="43"/>
      <c r="L35" s="43"/>
      <c r="M35" s="43"/>
      <c r="N35" s="43"/>
      <c r="O35" s="43"/>
      <c r="P35" s="43"/>
      <c r="Q35" s="43"/>
      <c r="R35" s="11" t="s">
        <v>162</v>
      </c>
      <c r="S35" s="11"/>
      <c r="T35" s="11"/>
      <c r="U35" s="11"/>
      <c r="V35" s="11"/>
      <c r="W35" s="11" t="s">
        <v>163</v>
      </c>
      <c r="X35" s="11"/>
      <c r="Y35" s="11"/>
      <c r="Z35" s="11"/>
      <c r="AA35" s="11"/>
      <c r="AB35" s="11" t="s">
        <v>164</v>
      </c>
      <c r="AC35" s="11"/>
      <c r="AD35" s="11"/>
      <c r="AE35" s="11"/>
      <c r="AF35" s="11"/>
    </row>
    <row r="36" customFormat="false" ht="17.25" hidden="false" customHeight="true" outlineLevel="0" collapsed="false">
      <c r="B36" s="44"/>
      <c r="C36" s="44"/>
      <c r="D36" s="44"/>
      <c r="E36" s="45" t="s">
        <v>165</v>
      </c>
      <c r="F36" s="45"/>
      <c r="G36" s="45"/>
      <c r="H36" s="45"/>
      <c r="I36" s="45"/>
      <c r="J36" s="45"/>
      <c r="K36" s="45"/>
      <c r="L36" s="45"/>
      <c r="M36" s="45"/>
      <c r="N36" s="45"/>
      <c r="O36" s="45"/>
      <c r="P36" s="45"/>
      <c r="Q36" s="45"/>
    </row>
    <row r="37" customFormat="false" ht="17.25" hidden="false" customHeight="true" outlineLevel="0" collapsed="false">
      <c r="B37" s="44"/>
      <c r="C37" s="44"/>
      <c r="D37" s="44"/>
      <c r="E37" s="28" t="s">
        <v>185</v>
      </c>
      <c r="F37" s="28"/>
      <c r="G37" s="28"/>
      <c r="H37" s="28"/>
      <c r="I37" s="28"/>
      <c r="J37" s="28"/>
      <c r="K37" s="28"/>
      <c r="L37" s="28"/>
      <c r="M37" s="28"/>
      <c r="N37" s="28"/>
      <c r="O37" s="28"/>
      <c r="P37" s="28"/>
      <c r="Q37" s="28"/>
      <c r="W37" s="55" t="n">
        <f aca="false">$X$12</f>
        <v>350</v>
      </c>
      <c r="X37" s="55"/>
      <c r="Y37" s="55"/>
      <c r="Z37" s="55"/>
    </row>
    <row r="38" customFormat="false" ht="17.25" hidden="false" customHeight="true" outlineLevel="0" collapsed="false">
      <c r="B38" s="44" t="s">
        <v>167</v>
      </c>
      <c r="C38" s="44"/>
      <c r="D38" s="44"/>
      <c r="E38" s="45" t="s">
        <v>168</v>
      </c>
      <c r="F38" s="45"/>
      <c r="G38" s="45"/>
      <c r="H38" s="45"/>
      <c r="I38" s="45"/>
      <c r="J38" s="45"/>
      <c r="K38" s="45"/>
      <c r="L38" s="45"/>
      <c r="M38" s="45"/>
      <c r="N38" s="45"/>
      <c r="O38" s="45"/>
      <c r="P38" s="45"/>
      <c r="Q38" s="45"/>
    </row>
    <row r="39" customFormat="false" ht="17.25" hidden="false" customHeight="true" outlineLevel="0" collapsed="false">
      <c r="B39" s="44"/>
      <c r="C39" s="44"/>
      <c r="D39" s="44"/>
      <c r="E39" s="28" t="s">
        <v>186</v>
      </c>
      <c r="F39" s="28"/>
      <c r="G39" s="28"/>
      <c r="H39" s="28"/>
      <c r="I39" s="28"/>
      <c r="J39" s="28"/>
      <c r="K39" s="28"/>
      <c r="L39" s="28"/>
      <c r="M39" s="28"/>
      <c r="N39" s="28"/>
      <c r="O39" s="28"/>
      <c r="P39" s="28"/>
      <c r="Q39" s="28"/>
      <c r="W39" s="55" t="n">
        <f aca="false">$X$10-12*$X$9</f>
        <v>600</v>
      </c>
      <c r="X39" s="55"/>
      <c r="Y39" s="55"/>
      <c r="Z39" s="55"/>
    </row>
    <row r="41" customFormat="false" ht="18.75" hidden="false" customHeight="true" outlineLevel="0" collapsed="false">
      <c r="B41" s="3" t="s">
        <v>187</v>
      </c>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ustomFormat="false" ht="17.25" hidden="false" customHeight="true" outlineLevel="0" collapsed="false">
      <c r="B42" s="36" t="s">
        <v>188</v>
      </c>
      <c r="C42" s="36"/>
      <c r="D42" s="36"/>
      <c r="E42" s="36"/>
      <c r="F42" s="36"/>
      <c r="G42" s="36"/>
      <c r="H42" s="36"/>
      <c r="I42" s="36"/>
      <c r="J42" s="36"/>
      <c r="K42" s="36"/>
      <c r="L42" s="36"/>
      <c r="M42" s="36"/>
      <c r="N42" s="36"/>
      <c r="O42" s="36"/>
      <c r="P42" s="36"/>
      <c r="Q42" s="36"/>
      <c r="R42" s="36"/>
      <c r="S42" s="36"/>
      <c r="T42" s="36"/>
      <c r="U42" s="36"/>
      <c r="V42" s="36"/>
      <c r="W42" s="36"/>
      <c r="X42" s="55" t="n">
        <f aca="false">$X$10-12*$X$9</f>
        <v>600</v>
      </c>
      <c r="Y42" s="55"/>
      <c r="Z42" s="55"/>
      <c r="AA42" s="55"/>
      <c r="AB42" s="55"/>
    </row>
  </sheetData>
  <mergeCells count="78">
    <mergeCell ref="B1:AF1"/>
    <mergeCell ref="B2:AF2"/>
    <mergeCell ref="B3:AF3"/>
    <mergeCell ref="B5:AF5"/>
    <mergeCell ref="C6:AF6"/>
    <mergeCell ref="C7:AF7"/>
    <mergeCell ref="B8:W8"/>
    <mergeCell ref="X8:AC8"/>
    <mergeCell ref="B9:W9"/>
    <mergeCell ref="X9:AC9"/>
    <mergeCell ref="B10:W10"/>
    <mergeCell ref="X10:AC10"/>
    <mergeCell ref="B11:W11"/>
    <mergeCell ref="X11:AC11"/>
    <mergeCell ref="B12:W12"/>
    <mergeCell ref="X12:AC12"/>
    <mergeCell ref="B15:AF15"/>
    <mergeCell ref="B16:W16"/>
    <mergeCell ref="X16:AB16"/>
    <mergeCell ref="B17:W17"/>
    <mergeCell ref="X17:AB17"/>
    <mergeCell ref="B19:AF19"/>
    <mergeCell ref="B20:D20"/>
    <mergeCell ref="E20:AC20"/>
    <mergeCell ref="AD20:AF20"/>
    <mergeCell ref="B21:D21"/>
    <mergeCell ref="E21:K21"/>
    <mergeCell ref="M21:P21"/>
    <mergeCell ref="R21:T21"/>
    <mergeCell ref="U21:AA21"/>
    <mergeCell ref="AC21:AF21"/>
    <mergeCell ref="B22:D22"/>
    <mergeCell ref="M22:O22"/>
    <mergeCell ref="R22:T22"/>
    <mergeCell ref="AC22:AE22"/>
    <mergeCell ref="B23:D23"/>
    <mergeCell ref="E23:K23"/>
    <mergeCell ref="M23:O23"/>
    <mergeCell ref="R23:T23"/>
    <mergeCell ref="U23:AA23"/>
    <mergeCell ref="AC23:AE23"/>
    <mergeCell ref="B24:D24"/>
    <mergeCell ref="E24:K24"/>
    <mergeCell ref="M24:O24"/>
    <mergeCell ref="M25:O25"/>
    <mergeCell ref="AC25:AE25"/>
    <mergeCell ref="R26:T26"/>
    <mergeCell ref="R27:T27"/>
    <mergeCell ref="U27:AA27"/>
    <mergeCell ref="AC27:AE27"/>
    <mergeCell ref="B29:AF29"/>
    <mergeCell ref="B30:W30"/>
    <mergeCell ref="X30:AB30"/>
    <mergeCell ref="B32:AF32"/>
    <mergeCell ref="B33:AF33"/>
    <mergeCell ref="B34:D34"/>
    <mergeCell ref="E34:Q34"/>
    <mergeCell ref="R34:V34"/>
    <mergeCell ref="W34:AA34"/>
    <mergeCell ref="AB34:AF34"/>
    <mergeCell ref="B35:D35"/>
    <mergeCell ref="E35:Q35"/>
    <mergeCell ref="R35:V35"/>
    <mergeCell ref="W35:AA35"/>
    <mergeCell ref="AB35:AF35"/>
    <mergeCell ref="B36:D36"/>
    <mergeCell ref="E36:Q36"/>
    <mergeCell ref="B37:D37"/>
    <mergeCell ref="E37:Q37"/>
    <mergeCell ref="W37:Z37"/>
    <mergeCell ref="B38:D38"/>
    <mergeCell ref="E38:Q38"/>
    <mergeCell ref="B39:D39"/>
    <mergeCell ref="E39:Q39"/>
    <mergeCell ref="W39:Z39"/>
    <mergeCell ref="B41:AF41"/>
    <mergeCell ref="B42:W42"/>
    <mergeCell ref="X42:AB42"/>
  </mergeCells>
  <conditionalFormatting sqref="B1:AG4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293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289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290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190</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33" t="s">
        <v>127</v>
      </c>
      <c r="C6" s="33"/>
      <c r="D6" s="33"/>
      <c r="E6" s="33"/>
      <c r="F6" s="33"/>
      <c r="G6" s="33"/>
      <c r="H6" s="33"/>
      <c r="I6" s="33"/>
      <c r="J6" s="33"/>
      <c r="K6" s="33"/>
      <c r="L6" s="33"/>
      <c r="M6" s="33"/>
      <c r="N6" s="33"/>
      <c r="O6" s="33"/>
      <c r="P6" s="33"/>
      <c r="Q6" s="33"/>
      <c r="R6" s="33"/>
      <c r="S6" s="33"/>
      <c r="T6" s="33"/>
      <c r="U6" s="33"/>
      <c r="V6" s="33"/>
      <c r="W6" s="33"/>
      <c r="X6" s="34" t="s">
        <v>114</v>
      </c>
      <c r="Y6" s="34"/>
      <c r="Z6" s="34"/>
      <c r="AA6" s="34"/>
      <c r="AB6" s="34"/>
      <c r="AC6" s="34"/>
    </row>
    <row r="7" customFormat="false" ht="15" hidden="false" customHeight="false" outlineLevel="0" collapsed="false">
      <c r="B7" s="46" t="s">
        <v>191</v>
      </c>
      <c r="C7" s="46"/>
      <c r="D7" s="46"/>
      <c r="E7" s="46"/>
      <c r="F7" s="46"/>
      <c r="G7" s="46"/>
      <c r="H7" s="46"/>
      <c r="I7" s="46"/>
      <c r="J7" s="46"/>
      <c r="K7" s="46"/>
      <c r="L7" s="46"/>
      <c r="M7" s="46"/>
      <c r="N7" s="46"/>
      <c r="O7" s="46"/>
      <c r="P7" s="46"/>
      <c r="Q7" s="46"/>
      <c r="R7" s="46"/>
      <c r="S7" s="46"/>
      <c r="T7" s="46"/>
      <c r="U7" s="46"/>
      <c r="V7" s="46"/>
      <c r="W7" s="46"/>
      <c r="X7" s="46"/>
      <c r="Y7" s="46"/>
      <c r="Z7" s="46"/>
      <c r="AA7" s="46"/>
      <c r="AB7" s="46"/>
      <c r="AC7" s="46"/>
    </row>
    <row r="8" customFormat="false" ht="16.5" hidden="false" customHeight="true" outlineLevel="0" collapsed="false">
      <c r="B8" s="12" t="s">
        <v>192</v>
      </c>
      <c r="C8" s="12"/>
      <c r="D8" s="12"/>
      <c r="E8" s="12"/>
      <c r="F8" s="12"/>
      <c r="G8" s="12"/>
      <c r="H8" s="12"/>
      <c r="I8" s="12"/>
      <c r="J8" s="12"/>
      <c r="K8" s="12"/>
      <c r="L8" s="12"/>
      <c r="M8" s="12"/>
      <c r="N8" s="12"/>
      <c r="O8" s="12"/>
      <c r="P8" s="12"/>
      <c r="Q8" s="12"/>
      <c r="R8" s="12"/>
      <c r="S8" s="12"/>
      <c r="T8" s="12"/>
      <c r="U8" s="12"/>
      <c r="V8" s="12"/>
      <c r="W8" s="12"/>
      <c r="X8" s="54" t="n">
        <f aca="false">'Q11.11'!X8</f>
        <v>300</v>
      </c>
      <c r="Y8" s="54"/>
      <c r="Z8" s="54"/>
      <c r="AA8" s="54"/>
      <c r="AB8" s="54"/>
      <c r="AC8" s="54"/>
    </row>
    <row r="9" customFormat="false" ht="16.5" hidden="false" customHeight="true" outlineLevel="0" collapsed="false">
      <c r="B9" s="12" t="s">
        <v>193</v>
      </c>
      <c r="C9" s="12"/>
      <c r="D9" s="12"/>
      <c r="E9" s="12"/>
      <c r="F9" s="12"/>
      <c r="G9" s="12"/>
      <c r="H9" s="12"/>
      <c r="I9" s="12"/>
      <c r="J9" s="12"/>
      <c r="K9" s="12"/>
      <c r="L9" s="12"/>
      <c r="M9" s="12"/>
      <c r="N9" s="12"/>
      <c r="O9" s="12"/>
      <c r="P9" s="12"/>
      <c r="Q9" s="12"/>
      <c r="R9" s="12"/>
      <c r="S9" s="12"/>
      <c r="T9" s="12"/>
      <c r="U9" s="12"/>
      <c r="V9" s="12"/>
      <c r="W9" s="12"/>
      <c r="X9" s="54" t="n">
        <f aca="false">'Q11.11'!X9</f>
        <v>18000</v>
      </c>
      <c r="Y9" s="54"/>
      <c r="Z9" s="54"/>
      <c r="AA9" s="54"/>
      <c r="AB9" s="54"/>
      <c r="AC9" s="54"/>
    </row>
    <row r="10" customFormat="false" ht="16.5" hidden="false" customHeight="true" outlineLevel="0" collapsed="false">
      <c r="B10" s="12" t="s">
        <v>194</v>
      </c>
      <c r="C10" s="12"/>
      <c r="D10" s="12"/>
      <c r="E10" s="12"/>
      <c r="F10" s="12"/>
      <c r="G10" s="12"/>
      <c r="H10" s="12"/>
      <c r="I10" s="12"/>
      <c r="J10" s="12"/>
      <c r="K10" s="12"/>
      <c r="L10" s="12"/>
      <c r="M10" s="12"/>
      <c r="N10" s="12"/>
      <c r="O10" s="12"/>
      <c r="P10" s="12"/>
      <c r="Q10" s="12"/>
      <c r="R10" s="12"/>
      <c r="S10" s="12"/>
      <c r="T10" s="12"/>
      <c r="U10" s="12"/>
      <c r="V10" s="12"/>
      <c r="W10" s="12"/>
      <c r="X10" s="54" t="n">
        <f aca="false">'Q11.11'!X10</f>
        <v>450</v>
      </c>
      <c r="Y10" s="54"/>
      <c r="Z10" s="54"/>
      <c r="AA10" s="54"/>
      <c r="AB10" s="54"/>
      <c r="AC10" s="54"/>
    </row>
    <row r="11" customFormat="false" ht="15" hidden="false" customHeight="false" outlineLevel="0" collapsed="false">
      <c r="B11" s="46" t="s">
        <v>195</v>
      </c>
      <c r="C11" s="46"/>
      <c r="D11" s="46"/>
      <c r="E11" s="46"/>
      <c r="F11" s="46"/>
      <c r="G11" s="46"/>
      <c r="H11" s="46"/>
      <c r="I11" s="46"/>
      <c r="J11" s="46"/>
      <c r="K11" s="46"/>
      <c r="L11" s="46"/>
      <c r="M11" s="46"/>
      <c r="N11" s="46"/>
      <c r="O11" s="46"/>
      <c r="P11" s="46"/>
      <c r="Q11" s="46"/>
      <c r="R11" s="46"/>
      <c r="S11" s="46"/>
      <c r="T11" s="46"/>
      <c r="U11" s="46"/>
      <c r="V11" s="46"/>
      <c r="W11" s="46"/>
      <c r="X11" s="46"/>
      <c r="Y11" s="46"/>
      <c r="Z11" s="46"/>
      <c r="AA11" s="46"/>
      <c r="AB11" s="46"/>
      <c r="AC11" s="46"/>
    </row>
    <row r="12" customFormat="false" ht="16.5" hidden="false" customHeight="true" outlineLevel="0" collapsed="false">
      <c r="B12" s="12" t="s">
        <v>196</v>
      </c>
      <c r="C12" s="12"/>
      <c r="D12" s="12"/>
      <c r="E12" s="12"/>
      <c r="F12" s="12"/>
      <c r="G12" s="12"/>
      <c r="H12" s="12"/>
      <c r="I12" s="12"/>
      <c r="J12" s="12"/>
      <c r="K12" s="12"/>
      <c r="L12" s="12"/>
      <c r="M12" s="12"/>
      <c r="N12" s="12"/>
      <c r="O12" s="12"/>
      <c r="P12" s="12"/>
      <c r="Q12" s="12"/>
      <c r="R12" s="12"/>
      <c r="S12" s="12"/>
      <c r="T12" s="12"/>
      <c r="U12" s="12"/>
      <c r="V12" s="12"/>
      <c r="W12" s="12"/>
      <c r="X12" s="54" t="n">
        <f aca="false">'Q11.11'!X12</f>
        <v>200</v>
      </c>
      <c r="Y12" s="54"/>
      <c r="Z12" s="54"/>
      <c r="AA12" s="54"/>
      <c r="AB12" s="54"/>
      <c r="AC12" s="54"/>
    </row>
    <row r="13" customFormat="false" ht="16.5" hidden="false" customHeight="true" outlineLevel="0" collapsed="false">
      <c r="B13" s="12" t="s">
        <v>193</v>
      </c>
      <c r="C13" s="12"/>
      <c r="D13" s="12"/>
      <c r="E13" s="12"/>
      <c r="F13" s="12"/>
      <c r="G13" s="12"/>
      <c r="H13" s="12"/>
      <c r="I13" s="12"/>
      <c r="J13" s="12"/>
      <c r="K13" s="12"/>
      <c r="L13" s="12"/>
      <c r="M13" s="12"/>
      <c r="N13" s="12"/>
      <c r="O13" s="12"/>
      <c r="P13" s="12"/>
      <c r="Q13" s="12"/>
      <c r="R13" s="12"/>
      <c r="S13" s="12"/>
      <c r="T13" s="12"/>
      <c r="U13" s="12"/>
      <c r="V13" s="12"/>
      <c r="W13" s="12"/>
      <c r="X13" s="54" t="n">
        <f aca="false">'Q11.11'!X13</f>
        <v>1600</v>
      </c>
      <c r="Y13" s="54"/>
      <c r="Z13" s="54"/>
      <c r="AA13" s="54"/>
      <c r="AB13" s="54"/>
      <c r="AC13" s="54"/>
    </row>
    <row r="14" customFormat="false" ht="16.5" hidden="false" customHeight="true" outlineLevel="0" collapsed="false">
      <c r="B14" s="12" t="s">
        <v>197</v>
      </c>
      <c r="C14" s="12"/>
      <c r="D14" s="12"/>
      <c r="E14" s="12"/>
      <c r="F14" s="12"/>
      <c r="G14" s="12"/>
      <c r="H14" s="12"/>
      <c r="I14" s="12"/>
      <c r="J14" s="12"/>
      <c r="K14" s="12"/>
      <c r="L14" s="12"/>
      <c r="M14" s="12"/>
      <c r="N14" s="12"/>
      <c r="O14" s="12"/>
      <c r="P14" s="12"/>
      <c r="Q14" s="12"/>
      <c r="R14" s="12"/>
      <c r="S14" s="12"/>
      <c r="T14" s="12"/>
      <c r="U14" s="12"/>
      <c r="V14" s="12"/>
      <c r="W14" s="12"/>
      <c r="X14" s="54" t="n">
        <f aca="false">'Q11.11'!X14</f>
        <v>250</v>
      </c>
      <c r="Y14" s="54"/>
      <c r="Z14" s="54"/>
      <c r="AA14" s="54"/>
      <c r="AB14" s="54"/>
      <c r="AC14" s="54"/>
    </row>
    <row r="15" customFormat="false" ht="15" hidden="false" customHeight="false" outlineLevel="0" collapsed="false">
      <c r="B15" s="46" t="s">
        <v>198</v>
      </c>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row>
    <row r="16" customFormat="false" ht="16.5" hidden="false" customHeight="true" outlineLevel="0" collapsed="false">
      <c r="B16" s="12" t="s">
        <v>199</v>
      </c>
      <c r="C16" s="12"/>
      <c r="D16" s="12"/>
      <c r="E16" s="12"/>
      <c r="F16" s="12"/>
      <c r="G16" s="12"/>
      <c r="H16" s="12"/>
      <c r="I16" s="12"/>
      <c r="J16" s="12"/>
      <c r="K16" s="12"/>
      <c r="L16" s="12"/>
      <c r="M16" s="12"/>
      <c r="N16" s="12"/>
      <c r="O16" s="12"/>
      <c r="P16" s="12"/>
      <c r="Q16" s="12"/>
      <c r="R16" s="12"/>
      <c r="S16" s="12"/>
      <c r="T16" s="12"/>
      <c r="U16" s="12"/>
      <c r="V16" s="12"/>
      <c r="W16" s="12"/>
      <c r="X16" s="54" t="n">
        <f aca="false">'Q11.11'!X16</f>
        <v>3000</v>
      </c>
      <c r="Y16" s="54"/>
      <c r="Z16" s="54"/>
      <c r="AA16" s="54"/>
      <c r="AB16" s="54"/>
      <c r="AC16" s="54"/>
    </row>
    <row r="17" customFormat="false" ht="16.5" hidden="false" customHeight="true" outlineLevel="0" collapsed="false">
      <c r="B17" s="12" t="s">
        <v>200</v>
      </c>
      <c r="C17" s="12"/>
      <c r="D17" s="12"/>
      <c r="E17" s="12"/>
      <c r="F17" s="12"/>
      <c r="G17" s="12"/>
      <c r="H17" s="12"/>
      <c r="I17" s="12"/>
      <c r="J17" s="12"/>
      <c r="K17" s="12"/>
      <c r="L17" s="12"/>
      <c r="M17" s="12"/>
      <c r="N17" s="12"/>
      <c r="O17" s="12"/>
      <c r="P17" s="12"/>
      <c r="Q17" s="12"/>
      <c r="R17" s="12"/>
      <c r="S17" s="12"/>
      <c r="T17" s="12"/>
      <c r="U17" s="12"/>
      <c r="V17" s="12"/>
      <c r="W17" s="12"/>
      <c r="X17" s="54" t="n">
        <f aca="false">'Q11.11'!X17</f>
        <v>250</v>
      </c>
      <c r="Y17" s="54"/>
      <c r="Z17" s="54"/>
      <c r="AA17" s="54"/>
      <c r="AB17" s="54"/>
      <c r="AC17" s="54"/>
    </row>
    <row r="20" customFormat="false" ht="18.75" hidden="false" customHeight="true" outlineLevel="0" collapsed="false">
      <c r="B20" s="3" t="s">
        <v>201</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36" t="s">
        <v>202</v>
      </c>
      <c r="C21" s="36"/>
      <c r="D21" s="36"/>
      <c r="E21" s="36"/>
      <c r="F21" s="36"/>
      <c r="G21" s="36"/>
      <c r="H21" s="36"/>
      <c r="I21" s="36"/>
      <c r="J21" s="36"/>
      <c r="K21" s="36"/>
      <c r="L21" s="36"/>
      <c r="M21" s="36"/>
      <c r="N21" s="36"/>
      <c r="O21" s="36"/>
      <c r="P21" s="36"/>
      <c r="Q21" s="36"/>
      <c r="R21" s="36"/>
      <c r="S21" s="36"/>
      <c r="T21" s="36"/>
      <c r="U21" s="36"/>
      <c r="V21" s="36"/>
      <c r="W21" s="36"/>
      <c r="X21" s="55" t="n">
        <f aca="false">$X$9-$X$8+$X$10</f>
        <v>18150</v>
      </c>
      <c r="Y21" s="55"/>
      <c r="Z21" s="55"/>
      <c r="AA21" s="55"/>
      <c r="AB21" s="55"/>
    </row>
    <row r="22" customFormat="false" ht="17.25" hidden="false" customHeight="true" outlineLevel="0" collapsed="false">
      <c r="B22" s="36" t="s">
        <v>203</v>
      </c>
      <c r="C22" s="36"/>
      <c r="D22" s="36"/>
      <c r="E22" s="36"/>
      <c r="F22" s="36"/>
      <c r="G22" s="36"/>
      <c r="H22" s="36"/>
      <c r="I22" s="36"/>
      <c r="J22" s="36"/>
      <c r="K22" s="36"/>
      <c r="L22" s="36"/>
      <c r="M22" s="36"/>
      <c r="N22" s="36"/>
      <c r="O22" s="36"/>
      <c r="P22" s="36"/>
      <c r="Q22" s="36"/>
      <c r="R22" s="36"/>
      <c r="S22" s="36"/>
      <c r="T22" s="36"/>
      <c r="U22" s="36"/>
      <c r="V22" s="36"/>
      <c r="W22" s="36"/>
      <c r="X22" s="55" t="n">
        <f aca="false">$X$13+$X$12-$X$14</f>
        <v>1550</v>
      </c>
      <c r="Y22" s="55"/>
      <c r="Z22" s="55"/>
      <c r="AA22" s="55"/>
      <c r="AB22" s="55"/>
    </row>
    <row r="23" customFormat="false" ht="17.25" hidden="false" customHeight="true" outlineLevel="0" collapsed="false">
      <c r="B23" s="36" t="s">
        <v>204</v>
      </c>
      <c r="C23" s="36"/>
      <c r="D23" s="36"/>
      <c r="E23" s="36"/>
      <c r="F23" s="36"/>
      <c r="G23" s="36"/>
      <c r="H23" s="36"/>
      <c r="I23" s="36"/>
      <c r="J23" s="36"/>
      <c r="K23" s="36"/>
      <c r="L23" s="36"/>
      <c r="M23" s="36"/>
      <c r="N23" s="36"/>
      <c r="O23" s="36"/>
      <c r="P23" s="36"/>
      <c r="Q23" s="36"/>
      <c r="R23" s="36"/>
      <c r="S23" s="36"/>
      <c r="T23" s="36"/>
      <c r="U23" s="36"/>
      <c r="V23" s="36"/>
      <c r="W23" s="36"/>
      <c r="X23" s="55" t="n">
        <f aca="false">$X$16+$X$17</f>
        <v>3250</v>
      </c>
      <c r="Y23" s="55"/>
      <c r="Z23" s="55"/>
      <c r="AA23" s="55"/>
      <c r="AB23" s="55"/>
    </row>
    <row r="25" customFormat="false" ht="18.75" hidden="false" customHeight="true" outlineLevel="0" collapsed="false">
      <c r="B25" s="3" t="s">
        <v>205</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5" hidden="false" customHeight="false" outlineLevel="0" collapsed="false">
      <c r="B26" s="17" t="s">
        <v>64</v>
      </c>
      <c r="C26" s="17"/>
      <c r="D26" s="17"/>
      <c r="E26" s="18" t="s">
        <v>206</v>
      </c>
      <c r="F26" s="18"/>
      <c r="G26" s="18"/>
      <c r="H26" s="18"/>
      <c r="I26" s="18"/>
      <c r="J26" s="18"/>
      <c r="K26" s="18"/>
      <c r="L26" s="18"/>
      <c r="M26" s="18"/>
      <c r="N26" s="18"/>
      <c r="O26" s="18"/>
      <c r="P26" s="18"/>
      <c r="Q26" s="18"/>
      <c r="R26" s="18"/>
      <c r="S26" s="18"/>
      <c r="T26" s="18"/>
      <c r="U26" s="18"/>
      <c r="V26" s="18"/>
      <c r="W26" s="18"/>
      <c r="X26" s="18"/>
      <c r="Y26" s="18"/>
      <c r="Z26" s="18"/>
      <c r="AA26" s="18"/>
      <c r="AB26" s="18"/>
      <c r="AC26" s="18"/>
      <c r="AD26" s="19" t="s">
        <v>66</v>
      </c>
      <c r="AE26" s="19"/>
      <c r="AF26" s="19"/>
    </row>
    <row r="27" customFormat="false" ht="15" hidden="false" customHeight="false" outlineLevel="0" collapsed="false">
      <c r="B27" s="20" t="s">
        <v>67</v>
      </c>
      <c r="C27" s="20"/>
      <c r="D27" s="20"/>
      <c r="E27" s="20" t="s">
        <v>68</v>
      </c>
      <c r="F27" s="20"/>
      <c r="G27" s="20"/>
      <c r="H27" s="20"/>
      <c r="I27" s="20"/>
      <c r="J27" s="20"/>
      <c r="K27" s="20"/>
      <c r="L27" s="21" t="s">
        <v>69</v>
      </c>
      <c r="M27" s="22" t="s">
        <v>70</v>
      </c>
      <c r="N27" s="22"/>
      <c r="O27" s="22"/>
      <c r="P27" s="22"/>
      <c r="Q27" s="23"/>
      <c r="R27" s="24" t="s">
        <v>67</v>
      </c>
      <c r="S27" s="24"/>
      <c r="T27" s="24"/>
      <c r="U27" s="20" t="s">
        <v>68</v>
      </c>
      <c r="V27" s="20"/>
      <c r="W27" s="20"/>
      <c r="X27" s="20"/>
      <c r="Y27" s="20"/>
      <c r="Z27" s="20"/>
      <c r="AA27" s="20"/>
      <c r="AB27" s="21" t="s">
        <v>69</v>
      </c>
      <c r="AC27" s="22" t="s">
        <v>70</v>
      </c>
      <c r="AD27" s="22"/>
      <c r="AE27" s="22"/>
      <c r="AF27" s="22"/>
    </row>
    <row r="28" customFormat="false" ht="16.5" hidden="false" customHeight="true" outlineLevel="0" collapsed="false">
      <c r="B28" s="25" t="s">
        <v>71</v>
      </c>
      <c r="C28" s="25"/>
      <c r="D28" s="25"/>
      <c r="M28" s="26" t="s">
        <v>72</v>
      </c>
      <c r="N28" s="26"/>
      <c r="O28" s="26"/>
      <c r="R28" s="27" t="s">
        <v>71</v>
      </c>
      <c r="S28" s="27"/>
      <c r="T28" s="27"/>
      <c r="AC28" s="26" t="s">
        <v>72</v>
      </c>
      <c r="AD28" s="26"/>
      <c r="AE28" s="26"/>
    </row>
    <row r="29" customFormat="false" ht="17.25" hidden="false" customHeight="true" outlineLevel="0" collapsed="false">
      <c r="B29" s="6"/>
      <c r="C29" s="6"/>
      <c r="D29" s="6"/>
      <c r="E29" s="28" t="s">
        <v>76</v>
      </c>
      <c r="F29" s="28"/>
      <c r="G29" s="28"/>
      <c r="H29" s="28"/>
      <c r="I29" s="28"/>
      <c r="J29" s="28"/>
      <c r="K29" s="28"/>
      <c r="L29" s="29" t="s">
        <v>77</v>
      </c>
      <c r="M29" s="55" t="n">
        <f aca="false">$X$9</f>
        <v>18000</v>
      </c>
      <c r="N29" s="55"/>
      <c r="O29" s="55"/>
      <c r="R29" s="30" t="s">
        <v>207</v>
      </c>
      <c r="S29" s="30"/>
      <c r="T29" s="30"/>
      <c r="U29" s="28" t="s">
        <v>157</v>
      </c>
      <c r="V29" s="28"/>
      <c r="W29" s="28"/>
      <c r="X29" s="28"/>
      <c r="Y29" s="28"/>
      <c r="Z29" s="28"/>
      <c r="AA29" s="28"/>
      <c r="AB29" s="29"/>
      <c r="AC29" s="55" t="n">
        <f aca="false">$X$8</f>
        <v>300</v>
      </c>
      <c r="AD29" s="55"/>
      <c r="AE29" s="55"/>
    </row>
    <row r="30" customFormat="false" ht="16.5" hidden="false" customHeight="true" outlineLevel="0" collapsed="false">
      <c r="B30" s="25" t="s">
        <v>83</v>
      </c>
      <c r="C30" s="25"/>
      <c r="D30" s="25"/>
      <c r="R30" s="27" t="s">
        <v>83</v>
      </c>
      <c r="S30" s="27"/>
      <c r="T30" s="27"/>
    </row>
    <row r="31" customFormat="false" ht="17.25" hidden="false" customHeight="true" outlineLevel="0" collapsed="false">
      <c r="B31" s="6" t="s">
        <v>208</v>
      </c>
      <c r="C31" s="6"/>
      <c r="D31" s="6"/>
      <c r="E31" s="28" t="s">
        <v>156</v>
      </c>
      <c r="F31" s="28"/>
      <c r="G31" s="28"/>
      <c r="H31" s="28"/>
      <c r="I31" s="28"/>
      <c r="J31" s="28"/>
      <c r="K31" s="28"/>
      <c r="L31" s="29"/>
      <c r="M31" s="55" t="n">
        <f aca="false">$X$10</f>
        <v>450</v>
      </c>
      <c r="N31" s="55"/>
      <c r="O31" s="55"/>
      <c r="R31" s="30" t="s">
        <v>208</v>
      </c>
      <c r="S31" s="30"/>
      <c r="T31" s="30"/>
      <c r="U31" s="28" t="s">
        <v>79</v>
      </c>
      <c r="V31" s="28"/>
      <c r="W31" s="28"/>
      <c r="X31" s="28"/>
      <c r="Y31" s="28"/>
      <c r="Z31" s="28"/>
      <c r="AA31" s="28"/>
      <c r="AB31" s="29" t="s">
        <v>80</v>
      </c>
      <c r="AC31" s="55" t="n">
        <f aca="false">$X$9-$X$8+$X$10</f>
        <v>18150</v>
      </c>
      <c r="AD31" s="55"/>
      <c r="AE31" s="55"/>
    </row>
    <row r="32" customFormat="false" ht="16.5" hidden="false" customHeight="true" outlineLevel="0" collapsed="false">
      <c r="M32" s="58" t="n">
        <f aca="false">SUM(M28:M31)</f>
        <v>18450</v>
      </c>
      <c r="N32" s="58"/>
      <c r="O32" s="58"/>
      <c r="R32" s="32"/>
      <c r="AC32" s="58" t="n">
        <f aca="false">SUM(AC28:AC31)</f>
        <v>18450</v>
      </c>
      <c r="AD32" s="58"/>
      <c r="AE32" s="58"/>
    </row>
    <row r="33" customFormat="false" ht="17.25" hidden="false" customHeight="true" outlineLevel="0" collapsed="false">
      <c r="R33" s="30" t="s">
        <v>207</v>
      </c>
      <c r="S33" s="30"/>
      <c r="T33" s="30"/>
      <c r="U33" s="28" t="s">
        <v>157</v>
      </c>
      <c r="V33" s="28"/>
      <c r="W33" s="28"/>
      <c r="X33" s="28"/>
      <c r="Y33" s="28"/>
      <c r="Z33" s="28"/>
      <c r="AA33" s="28"/>
      <c r="AB33" s="29"/>
      <c r="AC33" s="55" t="n">
        <f aca="false">$X$10</f>
        <v>450</v>
      </c>
      <c r="AD33" s="55"/>
      <c r="AE33" s="55"/>
    </row>
    <row r="35" customFormat="false" ht="18.75" hidden="false" customHeight="true" outlineLevel="0" collapsed="false">
      <c r="B35" s="3" t="s">
        <v>209</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7.25" hidden="false" customHeight="true" outlineLevel="0" collapsed="false">
      <c r="B36" s="36" t="s">
        <v>210</v>
      </c>
      <c r="C36" s="36"/>
      <c r="D36" s="36"/>
      <c r="E36" s="36"/>
      <c r="F36" s="36"/>
      <c r="G36" s="36"/>
      <c r="H36" s="36"/>
      <c r="I36" s="36"/>
      <c r="J36" s="36"/>
      <c r="K36" s="36"/>
      <c r="L36" s="36"/>
      <c r="M36" s="36"/>
      <c r="N36" s="36"/>
      <c r="O36" s="36"/>
      <c r="P36" s="36"/>
      <c r="Q36" s="36"/>
      <c r="R36" s="36"/>
      <c r="S36" s="36"/>
      <c r="T36" s="36"/>
      <c r="U36" s="36"/>
      <c r="V36" s="36"/>
      <c r="W36" s="36"/>
      <c r="X36" s="55" t="n">
        <f aca="false">$X$14+$X$17</f>
        <v>500</v>
      </c>
      <c r="Y36" s="55"/>
      <c r="Z36" s="55"/>
      <c r="AA36" s="55"/>
      <c r="AB36" s="55"/>
    </row>
    <row r="37" customFormat="false" ht="17.25" hidden="false" customHeight="true" outlineLevel="0" collapsed="false">
      <c r="B37" s="36" t="s">
        <v>211</v>
      </c>
      <c r="C37" s="36"/>
      <c r="D37" s="36"/>
      <c r="E37" s="36"/>
      <c r="F37" s="36"/>
      <c r="G37" s="36"/>
      <c r="H37" s="36"/>
      <c r="I37" s="36"/>
      <c r="J37" s="36"/>
      <c r="K37" s="36"/>
      <c r="L37" s="36"/>
      <c r="M37" s="36"/>
      <c r="N37" s="36"/>
      <c r="O37" s="36"/>
      <c r="P37" s="36"/>
      <c r="Q37" s="36"/>
      <c r="R37" s="36"/>
      <c r="S37" s="36"/>
      <c r="T37" s="36"/>
      <c r="U37" s="36"/>
      <c r="V37" s="36"/>
      <c r="W37" s="36"/>
      <c r="X37" s="55" t="n">
        <f aca="false">$X$10</f>
        <v>450</v>
      </c>
      <c r="Y37" s="55"/>
      <c r="Z37" s="55"/>
      <c r="AA37" s="55"/>
      <c r="AB37" s="55"/>
    </row>
  </sheetData>
  <mergeCells count="70">
    <mergeCell ref="B1:AF1"/>
    <mergeCell ref="B2:AF2"/>
    <mergeCell ref="B3:AF3"/>
    <mergeCell ref="B5:AF5"/>
    <mergeCell ref="B6:W6"/>
    <mergeCell ref="X6:AC6"/>
    <mergeCell ref="B7:AC7"/>
    <mergeCell ref="B8:W8"/>
    <mergeCell ref="X8:AC8"/>
    <mergeCell ref="B9:W9"/>
    <mergeCell ref="X9:AC9"/>
    <mergeCell ref="B10:W10"/>
    <mergeCell ref="X10:AC10"/>
    <mergeCell ref="B11:AC11"/>
    <mergeCell ref="B12:W12"/>
    <mergeCell ref="X12:AC12"/>
    <mergeCell ref="B13:W13"/>
    <mergeCell ref="X13:AC13"/>
    <mergeCell ref="B14:W14"/>
    <mergeCell ref="X14:AC14"/>
    <mergeCell ref="B15:AC15"/>
    <mergeCell ref="B16:W16"/>
    <mergeCell ref="X16:AC16"/>
    <mergeCell ref="B17:W17"/>
    <mergeCell ref="X17:AC17"/>
    <mergeCell ref="B20:AF20"/>
    <mergeCell ref="B21:W21"/>
    <mergeCell ref="X21:AB21"/>
    <mergeCell ref="B22:W22"/>
    <mergeCell ref="X22:AB22"/>
    <mergeCell ref="B23:W23"/>
    <mergeCell ref="X23:AB23"/>
    <mergeCell ref="B25:AF25"/>
    <mergeCell ref="B26:D26"/>
    <mergeCell ref="E26:AC26"/>
    <mergeCell ref="AD26:AF26"/>
    <mergeCell ref="B27:D27"/>
    <mergeCell ref="E27:K27"/>
    <mergeCell ref="M27:P27"/>
    <mergeCell ref="R27:T27"/>
    <mergeCell ref="U27:AA27"/>
    <mergeCell ref="AC27:AF27"/>
    <mergeCell ref="B28:D28"/>
    <mergeCell ref="M28:O28"/>
    <mergeCell ref="R28:T28"/>
    <mergeCell ref="AC28:AE28"/>
    <mergeCell ref="B29:D29"/>
    <mergeCell ref="E29:K29"/>
    <mergeCell ref="M29:O29"/>
    <mergeCell ref="R29:T29"/>
    <mergeCell ref="U29:AA29"/>
    <mergeCell ref="AC29:AE29"/>
    <mergeCell ref="B30:D30"/>
    <mergeCell ref="R30:T30"/>
    <mergeCell ref="B31:D31"/>
    <mergeCell ref="E31:K31"/>
    <mergeCell ref="M31:O31"/>
    <mergeCell ref="R31:T31"/>
    <mergeCell ref="U31:AA31"/>
    <mergeCell ref="AC31:AE31"/>
    <mergeCell ref="M32:O32"/>
    <mergeCell ref="AC32:AE32"/>
    <mergeCell ref="R33:T33"/>
    <mergeCell ref="U33:AA33"/>
    <mergeCell ref="AC33:AE33"/>
    <mergeCell ref="B35:AF35"/>
    <mergeCell ref="B36:W36"/>
    <mergeCell ref="X36:AB36"/>
    <mergeCell ref="B37:W37"/>
    <mergeCell ref="X37:AB37"/>
  </mergeCells>
  <conditionalFormatting sqref="B1:AG3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5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294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289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290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213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214</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30" hidden="false" customHeight="true" outlineLevel="0" collapsed="false">
      <c r="C7" s="4" t="s">
        <v>215</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216</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C9" s="4" t="s">
        <v>217</v>
      </c>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C10" s="4" t="s">
        <v>218</v>
      </c>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ustomFormat="false" ht="15" hidden="false" customHeight="false" outlineLevel="0" collapsed="false">
      <c r="B11" s="33" t="s">
        <v>127</v>
      </c>
      <c r="C11" s="33"/>
      <c r="D11" s="33"/>
      <c r="E11" s="33"/>
      <c r="F11" s="33"/>
      <c r="G11" s="33"/>
      <c r="H11" s="33"/>
      <c r="I11" s="33"/>
      <c r="J11" s="33"/>
      <c r="K11" s="33"/>
      <c r="L11" s="33"/>
      <c r="M11" s="33"/>
      <c r="N11" s="33"/>
      <c r="O11" s="33"/>
      <c r="P11" s="33"/>
      <c r="Q11" s="33"/>
      <c r="R11" s="33"/>
      <c r="S11" s="33"/>
      <c r="T11" s="33"/>
      <c r="U11" s="33"/>
      <c r="V11" s="33"/>
      <c r="W11" s="33"/>
      <c r="X11" s="34" t="s">
        <v>114</v>
      </c>
      <c r="Y11" s="34"/>
      <c r="Z11" s="34"/>
      <c r="AA11" s="34"/>
      <c r="AB11" s="34"/>
      <c r="AC11" s="34"/>
    </row>
    <row r="12" customFormat="false" ht="16.5" hidden="false" customHeight="true" outlineLevel="0" collapsed="false">
      <c r="B12" s="12" t="s">
        <v>219</v>
      </c>
      <c r="C12" s="12"/>
      <c r="D12" s="12"/>
      <c r="E12" s="12"/>
      <c r="F12" s="12"/>
      <c r="G12" s="12"/>
      <c r="H12" s="12"/>
      <c r="I12" s="12"/>
      <c r="J12" s="12"/>
      <c r="K12" s="12"/>
      <c r="L12" s="12"/>
      <c r="M12" s="12"/>
      <c r="N12" s="12"/>
      <c r="O12" s="12"/>
      <c r="P12" s="12"/>
      <c r="Q12" s="12"/>
      <c r="R12" s="12"/>
      <c r="S12" s="12"/>
      <c r="T12" s="12"/>
      <c r="U12" s="12"/>
      <c r="V12" s="12"/>
      <c r="W12" s="12"/>
      <c r="X12" s="54" t="n">
        <f aca="false">'Q11.12'!X12</f>
        <v>32000</v>
      </c>
      <c r="Y12" s="54"/>
      <c r="Z12" s="54"/>
      <c r="AA12" s="54"/>
      <c r="AB12" s="54"/>
      <c r="AC12" s="54"/>
    </row>
    <row r="13" customFormat="false" ht="16.5" hidden="false" customHeight="true" outlineLevel="0" collapsed="false">
      <c r="B13" s="12" t="s">
        <v>220</v>
      </c>
      <c r="C13" s="12"/>
      <c r="D13" s="12"/>
      <c r="E13" s="12"/>
      <c r="F13" s="12"/>
      <c r="G13" s="12"/>
      <c r="H13" s="12"/>
      <c r="I13" s="12"/>
      <c r="J13" s="12"/>
      <c r="K13" s="12"/>
      <c r="L13" s="12"/>
      <c r="M13" s="12"/>
      <c r="N13" s="12"/>
      <c r="O13" s="12"/>
      <c r="P13" s="12"/>
      <c r="Q13" s="12"/>
      <c r="R13" s="12"/>
      <c r="S13" s="12"/>
      <c r="T13" s="12"/>
      <c r="U13" s="12"/>
      <c r="V13" s="12"/>
      <c r="W13" s="12"/>
      <c r="X13" s="54" t="n">
        <f aca="false">'Q11.12'!X13</f>
        <v>750</v>
      </c>
      <c r="Y13" s="54"/>
      <c r="Z13" s="54"/>
      <c r="AA13" s="54"/>
      <c r="AB13" s="54"/>
      <c r="AC13" s="54"/>
    </row>
    <row r="14" customFormat="false" ht="16.5" hidden="false" customHeight="true" outlineLevel="0" collapsed="false">
      <c r="B14" s="12" t="s">
        <v>221</v>
      </c>
      <c r="C14" s="12"/>
      <c r="D14" s="12"/>
      <c r="E14" s="12"/>
      <c r="F14" s="12"/>
      <c r="G14" s="12"/>
      <c r="H14" s="12"/>
      <c r="I14" s="12"/>
      <c r="J14" s="12"/>
      <c r="K14" s="12"/>
      <c r="L14" s="12"/>
      <c r="M14" s="12"/>
      <c r="N14" s="12"/>
      <c r="O14" s="12"/>
      <c r="P14" s="12"/>
      <c r="Q14" s="12"/>
      <c r="R14" s="12"/>
      <c r="S14" s="12"/>
      <c r="T14" s="12"/>
      <c r="U14" s="12"/>
      <c r="V14" s="12"/>
      <c r="W14" s="12"/>
      <c r="X14" s="54" t="n">
        <f aca="false">'Q11.12'!X14</f>
        <v>3600</v>
      </c>
      <c r="Y14" s="54"/>
      <c r="Z14" s="54"/>
      <c r="AA14" s="54"/>
      <c r="AB14" s="54"/>
      <c r="AC14" s="54"/>
    </row>
    <row r="15" customFormat="false" ht="16.5" hidden="false" customHeight="true" outlineLevel="0" collapsed="false">
      <c r="B15" s="12" t="s">
        <v>222</v>
      </c>
      <c r="C15" s="12"/>
      <c r="D15" s="12"/>
      <c r="E15" s="12"/>
      <c r="F15" s="12"/>
      <c r="G15" s="12"/>
      <c r="H15" s="12"/>
      <c r="I15" s="12"/>
      <c r="J15" s="12"/>
      <c r="K15" s="12"/>
      <c r="L15" s="12"/>
      <c r="M15" s="12"/>
      <c r="N15" s="12"/>
      <c r="O15" s="12"/>
      <c r="P15" s="12"/>
      <c r="Q15" s="12"/>
      <c r="R15" s="12"/>
      <c r="S15" s="12"/>
      <c r="T15" s="12"/>
      <c r="U15" s="12"/>
      <c r="V15" s="12"/>
      <c r="W15" s="12"/>
      <c r="X15" s="57" t="n">
        <f aca="false">'Q11.12'!X15</f>
        <v>9</v>
      </c>
      <c r="Y15" s="57"/>
      <c r="Z15" s="57"/>
      <c r="AA15" s="57"/>
      <c r="AB15" s="57"/>
      <c r="AC15" s="57"/>
    </row>
    <row r="16" customFormat="false" ht="16.5" hidden="false" customHeight="true" outlineLevel="0" collapsed="false">
      <c r="B16" s="12" t="s">
        <v>223</v>
      </c>
      <c r="C16" s="12"/>
      <c r="D16" s="12"/>
      <c r="E16" s="12"/>
      <c r="F16" s="12"/>
      <c r="G16" s="12"/>
      <c r="H16" s="12"/>
      <c r="I16" s="12"/>
      <c r="J16" s="12"/>
      <c r="K16" s="12"/>
      <c r="L16" s="12"/>
      <c r="M16" s="12"/>
      <c r="N16" s="12"/>
      <c r="O16" s="12"/>
      <c r="P16" s="12"/>
      <c r="Q16" s="12"/>
      <c r="R16" s="12"/>
      <c r="S16" s="12"/>
      <c r="T16" s="12"/>
      <c r="U16" s="12"/>
      <c r="V16" s="12"/>
      <c r="W16" s="12"/>
      <c r="X16" s="54" t="n">
        <f aca="false">'Q11.12'!X16</f>
        <v>1000</v>
      </c>
      <c r="Y16" s="54"/>
      <c r="Z16" s="54"/>
      <c r="AA16" s="54"/>
      <c r="AB16" s="54"/>
      <c r="AC16" s="54"/>
    </row>
    <row r="17" customFormat="false" ht="16.5" hidden="false" customHeight="true" outlineLevel="0" collapsed="false">
      <c r="B17" s="12" t="s">
        <v>224</v>
      </c>
      <c r="C17" s="12"/>
      <c r="D17" s="12"/>
      <c r="E17" s="12"/>
      <c r="F17" s="12"/>
      <c r="G17" s="12"/>
      <c r="H17" s="12"/>
      <c r="I17" s="12"/>
      <c r="J17" s="12"/>
      <c r="K17" s="12"/>
      <c r="L17" s="12"/>
      <c r="M17" s="12"/>
      <c r="N17" s="12"/>
      <c r="O17" s="12"/>
      <c r="P17" s="12"/>
      <c r="Q17" s="12"/>
      <c r="R17" s="12"/>
      <c r="S17" s="12"/>
      <c r="T17" s="12"/>
      <c r="U17" s="12"/>
      <c r="V17" s="12"/>
      <c r="W17" s="12"/>
      <c r="X17" s="54" t="n">
        <f aca="false">'Q11.12'!X17</f>
        <v>1200</v>
      </c>
      <c r="Y17" s="54"/>
      <c r="Z17" s="54"/>
      <c r="AA17" s="54"/>
      <c r="AB17" s="54"/>
      <c r="AC17" s="54"/>
    </row>
    <row r="18" customFormat="false" ht="16.5" hidden="false" customHeight="true" outlineLevel="0" collapsed="false">
      <c r="B18" s="12" t="s">
        <v>225</v>
      </c>
      <c r="C18" s="12"/>
      <c r="D18" s="12"/>
      <c r="E18" s="12"/>
      <c r="F18" s="12"/>
      <c r="G18" s="12"/>
      <c r="H18" s="12"/>
      <c r="I18" s="12"/>
      <c r="J18" s="12"/>
      <c r="K18" s="12"/>
      <c r="L18" s="12"/>
      <c r="M18" s="12"/>
      <c r="N18" s="12"/>
      <c r="O18" s="12"/>
      <c r="P18" s="12"/>
      <c r="Q18" s="12"/>
      <c r="R18" s="12"/>
      <c r="S18" s="12"/>
      <c r="T18" s="12"/>
      <c r="U18" s="12"/>
      <c r="V18" s="12"/>
      <c r="W18" s="12"/>
      <c r="X18" s="54" t="n">
        <f aca="false">'Q11.12'!X18</f>
        <v>13000</v>
      </c>
      <c r="Y18" s="54"/>
      <c r="Z18" s="54"/>
      <c r="AA18" s="54"/>
      <c r="AB18" s="54"/>
      <c r="AC18" s="54"/>
    </row>
    <row r="19" customFormat="false" ht="16.5" hidden="false" customHeight="true" outlineLevel="0" collapsed="false">
      <c r="B19" s="12" t="s">
        <v>226</v>
      </c>
      <c r="C19" s="12"/>
      <c r="D19" s="12"/>
      <c r="E19" s="12"/>
      <c r="F19" s="12"/>
      <c r="G19" s="12"/>
      <c r="H19" s="12"/>
      <c r="I19" s="12"/>
      <c r="J19" s="12"/>
      <c r="K19" s="12"/>
      <c r="L19" s="12"/>
      <c r="M19" s="12"/>
      <c r="N19" s="12"/>
      <c r="O19" s="12"/>
      <c r="P19" s="12"/>
      <c r="Q19" s="12"/>
      <c r="R19" s="12"/>
      <c r="S19" s="12"/>
      <c r="T19" s="12"/>
      <c r="U19" s="12"/>
      <c r="V19" s="12"/>
      <c r="W19" s="12"/>
      <c r="X19" s="54" t="n">
        <f aca="false">'Q11.12'!X19</f>
        <v>21000</v>
      </c>
      <c r="Y19" s="54"/>
      <c r="Z19" s="54"/>
      <c r="AA19" s="54"/>
      <c r="AB19" s="54"/>
      <c r="AC19" s="54"/>
    </row>
    <row r="20" customFormat="false" ht="16.5" hidden="false" customHeight="true" outlineLevel="0" collapsed="false">
      <c r="B20" s="12" t="s">
        <v>227</v>
      </c>
      <c r="C20" s="12"/>
      <c r="D20" s="12"/>
      <c r="E20" s="12"/>
      <c r="F20" s="12"/>
      <c r="G20" s="12"/>
      <c r="H20" s="12"/>
      <c r="I20" s="12"/>
      <c r="J20" s="12"/>
      <c r="K20" s="12"/>
      <c r="L20" s="12"/>
      <c r="M20" s="12"/>
      <c r="N20" s="12"/>
      <c r="O20" s="12"/>
      <c r="P20" s="12"/>
      <c r="Q20" s="12"/>
      <c r="R20" s="12"/>
      <c r="S20" s="12"/>
      <c r="T20" s="12"/>
      <c r="U20" s="12"/>
      <c r="V20" s="12"/>
      <c r="W20" s="12"/>
      <c r="X20" s="54" t="n">
        <f aca="false">'Q11.12'!X20</f>
        <v>400</v>
      </c>
      <c r="Y20" s="54"/>
      <c r="Z20" s="54"/>
      <c r="AA20" s="54"/>
      <c r="AB20" s="54"/>
      <c r="AC20" s="54"/>
    </row>
    <row r="21" customFormat="false" ht="16.5" hidden="false" customHeight="true" outlineLevel="0" collapsed="false">
      <c r="B21" s="12" t="s">
        <v>228</v>
      </c>
      <c r="C21" s="12"/>
      <c r="D21" s="12"/>
      <c r="E21" s="12"/>
      <c r="F21" s="12"/>
      <c r="G21" s="12"/>
      <c r="H21" s="12"/>
      <c r="I21" s="12"/>
      <c r="J21" s="12"/>
      <c r="K21" s="12"/>
      <c r="L21" s="12"/>
      <c r="M21" s="12"/>
      <c r="N21" s="12"/>
      <c r="O21" s="12"/>
      <c r="P21" s="12"/>
      <c r="Q21" s="12"/>
      <c r="R21" s="12"/>
      <c r="S21" s="12"/>
      <c r="T21" s="12"/>
      <c r="U21" s="12"/>
      <c r="V21" s="12"/>
      <c r="W21" s="12"/>
      <c r="X21" s="54" t="n">
        <f aca="false">'Q11.12'!X21</f>
        <v>650</v>
      </c>
      <c r="Y21" s="54"/>
      <c r="Z21" s="54"/>
      <c r="AA21" s="54"/>
      <c r="AB21" s="54"/>
      <c r="AC21" s="54"/>
    </row>
    <row r="22" customFormat="false" ht="16.5" hidden="false" customHeight="true" outlineLevel="0" collapsed="false">
      <c r="B22" s="12" t="s">
        <v>229</v>
      </c>
      <c r="C22" s="12"/>
      <c r="D22" s="12"/>
      <c r="E22" s="12"/>
      <c r="F22" s="12"/>
      <c r="G22" s="12"/>
      <c r="H22" s="12"/>
      <c r="I22" s="12"/>
      <c r="J22" s="12"/>
      <c r="K22" s="12"/>
      <c r="L22" s="12"/>
      <c r="M22" s="12"/>
      <c r="N22" s="12"/>
      <c r="O22" s="12"/>
      <c r="P22" s="12"/>
      <c r="Q22" s="12"/>
      <c r="R22" s="12"/>
      <c r="S22" s="12"/>
      <c r="T22" s="12"/>
      <c r="U22" s="12"/>
      <c r="V22" s="12"/>
      <c r="W22" s="12"/>
      <c r="X22" s="54" t="n">
        <f aca="false">'Q11.12'!X22</f>
        <v>4500</v>
      </c>
      <c r="Y22" s="54"/>
      <c r="Z22" s="54"/>
      <c r="AA22" s="54"/>
      <c r="AB22" s="54"/>
      <c r="AC22" s="54"/>
    </row>
    <row r="23" customFormat="false" ht="16.5" hidden="false" customHeight="true" outlineLevel="0" collapsed="false">
      <c r="B23" s="12" t="s">
        <v>230</v>
      </c>
      <c r="C23" s="12"/>
      <c r="D23" s="12"/>
      <c r="E23" s="12"/>
      <c r="F23" s="12"/>
      <c r="G23" s="12"/>
      <c r="H23" s="12"/>
      <c r="I23" s="12"/>
      <c r="J23" s="12"/>
      <c r="K23" s="12"/>
      <c r="L23" s="12"/>
      <c r="M23" s="12"/>
      <c r="N23" s="12"/>
      <c r="O23" s="12"/>
      <c r="P23" s="12"/>
      <c r="Q23" s="12"/>
      <c r="R23" s="12"/>
      <c r="S23" s="12"/>
      <c r="T23" s="12"/>
      <c r="U23" s="12"/>
      <c r="V23" s="12"/>
      <c r="W23" s="12"/>
      <c r="X23" s="54" t="n">
        <f aca="false">'Q11.12'!X23</f>
        <v>300</v>
      </c>
      <c r="Y23" s="54"/>
      <c r="Z23" s="54"/>
      <c r="AA23" s="54"/>
      <c r="AB23" s="54"/>
      <c r="AC23" s="54"/>
    </row>
    <row r="24" customFormat="false" ht="16.5" hidden="false" customHeight="true" outlineLevel="0" collapsed="false">
      <c r="B24" s="12" t="s">
        <v>231</v>
      </c>
      <c r="C24" s="12"/>
      <c r="D24" s="12"/>
      <c r="E24" s="12"/>
      <c r="F24" s="12"/>
      <c r="G24" s="12"/>
      <c r="H24" s="12"/>
      <c r="I24" s="12"/>
      <c r="J24" s="12"/>
      <c r="K24" s="12"/>
      <c r="L24" s="12"/>
      <c r="M24" s="12"/>
      <c r="N24" s="12"/>
      <c r="O24" s="12"/>
      <c r="P24" s="12"/>
      <c r="Q24" s="12"/>
      <c r="R24" s="12"/>
      <c r="S24" s="12"/>
      <c r="T24" s="12"/>
      <c r="U24" s="12"/>
      <c r="V24" s="12"/>
      <c r="W24" s="12"/>
      <c r="X24" s="54" t="n">
        <f aca="false">'Q11.12'!X24</f>
        <v>500</v>
      </c>
      <c r="Y24" s="54"/>
      <c r="Z24" s="54"/>
      <c r="AA24" s="54"/>
      <c r="AB24" s="54"/>
      <c r="AC24" s="54"/>
    </row>
    <row r="25" customFormat="false" ht="16.5" hidden="false" customHeight="true" outlineLevel="0" collapsed="false">
      <c r="B25" s="12" t="s">
        <v>232</v>
      </c>
      <c r="C25" s="12"/>
      <c r="D25" s="12"/>
      <c r="E25" s="12"/>
      <c r="F25" s="12"/>
      <c r="G25" s="12"/>
      <c r="H25" s="12"/>
      <c r="I25" s="12"/>
      <c r="J25" s="12"/>
      <c r="K25" s="12"/>
      <c r="L25" s="12"/>
      <c r="M25" s="12"/>
      <c r="N25" s="12"/>
      <c r="O25" s="12"/>
      <c r="P25" s="12"/>
      <c r="Q25" s="12"/>
      <c r="R25" s="12"/>
      <c r="S25" s="12"/>
      <c r="T25" s="12"/>
      <c r="U25" s="12"/>
      <c r="V25" s="12"/>
      <c r="W25" s="12"/>
      <c r="X25" s="54" t="n">
        <f aca="false">'Q11.12'!X25</f>
        <v>120</v>
      </c>
      <c r="Y25" s="54"/>
      <c r="Z25" s="54"/>
      <c r="AA25" s="54"/>
      <c r="AB25" s="54"/>
      <c r="AC25" s="54"/>
    </row>
    <row r="28" customFormat="false" ht="18.75" hidden="false" customHeight="true" outlineLevel="0" collapsed="false">
      <c r="B28" s="3" t="s">
        <v>233</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ustomFormat="false" ht="17.25" hidden="false" customHeight="true" outlineLevel="0" collapsed="false">
      <c r="B29" s="36" t="s">
        <v>234</v>
      </c>
      <c r="C29" s="36"/>
      <c r="D29" s="36"/>
      <c r="E29" s="36"/>
      <c r="F29" s="36"/>
      <c r="G29" s="36"/>
      <c r="H29" s="36"/>
      <c r="I29" s="36"/>
      <c r="J29" s="36"/>
      <c r="K29" s="36"/>
      <c r="L29" s="36"/>
      <c r="M29" s="36"/>
      <c r="N29" s="36"/>
      <c r="O29" s="36"/>
      <c r="P29" s="36"/>
      <c r="Q29" s="36"/>
      <c r="R29" s="36"/>
      <c r="S29" s="36"/>
      <c r="T29" s="36"/>
      <c r="U29" s="36"/>
      <c r="V29" s="36"/>
      <c r="W29" s="36"/>
      <c r="X29" s="55" t="n">
        <f aca="false">$X$13+$X$14*$X$15/12</f>
        <v>3450</v>
      </c>
      <c r="Y29" s="55"/>
      <c r="Z29" s="55"/>
      <c r="AA29" s="55"/>
      <c r="AB29" s="55"/>
    </row>
    <row r="30" customFormat="false" ht="17.25" hidden="false" customHeight="true" outlineLevel="0" collapsed="false">
      <c r="B30" s="36" t="s">
        <v>235</v>
      </c>
      <c r="C30" s="36"/>
      <c r="D30" s="36"/>
      <c r="E30" s="36"/>
      <c r="F30" s="36"/>
      <c r="G30" s="36"/>
      <c r="H30" s="36"/>
      <c r="I30" s="36"/>
      <c r="J30" s="36"/>
      <c r="K30" s="36"/>
      <c r="L30" s="36"/>
      <c r="M30" s="36"/>
      <c r="N30" s="36"/>
      <c r="O30" s="36"/>
      <c r="P30" s="36"/>
      <c r="Q30" s="36"/>
      <c r="R30" s="36"/>
      <c r="S30" s="36"/>
      <c r="T30" s="36"/>
      <c r="U30" s="36"/>
      <c r="V30" s="36"/>
      <c r="W30" s="36"/>
      <c r="X30" s="55" t="n">
        <f aca="false">6*$X$16+6*$X$17</f>
        <v>13200</v>
      </c>
      <c r="Y30" s="55"/>
      <c r="Z30" s="55"/>
      <c r="AA30" s="55"/>
      <c r="AB30" s="55"/>
    </row>
    <row r="31" customFormat="false" ht="17.25" hidden="false" customHeight="true" outlineLevel="0" collapsed="false">
      <c r="B31" s="36" t="s">
        <v>202</v>
      </c>
      <c r="C31" s="36"/>
      <c r="D31" s="36"/>
      <c r="E31" s="36"/>
      <c r="F31" s="36"/>
      <c r="G31" s="36"/>
      <c r="H31" s="36"/>
      <c r="I31" s="36"/>
      <c r="J31" s="36"/>
      <c r="K31" s="36"/>
      <c r="L31" s="36"/>
      <c r="M31" s="36"/>
      <c r="N31" s="36"/>
      <c r="O31" s="36"/>
      <c r="P31" s="36"/>
      <c r="Q31" s="36"/>
      <c r="R31" s="36"/>
      <c r="S31" s="36"/>
      <c r="T31" s="36"/>
      <c r="U31" s="36"/>
      <c r="V31" s="36"/>
      <c r="W31" s="36"/>
      <c r="X31" s="55" t="n">
        <f aca="false">$X$19-$X$20+$X$21</f>
        <v>21250</v>
      </c>
      <c r="Y31" s="55"/>
      <c r="Z31" s="55"/>
      <c r="AA31" s="55"/>
      <c r="AB31" s="55"/>
    </row>
    <row r="32" customFormat="false" ht="17.25" hidden="false" customHeight="true" outlineLevel="0" collapsed="false">
      <c r="B32" s="36" t="s">
        <v>236</v>
      </c>
      <c r="C32" s="36"/>
      <c r="D32" s="36"/>
      <c r="E32" s="36"/>
      <c r="F32" s="36"/>
      <c r="G32" s="36"/>
      <c r="H32" s="36"/>
      <c r="I32" s="36"/>
      <c r="J32" s="36"/>
      <c r="K32" s="36"/>
      <c r="L32" s="36"/>
      <c r="M32" s="36"/>
      <c r="N32" s="36"/>
      <c r="O32" s="36"/>
      <c r="P32" s="36"/>
      <c r="Q32" s="36"/>
      <c r="R32" s="36"/>
      <c r="S32" s="36"/>
      <c r="T32" s="36"/>
      <c r="U32" s="36"/>
      <c r="V32" s="36"/>
      <c r="W32" s="36"/>
      <c r="X32" s="55" t="n">
        <f aca="false">$X$22-$X$23-$X$24</f>
        <v>3700</v>
      </c>
      <c r="Y32" s="55"/>
      <c r="Z32" s="55"/>
      <c r="AA32" s="55"/>
      <c r="AB32" s="55"/>
    </row>
    <row r="34" customFormat="false" ht="18.75" hidden="false" customHeight="true" outlineLevel="0" collapsed="false">
      <c r="B34" s="3" t="s">
        <v>237</v>
      </c>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ustomFormat="false" ht="15" hidden="false" customHeight="false" outlineLevel="0" collapsed="false">
      <c r="B35" s="18" t="s">
        <v>238</v>
      </c>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row>
    <row r="36" customFormat="false" ht="15" hidden="false" customHeight="false" outlineLevel="0" collapsed="false">
      <c r="B36" s="43"/>
      <c r="C36" s="43"/>
      <c r="D36" s="43"/>
      <c r="E36" s="33" t="s">
        <v>68</v>
      </c>
      <c r="F36" s="33"/>
      <c r="G36" s="33"/>
      <c r="H36" s="33"/>
      <c r="I36" s="33"/>
      <c r="J36" s="33"/>
      <c r="K36" s="33"/>
      <c r="L36" s="33"/>
      <c r="M36" s="33"/>
      <c r="N36" s="33"/>
      <c r="O36" s="33"/>
      <c r="P36" s="33"/>
      <c r="Q36" s="33"/>
      <c r="R36" s="34" t="s">
        <v>72</v>
      </c>
      <c r="S36" s="34"/>
      <c r="T36" s="34"/>
      <c r="U36" s="34"/>
      <c r="V36" s="34"/>
      <c r="W36" s="34" t="s">
        <v>72</v>
      </c>
      <c r="X36" s="34"/>
      <c r="Y36" s="34"/>
      <c r="Z36" s="34"/>
      <c r="AA36" s="34"/>
      <c r="AB36" s="34" t="s">
        <v>72</v>
      </c>
      <c r="AC36" s="34"/>
      <c r="AD36" s="34"/>
      <c r="AE36" s="34"/>
      <c r="AF36" s="34"/>
    </row>
    <row r="37" customFormat="false" ht="17.25" hidden="false" customHeight="true" outlineLevel="0" collapsed="false">
      <c r="B37" s="44"/>
      <c r="C37" s="44"/>
      <c r="D37" s="44"/>
      <c r="E37" s="28" t="s">
        <v>239</v>
      </c>
      <c r="F37" s="28"/>
      <c r="G37" s="28"/>
      <c r="H37" s="28"/>
      <c r="I37" s="28"/>
      <c r="J37" s="28"/>
      <c r="K37" s="28"/>
      <c r="L37" s="28"/>
      <c r="M37" s="28"/>
      <c r="N37" s="28"/>
      <c r="O37" s="28"/>
      <c r="P37" s="28"/>
      <c r="Q37" s="28"/>
      <c r="AB37" s="55" t="n">
        <f aca="false">$X$12</f>
        <v>32000</v>
      </c>
      <c r="AC37" s="55"/>
      <c r="AD37" s="55"/>
      <c r="AE37" s="55"/>
    </row>
    <row r="38" customFormat="false" ht="17.25" hidden="false" customHeight="true" outlineLevel="0" collapsed="false">
      <c r="B38" s="44" t="s">
        <v>240</v>
      </c>
      <c r="C38" s="44"/>
      <c r="D38" s="44"/>
      <c r="E38" s="28" t="s">
        <v>241</v>
      </c>
      <c r="F38" s="28"/>
      <c r="G38" s="28"/>
      <c r="H38" s="28"/>
      <c r="I38" s="28"/>
      <c r="J38" s="28"/>
      <c r="K38" s="28"/>
      <c r="L38" s="28"/>
      <c r="M38" s="28"/>
      <c r="N38" s="28"/>
      <c r="O38" s="28"/>
      <c r="P38" s="28"/>
      <c r="Q38" s="28"/>
      <c r="AB38" s="55" t="n">
        <f aca="false">$X$14-$X$29</f>
        <v>150</v>
      </c>
      <c r="AC38" s="55"/>
      <c r="AD38" s="55"/>
      <c r="AE38" s="55"/>
    </row>
    <row r="39" customFormat="false" ht="17.25" hidden="false" customHeight="true" outlineLevel="0" collapsed="false">
      <c r="B39" s="44" t="s">
        <v>167</v>
      </c>
      <c r="C39" s="44"/>
      <c r="D39" s="44"/>
      <c r="E39" s="28" t="s">
        <v>242</v>
      </c>
      <c r="F39" s="28"/>
      <c r="G39" s="28"/>
      <c r="H39" s="28"/>
      <c r="I39" s="28"/>
      <c r="J39" s="28"/>
      <c r="K39" s="28"/>
      <c r="L39" s="28"/>
      <c r="M39" s="28"/>
      <c r="N39" s="28"/>
      <c r="O39" s="28"/>
      <c r="P39" s="28"/>
      <c r="Q39" s="28"/>
      <c r="AB39" s="55" t="n">
        <f aca="false">-($X$30-$X$18)</f>
        <v>-200</v>
      </c>
      <c r="AC39" s="55"/>
      <c r="AD39" s="55"/>
      <c r="AE39" s="55"/>
    </row>
    <row r="40" customFormat="false" ht="17.25" hidden="false" customHeight="true" outlineLevel="0" collapsed="false">
      <c r="B40" s="44" t="s">
        <v>167</v>
      </c>
      <c r="C40" s="44"/>
      <c r="D40" s="44"/>
      <c r="E40" s="28" t="s">
        <v>243</v>
      </c>
      <c r="F40" s="28"/>
      <c r="G40" s="28"/>
      <c r="H40" s="28"/>
      <c r="I40" s="28"/>
      <c r="J40" s="28"/>
      <c r="K40" s="28"/>
      <c r="L40" s="28"/>
      <c r="M40" s="28"/>
      <c r="N40" s="28"/>
      <c r="O40" s="28"/>
      <c r="P40" s="28"/>
      <c r="Q40" s="28"/>
      <c r="AB40" s="55" t="n">
        <f aca="false">-($X$31-$X$19)</f>
        <v>-250</v>
      </c>
      <c r="AC40" s="55"/>
      <c r="AD40" s="55"/>
      <c r="AE40" s="55"/>
    </row>
    <row r="41" customFormat="false" ht="17.25" hidden="false" customHeight="true" outlineLevel="0" collapsed="false">
      <c r="B41" s="44" t="s">
        <v>167</v>
      </c>
      <c r="C41" s="44"/>
      <c r="D41" s="44"/>
      <c r="E41" s="28" t="s">
        <v>244</v>
      </c>
      <c r="F41" s="28"/>
      <c r="G41" s="28"/>
      <c r="H41" s="28"/>
      <c r="I41" s="28"/>
      <c r="J41" s="28"/>
      <c r="K41" s="28"/>
      <c r="L41" s="28"/>
      <c r="M41" s="28"/>
      <c r="N41" s="28"/>
      <c r="O41" s="28"/>
      <c r="P41" s="28"/>
      <c r="Q41" s="28"/>
      <c r="AB41" s="55" t="n">
        <f aca="false">-($X$22-$X$32)</f>
        <v>-800</v>
      </c>
      <c r="AC41" s="55"/>
      <c r="AD41" s="55"/>
      <c r="AE41" s="55"/>
    </row>
    <row r="42" customFormat="false" ht="17.25" hidden="false" customHeight="true" outlineLevel="0" collapsed="false">
      <c r="B42" s="44" t="s">
        <v>240</v>
      </c>
      <c r="C42" s="44"/>
      <c r="D42" s="44"/>
      <c r="E42" s="28" t="s">
        <v>245</v>
      </c>
      <c r="F42" s="28"/>
      <c r="G42" s="28"/>
      <c r="H42" s="28"/>
      <c r="I42" s="28"/>
      <c r="J42" s="28"/>
      <c r="K42" s="28"/>
      <c r="L42" s="28"/>
      <c r="M42" s="28"/>
      <c r="N42" s="28"/>
      <c r="O42" s="28"/>
      <c r="P42" s="28"/>
      <c r="Q42" s="28"/>
      <c r="AB42" s="59" t="n">
        <f aca="false">$X$25</f>
        <v>120</v>
      </c>
      <c r="AC42" s="59"/>
      <c r="AD42" s="59"/>
      <c r="AE42" s="59"/>
    </row>
    <row r="43" customFormat="false" ht="17.25" hidden="false" customHeight="true" outlineLevel="0" collapsed="false">
      <c r="B43" s="44"/>
      <c r="C43" s="44"/>
      <c r="D43" s="44"/>
      <c r="E43" s="48" t="s">
        <v>246</v>
      </c>
      <c r="F43" s="48"/>
      <c r="G43" s="48"/>
      <c r="H43" s="48"/>
      <c r="I43" s="48"/>
      <c r="J43" s="48"/>
      <c r="K43" s="48"/>
      <c r="L43" s="48"/>
      <c r="M43" s="48"/>
      <c r="N43" s="48"/>
      <c r="O43" s="48"/>
      <c r="P43" s="48"/>
      <c r="Q43" s="48"/>
      <c r="AB43" s="58" t="n">
        <f aca="false">$X$12+($X$14-$X$29)-($X$30-$X$18)-($X$31-$X$19)-($X$22-$X$32)+$X$25</f>
        <v>31020</v>
      </c>
      <c r="AC43" s="58"/>
      <c r="AD43" s="58"/>
      <c r="AE43" s="58"/>
    </row>
    <row r="45" customFormat="false" ht="18.75" hidden="false" customHeight="true" outlineLevel="0" collapsed="false">
      <c r="B45" s="3" t="s">
        <v>247</v>
      </c>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ustomFormat="false" ht="17.25" hidden="false" customHeight="true" outlineLevel="0" collapsed="false">
      <c r="B46" s="36" t="s">
        <v>248</v>
      </c>
      <c r="C46" s="36"/>
      <c r="D46" s="36"/>
      <c r="E46" s="36"/>
      <c r="F46" s="36"/>
      <c r="G46" s="36"/>
      <c r="H46" s="36"/>
      <c r="I46" s="36"/>
      <c r="J46" s="36"/>
      <c r="K46" s="36"/>
      <c r="L46" s="36"/>
      <c r="M46" s="36"/>
      <c r="N46" s="36"/>
      <c r="O46" s="36"/>
      <c r="P46" s="36"/>
      <c r="Q46" s="36"/>
      <c r="R46" s="36"/>
      <c r="S46" s="36"/>
      <c r="T46" s="36"/>
      <c r="U46" s="36"/>
      <c r="V46" s="36"/>
      <c r="W46" s="36"/>
      <c r="X46" s="55" t="n">
        <f aca="false">$X$14*(12-$X$15)/12+$X$25</f>
        <v>1020</v>
      </c>
      <c r="Y46" s="55"/>
      <c r="Z46" s="55"/>
      <c r="AA46" s="55"/>
      <c r="AB46" s="55"/>
    </row>
    <row r="47" customFormat="false" ht="17.25" hidden="false" customHeight="true" outlineLevel="0" collapsed="false">
      <c r="B47" s="36" t="s">
        <v>249</v>
      </c>
      <c r="C47" s="36"/>
      <c r="D47" s="36"/>
      <c r="E47" s="36"/>
      <c r="F47" s="36"/>
      <c r="G47" s="36"/>
      <c r="H47" s="36"/>
      <c r="I47" s="36"/>
      <c r="J47" s="36"/>
      <c r="K47" s="36"/>
      <c r="L47" s="36"/>
      <c r="M47" s="36"/>
      <c r="N47" s="36"/>
      <c r="O47" s="36"/>
      <c r="P47" s="36"/>
      <c r="Q47" s="36"/>
      <c r="R47" s="36"/>
      <c r="S47" s="36"/>
      <c r="T47" s="36"/>
      <c r="U47" s="36"/>
      <c r="V47" s="36"/>
      <c r="W47" s="36"/>
      <c r="X47" s="55" t="n">
        <f aca="false">($X$30-$X$18)+$X$21+$X$24</f>
        <v>1350</v>
      </c>
      <c r="Y47" s="55"/>
      <c r="Z47" s="55"/>
      <c r="AA47" s="55"/>
      <c r="AB47" s="55"/>
    </row>
    <row r="49" customFormat="false" ht="18.75" hidden="false" customHeight="true" outlineLevel="0" collapsed="false">
      <c r="B49" s="3" t="s">
        <v>250</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ustomFormat="false" ht="15" hidden="false" customHeight="false" outlineLevel="0" collapsed="false">
      <c r="B50" s="17" t="s">
        <v>64</v>
      </c>
      <c r="C50" s="17"/>
      <c r="D50" s="17"/>
      <c r="E50" s="18" t="s">
        <v>85</v>
      </c>
      <c r="F50" s="18"/>
      <c r="G50" s="18"/>
      <c r="H50" s="18"/>
      <c r="I50" s="18"/>
      <c r="J50" s="18"/>
      <c r="K50" s="18"/>
      <c r="L50" s="18"/>
      <c r="M50" s="18"/>
      <c r="N50" s="18"/>
      <c r="O50" s="18"/>
      <c r="P50" s="18"/>
      <c r="Q50" s="18"/>
      <c r="R50" s="18"/>
      <c r="S50" s="18"/>
      <c r="T50" s="18"/>
      <c r="U50" s="18"/>
      <c r="V50" s="18"/>
      <c r="W50" s="18"/>
      <c r="X50" s="18"/>
      <c r="Y50" s="18"/>
      <c r="Z50" s="18"/>
      <c r="AA50" s="18"/>
      <c r="AB50" s="18"/>
      <c r="AC50" s="18"/>
      <c r="AD50" s="19" t="s">
        <v>66</v>
      </c>
      <c r="AE50" s="19"/>
      <c r="AF50" s="19"/>
    </row>
    <row r="51" customFormat="false" ht="15" hidden="false" customHeight="false" outlineLevel="0" collapsed="false">
      <c r="B51" s="20" t="s">
        <v>67</v>
      </c>
      <c r="C51" s="20"/>
      <c r="D51" s="20"/>
      <c r="E51" s="20" t="s">
        <v>68</v>
      </c>
      <c r="F51" s="20"/>
      <c r="G51" s="20"/>
      <c r="H51" s="20"/>
      <c r="I51" s="20"/>
      <c r="J51" s="20"/>
      <c r="K51" s="20"/>
      <c r="L51" s="21" t="s">
        <v>69</v>
      </c>
      <c r="M51" s="22" t="s">
        <v>70</v>
      </c>
      <c r="N51" s="22"/>
      <c r="O51" s="22"/>
      <c r="P51" s="22"/>
      <c r="Q51" s="23"/>
      <c r="R51" s="24" t="s">
        <v>67</v>
      </c>
      <c r="S51" s="24"/>
      <c r="T51" s="24"/>
      <c r="U51" s="20" t="s">
        <v>68</v>
      </c>
      <c r="V51" s="20"/>
      <c r="W51" s="20"/>
      <c r="X51" s="20"/>
      <c r="Y51" s="20"/>
      <c r="Z51" s="20"/>
      <c r="AA51" s="20"/>
      <c r="AB51" s="21" t="s">
        <v>69</v>
      </c>
      <c r="AC51" s="22" t="s">
        <v>70</v>
      </c>
      <c r="AD51" s="22"/>
      <c r="AE51" s="22"/>
      <c r="AF51" s="22"/>
    </row>
    <row r="52" customFormat="false" ht="16.5" hidden="false" customHeight="true" outlineLevel="0" collapsed="false">
      <c r="B52" s="25" t="s">
        <v>71</v>
      </c>
      <c r="C52" s="25"/>
      <c r="D52" s="25"/>
      <c r="M52" s="26" t="s">
        <v>72</v>
      </c>
      <c r="N52" s="26"/>
      <c r="O52" s="26"/>
      <c r="R52" s="27" t="s">
        <v>71</v>
      </c>
      <c r="S52" s="27"/>
      <c r="T52" s="27"/>
      <c r="AC52" s="26" t="s">
        <v>72</v>
      </c>
      <c r="AD52" s="26"/>
      <c r="AE52" s="26"/>
    </row>
    <row r="53" customFormat="false" ht="17.25" hidden="false" customHeight="true" outlineLevel="0" collapsed="false">
      <c r="B53" s="6" t="s">
        <v>73</v>
      </c>
      <c r="C53" s="6"/>
      <c r="D53" s="6"/>
      <c r="E53" s="28" t="s">
        <v>157</v>
      </c>
      <c r="F53" s="28"/>
      <c r="G53" s="28"/>
      <c r="H53" s="28"/>
      <c r="I53" s="28"/>
      <c r="J53" s="28"/>
      <c r="K53" s="28"/>
      <c r="L53" s="29"/>
      <c r="M53" s="55" t="n">
        <f aca="false">$X$13</f>
        <v>750</v>
      </c>
      <c r="N53" s="55"/>
      <c r="O53" s="55"/>
      <c r="R53" s="30" t="s">
        <v>78</v>
      </c>
      <c r="S53" s="30"/>
      <c r="T53" s="30"/>
      <c r="U53" s="28" t="s">
        <v>79</v>
      </c>
      <c r="V53" s="28"/>
      <c r="W53" s="28"/>
      <c r="X53" s="28"/>
      <c r="Y53" s="28"/>
      <c r="Z53" s="28"/>
      <c r="AA53" s="28"/>
      <c r="AB53" s="29" t="s">
        <v>80</v>
      </c>
      <c r="AC53" s="55" t="n">
        <f aca="false">$X$29</f>
        <v>3450</v>
      </c>
      <c r="AD53" s="55"/>
      <c r="AE53" s="55"/>
    </row>
    <row r="54" customFormat="false" ht="17.25" hidden="false" customHeight="true" outlineLevel="0" collapsed="false">
      <c r="B54" s="6" t="s">
        <v>207</v>
      </c>
      <c r="C54" s="6"/>
      <c r="D54" s="6"/>
      <c r="E54" s="28" t="s">
        <v>153</v>
      </c>
      <c r="F54" s="28"/>
      <c r="G54" s="28"/>
      <c r="H54" s="28"/>
      <c r="I54" s="28"/>
      <c r="J54" s="28"/>
      <c r="K54" s="28"/>
      <c r="L54" s="29" t="s">
        <v>77</v>
      </c>
      <c r="M54" s="55" t="n">
        <f aca="false">$X$14</f>
        <v>3600</v>
      </c>
      <c r="N54" s="55"/>
      <c r="O54" s="55"/>
      <c r="R54" s="30" t="s">
        <v>78</v>
      </c>
      <c r="S54" s="30"/>
      <c r="T54" s="30"/>
      <c r="U54" s="28" t="s">
        <v>156</v>
      </c>
      <c r="V54" s="28"/>
      <c r="W54" s="28"/>
      <c r="X54" s="28"/>
      <c r="Y54" s="28"/>
      <c r="Z54" s="28"/>
      <c r="AA54" s="28"/>
      <c r="AB54" s="29"/>
      <c r="AC54" s="55" t="n">
        <f aca="false">$X$14*(12-$X$15)/12</f>
        <v>900</v>
      </c>
      <c r="AD54" s="55"/>
      <c r="AE54" s="55"/>
    </row>
    <row r="55" customFormat="false" ht="16.5" hidden="false" customHeight="true" outlineLevel="0" collapsed="false">
      <c r="M55" s="58" t="n">
        <f aca="false">SUM(M52:M54)</f>
        <v>4350</v>
      </c>
      <c r="N55" s="58"/>
      <c r="O55" s="58"/>
      <c r="R55" s="32"/>
      <c r="AC55" s="58" t="n">
        <f aca="false">SUM(AC52:AC54)</f>
        <v>4350</v>
      </c>
      <c r="AD55" s="58"/>
      <c r="AE55" s="58"/>
    </row>
    <row r="56" customFormat="false" ht="16.5" hidden="false" customHeight="true" outlineLevel="0" collapsed="false">
      <c r="B56" s="25" t="s">
        <v>83</v>
      </c>
      <c r="C56" s="25"/>
      <c r="D56" s="25"/>
      <c r="R56" s="32"/>
    </row>
    <row r="57" customFormat="false" ht="17.25" hidden="false" customHeight="true" outlineLevel="0" collapsed="false">
      <c r="B57" s="6" t="s">
        <v>73</v>
      </c>
      <c r="C57" s="6"/>
      <c r="D57" s="6"/>
      <c r="E57" s="28" t="s">
        <v>157</v>
      </c>
      <c r="F57" s="28"/>
      <c r="G57" s="28"/>
      <c r="H57" s="28"/>
      <c r="I57" s="28"/>
      <c r="J57" s="28"/>
      <c r="K57" s="28"/>
      <c r="L57" s="29"/>
      <c r="M57" s="55" t="n">
        <f aca="false">$X$14*(12-$X$15)/12</f>
        <v>900</v>
      </c>
      <c r="N57" s="55"/>
      <c r="O57" s="55"/>
      <c r="R57" s="32"/>
    </row>
  </sheetData>
  <mergeCells count="113">
    <mergeCell ref="B1:AF1"/>
    <mergeCell ref="B2:AF2"/>
    <mergeCell ref="B3:AF3"/>
    <mergeCell ref="B5:AF5"/>
    <mergeCell ref="C6:AF6"/>
    <mergeCell ref="C7:AF7"/>
    <mergeCell ref="C8:AF8"/>
    <mergeCell ref="C9:AF9"/>
    <mergeCell ref="C10:AF10"/>
    <mergeCell ref="B11:W11"/>
    <mergeCell ref="X11:AC11"/>
    <mergeCell ref="B12:W12"/>
    <mergeCell ref="X12:AC12"/>
    <mergeCell ref="B13:W13"/>
    <mergeCell ref="X13:AC13"/>
    <mergeCell ref="B14:W14"/>
    <mergeCell ref="X14:AC14"/>
    <mergeCell ref="B15:W15"/>
    <mergeCell ref="X15:AC15"/>
    <mergeCell ref="B16:W16"/>
    <mergeCell ref="X16:AC16"/>
    <mergeCell ref="B17:W17"/>
    <mergeCell ref="X17:AC17"/>
    <mergeCell ref="B18:W18"/>
    <mergeCell ref="X18:AC18"/>
    <mergeCell ref="B19:W19"/>
    <mergeCell ref="X19:AC19"/>
    <mergeCell ref="B20:W20"/>
    <mergeCell ref="X20:AC20"/>
    <mergeCell ref="B21:W21"/>
    <mergeCell ref="X21:AC21"/>
    <mergeCell ref="B22:W22"/>
    <mergeCell ref="X22:AC22"/>
    <mergeCell ref="B23:W23"/>
    <mergeCell ref="X23:AC23"/>
    <mergeCell ref="B24:W24"/>
    <mergeCell ref="X24:AC24"/>
    <mergeCell ref="B25:W25"/>
    <mergeCell ref="X25:AC25"/>
    <mergeCell ref="B28:AF28"/>
    <mergeCell ref="B29:W29"/>
    <mergeCell ref="X29:AB29"/>
    <mergeCell ref="B30:W30"/>
    <mergeCell ref="X30:AB30"/>
    <mergeCell ref="B31:W31"/>
    <mergeCell ref="X31:AB31"/>
    <mergeCell ref="B32:W32"/>
    <mergeCell ref="X32:AB32"/>
    <mergeCell ref="B34:AF34"/>
    <mergeCell ref="B35:AF35"/>
    <mergeCell ref="B36:D36"/>
    <mergeCell ref="E36:Q36"/>
    <mergeCell ref="R36:V36"/>
    <mergeCell ref="W36:AA36"/>
    <mergeCell ref="AB36:AF36"/>
    <mergeCell ref="B37:D37"/>
    <mergeCell ref="E37:Q37"/>
    <mergeCell ref="AB37:AE37"/>
    <mergeCell ref="B38:D38"/>
    <mergeCell ref="E38:Q38"/>
    <mergeCell ref="AB38:AE38"/>
    <mergeCell ref="B39:D39"/>
    <mergeCell ref="E39:Q39"/>
    <mergeCell ref="AB39:AE39"/>
    <mergeCell ref="B40:D40"/>
    <mergeCell ref="E40:Q40"/>
    <mergeCell ref="AB40:AE40"/>
    <mergeCell ref="B41:D41"/>
    <mergeCell ref="E41:Q41"/>
    <mergeCell ref="AB41:AE41"/>
    <mergeCell ref="B42:D42"/>
    <mergeCell ref="E42:Q42"/>
    <mergeCell ref="AB42:AE42"/>
    <mergeCell ref="B43:D43"/>
    <mergeCell ref="E43:Q43"/>
    <mergeCell ref="AB43:AE43"/>
    <mergeCell ref="B45:AF45"/>
    <mergeCell ref="B46:W46"/>
    <mergeCell ref="X46:AB46"/>
    <mergeCell ref="B47:W47"/>
    <mergeCell ref="X47:AB47"/>
    <mergeCell ref="B49:AF49"/>
    <mergeCell ref="B50:D50"/>
    <mergeCell ref="E50:AC50"/>
    <mergeCell ref="AD50:AF50"/>
    <mergeCell ref="B51:D51"/>
    <mergeCell ref="E51:K51"/>
    <mergeCell ref="M51:P51"/>
    <mergeCell ref="R51:T51"/>
    <mergeCell ref="U51:AA51"/>
    <mergeCell ref="AC51:AF51"/>
    <mergeCell ref="B52:D52"/>
    <mergeCell ref="M52:O52"/>
    <mergeCell ref="R52:T52"/>
    <mergeCell ref="AC52:AE52"/>
    <mergeCell ref="B53:D53"/>
    <mergeCell ref="E53:K53"/>
    <mergeCell ref="M53:O53"/>
    <mergeCell ref="R53:T53"/>
    <mergeCell ref="U53:AA53"/>
    <mergeCell ref="AC53:AE53"/>
    <mergeCell ref="B54:D54"/>
    <mergeCell ref="E54:K54"/>
    <mergeCell ref="M54:O54"/>
    <mergeCell ref="R54:T54"/>
    <mergeCell ref="U54:AA54"/>
    <mergeCell ref="AC54:AE54"/>
    <mergeCell ref="M55:O55"/>
    <mergeCell ref="AC55:AE55"/>
    <mergeCell ref="B56:D56"/>
    <mergeCell ref="B57:D57"/>
    <mergeCell ref="E57:K57"/>
    <mergeCell ref="M57:O57"/>
  </mergeCells>
  <conditionalFormatting sqref="B1:AG5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295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289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290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252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253</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254</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255</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5" hidden="false" customHeight="false" outlineLevel="0" collapsed="false">
      <c r="B9" s="33" t="s">
        <v>127</v>
      </c>
      <c r="C9" s="33"/>
      <c r="D9" s="33"/>
      <c r="E9" s="33"/>
      <c r="F9" s="33"/>
      <c r="G9" s="33"/>
      <c r="H9" s="33"/>
      <c r="I9" s="33"/>
      <c r="J9" s="33"/>
      <c r="K9" s="33"/>
      <c r="L9" s="33"/>
      <c r="M9" s="33"/>
      <c r="N9" s="33"/>
      <c r="O9" s="33"/>
      <c r="P9" s="33"/>
      <c r="Q9" s="33"/>
      <c r="R9" s="33"/>
      <c r="S9" s="33"/>
      <c r="T9" s="33"/>
      <c r="U9" s="33"/>
      <c r="V9" s="33"/>
      <c r="W9" s="33"/>
      <c r="X9" s="34" t="s">
        <v>114</v>
      </c>
      <c r="Y9" s="34"/>
      <c r="Z9" s="34"/>
      <c r="AA9" s="34"/>
      <c r="AB9" s="34"/>
      <c r="AC9" s="34"/>
    </row>
    <row r="10" customFormat="false" ht="16.5" hidden="false" customHeight="true" outlineLevel="0" collapsed="false">
      <c r="B10" s="12" t="s">
        <v>256</v>
      </c>
      <c r="C10" s="12"/>
      <c r="D10" s="12"/>
      <c r="E10" s="12"/>
      <c r="F10" s="12"/>
      <c r="G10" s="12"/>
      <c r="H10" s="12"/>
      <c r="I10" s="12"/>
      <c r="J10" s="12"/>
      <c r="K10" s="12"/>
      <c r="L10" s="12"/>
      <c r="M10" s="12"/>
      <c r="N10" s="12"/>
      <c r="O10" s="12"/>
      <c r="P10" s="12"/>
      <c r="Q10" s="12"/>
      <c r="R10" s="12"/>
      <c r="S10" s="12"/>
      <c r="T10" s="12"/>
      <c r="U10" s="12"/>
      <c r="V10" s="12"/>
      <c r="W10" s="12"/>
      <c r="X10" s="54" t="n">
        <f aca="false">'QJ11.1'!X10</f>
        <v>420</v>
      </c>
      <c r="Y10" s="54"/>
      <c r="Z10" s="54"/>
      <c r="AA10" s="54"/>
      <c r="AB10" s="54"/>
      <c r="AC10" s="54"/>
    </row>
    <row r="11" customFormat="false" ht="16.5" hidden="false" customHeight="true" outlineLevel="0" collapsed="false">
      <c r="B11" s="12" t="s">
        <v>257</v>
      </c>
      <c r="C11" s="12"/>
      <c r="D11" s="12"/>
      <c r="E11" s="12"/>
      <c r="F11" s="12"/>
      <c r="G11" s="12"/>
      <c r="H11" s="12"/>
      <c r="I11" s="12"/>
      <c r="J11" s="12"/>
      <c r="K11" s="12"/>
      <c r="L11" s="12"/>
      <c r="M11" s="12"/>
      <c r="N11" s="12"/>
      <c r="O11" s="12"/>
      <c r="P11" s="12"/>
      <c r="Q11" s="12"/>
      <c r="R11" s="12"/>
      <c r="S11" s="12"/>
      <c r="T11" s="12"/>
      <c r="U11" s="12"/>
      <c r="V11" s="12"/>
      <c r="W11" s="12"/>
      <c r="X11" s="54" t="n">
        <f aca="false">'QJ11.1'!X11</f>
        <v>2400</v>
      </c>
      <c r="Y11" s="54"/>
      <c r="Z11" s="54"/>
      <c r="AA11" s="54"/>
      <c r="AB11" s="54"/>
      <c r="AC11" s="54"/>
    </row>
    <row r="12" customFormat="false" ht="16.5" hidden="false" customHeight="true" outlineLevel="0" collapsed="false">
      <c r="B12" s="12" t="s">
        <v>150</v>
      </c>
      <c r="C12" s="12"/>
      <c r="D12" s="12"/>
      <c r="E12" s="12"/>
      <c r="F12" s="12"/>
      <c r="G12" s="12"/>
      <c r="H12" s="12"/>
      <c r="I12" s="12"/>
      <c r="J12" s="12"/>
      <c r="K12" s="12"/>
      <c r="L12" s="12"/>
      <c r="M12" s="12"/>
      <c r="N12" s="12"/>
      <c r="O12" s="12"/>
      <c r="P12" s="12"/>
      <c r="Q12" s="12"/>
      <c r="R12" s="12"/>
      <c r="S12" s="12"/>
      <c r="T12" s="12"/>
      <c r="U12" s="12"/>
      <c r="V12" s="12"/>
      <c r="W12" s="12"/>
      <c r="X12" s="57" t="n">
        <f aca="false">'QJ11.1'!X12</f>
        <v>3</v>
      </c>
      <c r="Y12" s="57"/>
      <c r="Z12" s="57"/>
      <c r="AA12" s="57"/>
      <c r="AB12" s="57"/>
      <c r="AC12" s="57"/>
    </row>
    <row r="13" customFormat="false" ht="16.5" hidden="false" customHeight="true" outlineLevel="0" collapsed="false">
      <c r="B13" s="12" t="s">
        <v>258</v>
      </c>
      <c r="C13" s="12"/>
      <c r="D13" s="12"/>
      <c r="E13" s="12"/>
      <c r="F13" s="12"/>
      <c r="G13" s="12"/>
      <c r="H13" s="12"/>
      <c r="I13" s="12"/>
      <c r="J13" s="12"/>
      <c r="K13" s="12"/>
      <c r="L13" s="12"/>
      <c r="M13" s="12"/>
      <c r="N13" s="12"/>
      <c r="O13" s="12"/>
      <c r="P13" s="12"/>
      <c r="Q13" s="12"/>
      <c r="R13" s="12"/>
      <c r="S13" s="12"/>
      <c r="T13" s="12"/>
      <c r="U13" s="12"/>
      <c r="V13" s="12"/>
      <c r="W13" s="12"/>
      <c r="X13" s="54" t="n">
        <f aca="false">'QJ11.1'!X13</f>
        <v>650</v>
      </c>
      <c r="Y13" s="54"/>
      <c r="Z13" s="54"/>
      <c r="AA13" s="54"/>
      <c r="AB13" s="54"/>
      <c r="AC13" s="54"/>
    </row>
    <row r="16" customFormat="false" ht="18.75" hidden="false" customHeight="true" outlineLevel="0" collapsed="false">
      <c r="B16" s="3" t="s">
        <v>259</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36" t="s">
        <v>260</v>
      </c>
      <c r="C17" s="36"/>
      <c r="D17" s="36"/>
      <c r="E17" s="36"/>
      <c r="F17" s="36"/>
      <c r="G17" s="36"/>
      <c r="H17" s="36"/>
      <c r="I17" s="36"/>
      <c r="J17" s="36"/>
      <c r="K17" s="36"/>
      <c r="L17" s="36"/>
      <c r="M17" s="36"/>
      <c r="N17" s="36"/>
      <c r="O17" s="36"/>
      <c r="P17" s="36"/>
      <c r="Q17" s="36"/>
      <c r="R17" s="36"/>
      <c r="S17" s="36"/>
      <c r="T17" s="36"/>
      <c r="U17" s="36"/>
      <c r="V17" s="36"/>
      <c r="W17" s="36"/>
      <c r="X17" s="55" t="n">
        <f aca="false">$X$11/12*$X$12</f>
        <v>600</v>
      </c>
      <c r="Y17" s="55"/>
      <c r="Z17" s="55"/>
      <c r="AA17" s="55"/>
      <c r="AB17" s="55"/>
    </row>
    <row r="18" customFormat="false" ht="17.25" hidden="false" customHeight="true" outlineLevel="0" collapsed="false">
      <c r="B18" s="36" t="s">
        <v>261</v>
      </c>
      <c r="C18" s="36"/>
      <c r="D18" s="36"/>
      <c r="E18" s="36"/>
      <c r="F18" s="36"/>
      <c r="G18" s="36"/>
      <c r="H18" s="36"/>
      <c r="I18" s="36"/>
      <c r="J18" s="36"/>
      <c r="K18" s="36"/>
      <c r="L18" s="36"/>
      <c r="M18" s="36"/>
      <c r="N18" s="36"/>
      <c r="O18" s="36"/>
      <c r="P18" s="36"/>
      <c r="Q18" s="36"/>
      <c r="R18" s="36"/>
      <c r="S18" s="36"/>
      <c r="T18" s="36"/>
      <c r="U18" s="36"/>
      <c r="V18" s="36"/>
      <c r="W18" s="36"/>
      <c r="X18" s="55" t="n">
        <f aca="false">$X$11-$X$11/12*$X$12</f>
        <v>1800</v>
      </c>
      <c r="Y18" s="55"/>
      <c r="Z18" s="55"/>
      <c r="AA18" s="55"/>
      <c r="AB18" s="55"/>
    </row>
    <row r="20" customFormat="false" ht="18.75" hidden="false" customHeight="true" outlineLevel="0" collapsed="false">
      <c r="B20" s="3" t="s">
        <v>262</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5" hidden="false" customHeight="false" outlineLevel="0" collapsed="false">
      <c r="B21" s="33" t="s">
        <v>67</v>
      </c>
      <c r="C21" s="33"/>
      <c r="D21" s="33"/>
      <c r="E21" s="33" t="s">
        <v>68</v>
      </c>
      <c r="F21" s="33"/>
      <c r="G21" s="33"/>
      <c r="H21" s="33"/>
      <c r="I21" s="33"/>
      <c r="J21" s="33"/>
      <c r="K21" s="33"/>
      <c r="L21" s="33"/>
      <c r="M21" s="33"/>
      <c r="N21" s="33"/>
      <c r="O21" s="33"/>
      <c r="P21" s="33"/>
      <c r="Q21" s="33"/>
      <c r="R21" s="33"/>
      <c r="S21" s="33"/>
      <c r="T21" s="33"/>
      <c r="U21" s="34" t="s">
        <v>263</v>
      </c>
      <c r="V21" s="34"/>
      <c r="W21" s="34"/>
      <c r="X21" s="34"/>
      <c r="Y21" s="34"/>
      <c r="Z21" s="34"/>
      <c r="AA21" s="34" t="s">
        <v>264</v>
      </c>
      <c r="AB21" s="34"/>
      <c r="AC21" s="34"/>
      <c r="AD21" s="34"/>
      <c r="AE21" s="34"/>
      <c r="AF21" s="34"/>
    </row>
    <row r="22" customFormat="false" ht="16.5" hidden="false" customHeight="true" outlineLevel="0" collapsed="false">
      <c r="B22" s="49" t="s">
        <v>71</v>
      </c>
      <c r="C22" s="49"/>
      <c r="D22" s="49"/>
      <c r="E22" s="50"/>
      <c r="F22" s="50"/>
      <c r="G22" s="50"/>
      <c r="H22" s="50"/>
      <c r="I22" s="50"/>
      <c r="J22" s="50"/>
      <c r="K22" s="50"/>
      <c r="L22" s="50"/>
      <c r="M22" s="50"/>
      <c r="N22" s="50"/>
      <c r="O22" s="50"/>
      <c r="P22" s="50"/>
      <c r="Q22" s="50"/>
      <c r="R22" s="50"/>
      <c r="S22" s="50"/>
      <c r="T22" s="50"/>
      <c r="U22" s="51" t="s">
        <v>72</v>
      </c>
      <c r="V22" s="51"/>
      <c r="W22" s="51"/>
      <c r="X22" s="51"/>
      <c r="Y22" s="51"/>
      <c r="Z22" s="51"/>
      <c r="AA22" s="51" t="s">
        <v>72</v>
      </c>
      <c r="AB22" s="51"/>
      <c r="AC22" s="51"/>
      <c r="AD22" s="51"/>
      <c r="AE22" s="51"/>
      <c r="AF22" s="51"/>
    </row>
    <row r="23" customFormat="false" ht="16.5" hidden="false" customHeight="true" outlineLevel="0" collapsed="false">
      <c r="B23" s="50" t="s">
        <v>78</v>
      </c>
      <c r="C23" s="50"/>
      <c r="D23" s="50"/>
      <c r="E23" s="50" t="s">
        <v>56</v>
      </c>
      <c r="F23" s="50"/>
      <c r="G23" s="50"/>
      <c r="H23" s="50"/>
      <c r="I23" s="50"/>
      <c r="J23" s="50"/>
      <c r="K23" s="50"/>
      <c r="L23" s="50"/>
      <c r="M23" s="50"/>
      <c r="N23" s="50"/>
      <c r="O23" s="50"/>
      <c r="P23" s="50"/>
      <c r="Q23" s="50"/>
      <c r="R23" s="50"/>
      <c r="S23" s="50"/>
      <c r="T23" s="50"/>
      <c r="U23" s="55" t="n">
        <f aca="false">$X$10</f>
        <v>420</v>
      </c>
      <c r="V23" s="55"/>
      <c r="W23" s="55"/>
      <c r="X23" s="55"/>
      <c r="Y23" s="55"/>
      <c r="Z23" s="50"/>
      <c r="AA23" s="50"/>
      <c r="AB23" s="50"/>
      <c r="AC23" s="50"/>
      <c r="AD23" s="50"/>
      <c r="AE23" s="50"/>
      <c r="AF23" s="50"/>
    </row>
    <row r="24" customFormat="false" ht="16.5" hidden="false" customHeight="true" outlineLevel="0" collapsed="false">
      <c r="B24" s="50"/>
      <c r="C24" s="50"/>
      <c r="D24" s="50"/>
      <c r="E24" s="52" t="s">
        <v>265</v>
      </c>
      <c r="F24" s="52"/>
      <c r="G24" s="52"/>
      <c r="H24" s="52"/>
      <c r="I24" s="52"/>
      <c r="J24" s="52"/>
      <c r="K24" s="52"/>
      <c r="L24" s="52"/>
      <c r="M24" s="52"/>
      <c r="N24" s="52"/>
      <c r="O24" s="52"/>
      <c r="P24" s="52"/>
      <c r="Q24" s="52"/>
      <c r="R24" s="52"/>
      <c r="S24" s="52"/>
      <c r="T24" s="52"/>
      <c r="U24" s="50"/>
      <c r="V24" s="50"/>
      <c r="W24" s="50"/>
      <c r="X24" s="50"/>
      <c r="Y24" s="50"/>
      <c r="Z24" s="50"/>
      <c r="AA24" s="55" t="n">
        <f aca="false">$X$10</f>
        <v>420</v>
      </c>
      <c r="AB24" s="55"/>
      <c r="AC24" s="55"/>
      <c r="AD24" s="55"/>
      <c r="AE24" s="55"/>
      <c r="AF24" s="50"/>
    </row>
    <row r="25" customFormat="false" ht="17.25" hidden="false" customHeight="true" outlineLevel="0" collapsed="false">
      <c r="B25" s="50"/>
      <c r="C25" s="50"/>
      <c r="D25" s="50"/>
      <c r="E25" s="53" t="s">
        <v>266</v>
      </c>
      <c r="F25" s="53"/>
      <c r="G25" s="53"/>
      <c r="H25" s="53"/>
      <c r="I25" s="53"/>
      <c r="J25" s="53"/>
      <c r="K25" s="53"/>
      <c r="L25" s="53"/>
      <c r="M25" s="53"/>
      <c r="N25" s="53"/>
      <c r="O25" s="53"/>
      <c r="P25" s="53"/>
      <c r="Q25" s="53"/>
      <c r="R25" s="53"/>
      <c r="S25" s="53"/>
      <c r="T25" s="53"/>
      <c r="U25" s="50"/>
      <c r="V25" s="50"/>
      <c r="W25" s="50"/>
      <c r="X25" s="50"/>
      <c r="Y25" s="50"/>
      <c r="Z25" s="50"/>
      <c r="AA25" s="50"/>
      <c r="AB25" s="50"/>
      <c r="AC25" s="50"/>
      <c r="AD25" s="50"/>
      <c r="AE25" s="50"/>
      <c r="AF25" s="50"/>
    </row>
    <row r="26" customFormat="false" ht="16.5" hidden="false" customHeight="true" outlineLevel="0" collapsed="false">
      <c r="B26" s="50" t="s">
        <v>78</v>
      </c>
      <c r="C26" s="50"/>
      <c r="D26" s="50"/>
      <c r="E26" s="50" t="s">
        <v>267</v>
      </c>
      <c r="F26" s="50"/>
      <c r="G26" s="50"/>
      <c r="H26" s="50"/>
      <c r="I26" s="50"/>
      <c r="J26" s="50"/>
      <c r="K26" s="50"/>
      <c r="L26" s="50"/>
      <c r="M26" s="50"/>
      <c r="N26" s="50"/>
      <c r="O26" s="50"/>
      <c r="P26" s="50"/>
      <c r="Q26" s="50"/>
      <c r="R26" s="50"/>
      <c r="S26" s="50"/>
      <c r="T26" s="50"/>
      <c r="U26" s="55" t="n">
        <f aca="false">$X$11-$X$11/12*$X$12</f>
        <v>1800</v>
      </c>
      <c r="V26" s="55"/>
      <c r="W26" s="55"/>
      <c r="X26" s="55"/>
      <c r="Y26" s="55"/>
      <c r="Z26" s="50"/>
      <c r="AA26" s="50"/>
      <c r="AB26" s="50"/>
      <c r="AC26" s="50"/>
      <c r="AD26" s="50"/>
      <c r="AE26" s="50"/>
      <c r="AF26" s="50"/>
    </row>
    <row r="27" customFormat="false" ht="16.5" hidden="false" customHeight="true" outlineLevel="0" collapsed="false">
      <c r="B27" s="50"/>
      <c r="C27" s="50"/>
      <c r="D27" s="50"/>
      <c r="E27" s="52" t="s">
        <v>55</v>
      </c>
      <c r="F27" s="52"/>
      <c r="G27" s="52"/>
      <c r="H27" s="52"/>
      <c r="I27" s="52"/>
      <c r="J27" s="52"/>
      <c r="K27" s="52"/>
      <c r="L27" s="52"/>
      <c r="M27" s="52"/>
      <c r="N27" s="52"/>
      <c r="O27" s="52"/>
      <c r="P27" s="52"/>
      <c r="Q27" s="52"/>
      <c r="R27" s="52"/>
      <c r="S27" s="52"/>
      <c r="T27" s="52"/>
      <c r="U27" s="50"/>
      <c r="V27" s="50"/>
      <c r="W27" s="50"/>
      <c r="X27" s="50"/>
      <c r="Y27" s="50"/>
      <c r="Z27" s="50"/>
      <c r="AA27" s="55" t="n">
        <f aca="false">$X$11-$X$11/12*$X$12</f>
        <v>1800</v>
      </c>
      <c r="AB27" s="55"/>
      <c r="AC27" s="55"/>
      <c r="AD27" s="55"/>
      <c r="AE27" s="55"/>
      <c r="AF27" s="50"/>
    </row>
    <row r="28" customFormat="false" ht="17.25" hidden="false" customHeight="true" outlineLevel="0" collapsed="false">
      <c r="B28" s="50"/>
      <c r="C28" s="50"/>
      <c r="D28" s="50"/>
      <c r="E28" s="53" t="s">
        <v>268</v>
      </c>
      <c r="F28" s="53"/>
      <c r="G28" s="53"/>
      <c r="H28" s="53"/>
      <c r="I28" s="53"/>
      <c r="J28" s="53"/>
      <c r="K28" s="53"/>
      <c r="L28" s="53"/>
      <c r="M28" s="53"/>
      <c r="N28" s="53"/>
      <c r="O28" s="53"/>
      <c r="P28" s="53"/>
      <c r="Q28" s="53"/>
      <c r="R28" s="53"/>
      <c r="S28" s="53"/>
      <c r="T28" s="53"/>
      <c r="U28" s="50"/>
      <c r="V28" s="50"/>
      <c r="W28" s="50"/>
      <c r="X28" s="50"/>
      <c r="Y28" s="50"/>
      <c r="Z28" s="50"/>
      <c r="AA28" s="50"/>
      <c r="AB28" s="50"/>
      <c r="AC28" s="50"/>
      <c r="AD28" s="50"/>
      <c r="AE28" s="50"/>
      <c r="AF28" s="50"/>
    </row>
    <row r="29" customFormat="false" ht="16.5" hidden="false" customHeight="true" outlineLevel="0" collapsed="false">
      <c r="B29" s="50" t="s">
        <v>78</v>
      </c>
      <c r="C29" s="50"/>
      <c r="D29" s="50"/>
      <c r="E29" s="50" t="s">
        <v>191</v>
      </c>
      <c r="F29" s="50"/>
      <c r="G29" s="50"/>
      <c r="H29" s="50"/>
      <c r="I29" s="50"/>
      <c r="J29" s="50"/>
      <c r="K29" s="50"/>
      <c r="L29" s="50"/>
      <c r="M29" s="50"/>
      <c r="N29" s="50"/>
      <c r="O29" s="50"/>
      <c r="P29" s="50"/>
      <c r="Q29" s="50"/>
      <c r="R29" s="50"/>
      <c r="S29" s="50"/>
      <c r="T29" s="50"/>
      <c r="U29" s="55" t="n">
        <f aca="false">$X$13</f>
        <v>650</v>
      </c>
      <c r="V29" s="55"/>
      <c r="W29" s="55"/>
      <c r="X29" s="55"/>
      <c r="Y29" s="55"/>
      <c r="Z29" s="50"/>
      <c r="AA29" s="50"/>
      <c r="AB29" s="50"/>
      <c r="AC29" s="50"/>
      <c r="AD29" s="50"/>
      <c r="AE29" s="50"/>
      <c r="AF29" s="50"/>
    </row>
    <row r="30" customFormat="false" ht="16.5" hidden="false" customHeight="true" outlineLevel="0" collapsed="false">
      <c r="B30" s="50"/>
      <c r="C30" s="50"/>
      <c r="D30" s="50"/>
      <c r="E30" s="52" t="s">
        <v>265</v>
      </c>
      <c r="F30" s="52"/>
      <c r="G30" s="52"/>
      <c r="H30" s="52"/>
      <c r="I30" s="52"/>
      <c r="J30" s="52"/>
      <c r="K30" s="52"/>
      <c r="L30" s="52"/>
      <c r="M30" s="52"/>
      <c r="N30" s="52"/>
      <c r="O30" s="52"/>
      <c r="P30" s="52"/>
      <c r="Q30" s="52"/>
      <c r="R30" s="52"/>
      <c r="S30" s="52"/>
      <c r="T30" s="52"/>
      <c r="U30" s="50"/>
      <c r="V30" s="50"/>
      <c r="W30" s="50"/>
      <c r="X30" s="50"/>
      <c r="Y30" s="50"/>
      <c r="Z30" s="50"/>
      <c r="AA30" s="55" t="n">
        <f aca="false">$X$13</f>
        <v>650</v>
      </c>
      <c r="AB30" s="55"/>
      <c r="AC30" s="55"/>
      <c r="AD30" s="55"/>
      <c r="AE30" s="55"/>
      <c r="AF30" s="50"/>
    </row>
    <row r="31" customFormat="false" ht="17.25" hidden="false" customHeight="true" outlineLevel="0" collapsed="false">
      <c r="B31" s="50"/>
      <c r="C31" s="50"/>
      <c r="D31" s="50"/>
      <c r="E31" s="53" t="s">
        <v>269</v>
      </c>
      <c r="F31" s="53"/>
      <c r="G31" s="53"/>
      <c r="H31" s="53"/>
      <c r="I31" s="53"/>
      <c r="J31" s="53"/>
      <c r="K31" s="53"/>
      <c r="L31" s="53"/>
      <c r="M31" s="53"/>
      <c r="N31" s="53"/>
      <c r="O31" s="53"/>
      <c r="P31" s="53"/>
      <c r="Q31" s="53"/>
      <c r="R31" s="53"/>
      <c r="S31" s="53"/>
      <c r="T31" s="53"/>
      <c r="U31" s="50"/>
      <c r="V31" s="50"/>
      <c r="W31" s="50"/>
      <c r="X31" s="50"/>
      <c r="Y31" s="50"/>
      <c r="Z31" s="50"/>
      <c r="AA31" s="50"/>
      <c r="AB31" s="50"/>
      <c r="AC31" s="50"/>
      <c r="AD31" s="50"/>
      <c r="AE31" s="50"/>
      <c r="AF31" s="50"/>
    </row>
  </sheetData>
  <mergeCells count="67">
    <mergeCell ref="B1:AF1"/>
    <mergeCell ref="B2:AF2"/>
    <mergeCell ref="B3:AF3"/>
    <mergeCell ref="B5:AF5"/>
    <mergeCell ref="C6:AF6"/>
    <mergeCell ref="C7:AF7"/>
    <mergeCell ref="C8:AF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20:AF20"/>
    <mergeCell ref="B21:D21"/>
    <mergeCell ref="E21:T21"/>
    <mergeCell ref="U21:Z21"/>
    <mergeCell ref="AA21:AF21"/>
    <mergeCell ref="B22:D22"/>
    <mergeCell ref="E22:T22"/>
    <mergeCell ref="U22:Z22"/>
    <mergeCell ref="AA22:AF22"/>
    <mergeCell ref="B23:D23"/>
    <mergeCell ref="E23:T23"/>
    <mergeCell ref="U23:Y23"/>
    <mergeCell ref="AA23:AF23"/>
    <mergeCell ref="B24:D24"/>
    <mergeCell ref="E24:T24"/>
    <mergeCell ref="U24:Z24"/>
    <mergeCell ref="AA24:AE24"/>
    <mergeCell ref="B25:D25"/>
    <mergeCell ref="E25:T25"/>
    <mergeCell ref="U25:Z25"/>
    <mergeCell ref="AA25:AF25"/>
    <mergeCell ref="B26:D26"/>
    <mergeCell ref="E26:T26"/>
    <mergeCell ref="U26:Y26"/>
    <mergeCell ref="AA26:AF26"/>
    <mergeCell ref="B27:D27"/>
    <mergeCell ref="E27:T27"/>
    <mergeCell ref="U27:Z27"/>
    <mergeCell ref="AA27:AE27"/>
    <mergeCell ref="B28:D28"/>
    <mergeCell ref="E28:T28"/>
    <mergeCell ref="U28:Z28"/>
    <mergeCell ref="AA28:AF28"/>
    <mergeCell ref="B29:D29"/>
    <mergeCell ref="E29:T29"/>
    <mergeCell ref="U29:Y29"/>
    <mergeCell ref="AA29:AF29"/>
    <mergeCell ref="B30:D30"/>
    <mergeCell ref="E30:T30"/>
    <mergeCell ref="U30:Z30"/>
    <mergeCell ref="AA30:AE30"/>
    <mergeCell ref="B31:D31"/>
    <mergeCell ref="E31:T31"/>
    <mergeCell ref="U31:Z31"/>
    <mergeCell ref="AA31:AF31"/>
  </mergeCells>
  <conditionalFormatting sqref="B1: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296</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289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290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252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271</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272</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273</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5" hidden="false" customHeight="false" outlineLevel="0" collapsed="false">
      <c r="B9" s="33" t="s">
        <v>127</v>
      </c>
      <c r="C9" s="33"/>
      <c r="D9" s="33"/>
      <c r="E9" s="33"/>
      <c r="F9" s="33"/>
      <c r="G9" s="33"/>
      <c r="H9" s="33"/>
      <c r="I9" s="33"/>
      <c r="J9" s="33"/>
      <c r="K9" s="33"/>
      <c r="L9" s="33"/>
      <c r="M9" s="33"/>
      <c r="N9" s="33"/>
      <c r="O9" s="33"/>
      <c r="P9" s="33"/>
      <c r="Q9" s="33"/>
      <c r="R9" s="33"/>
      <c r="S9" s="33"/>
      <c r="T9" s="33"/>
      <c r="U9" s="33"/>
      <c r="V9" s="33"/>
      <c r="W9" s="33"/>
      <c r="X9" s="34" t="s">
        <v>114</v>
      </c>
      <c r="Y9" s="34"/>
      <c r="Z9" s="34"/>
      <c r="AA9" s="34"/>
      <c r="AB9" s="34"/>
      <c r="AC9" s="34"/>
    </row>
    <row r="10" customFormat="false" ht="16.5" hidden="false" customHeight="true" outlineLevel="0" collapsed="false">
      <c r="B10" s="12" t="s">
        <v>128</v>
      </c>
      <c r="C10" s="12"/>
      <c r="D10" s="12"/>
      <c r="E10" s="12"/>
      <c r="F10" s="12"/>
      <c r="G10" s="12"/>
      <c r="H10" s="12"/>
      <c r="I10" s="12"/>
      <c r="J10" s="12"/>
      <c r="K10" s="12"/>
      <c r="L10" s="12"/>
      <c r="M10" s="12"/>
      <c r="N10" s="12"/>
      <c r="O10" s="12"/>
      <c r="P10" s="12"/>
      <c r="Q10" s="12"/>
      <c r="R10" s="12"/>
      <c r="S10" s="12"/>
      <c r="T10" s="12"/>
      <c r="U10" s="12"/>
      <c r="V10" s="12"/>
      <c r="W10" s="12"/>
      <c r="X10" s="54" t="n">
        <f aca="false">'QJ11.2'!X10</f>
        <v>500</v>
      </c>
      <c r="Y10" s="54"/>
      <c r="Z10" s="54"/>
      <c r="AA10" s="54"/>
      <c r="AB10" s="54"/>
      <c r="AC10" s="54"/>
    </row>
    <row r="11" customFormat="false" ht="16.5" hidden="false" customHeight="true" outlineLevel="0" collapsed="false">
      <c r="B11" s="12" t="s">
        <v>229</v>
      </c>
      <c r="C11" s="12"/>
      <c r="D11" s="12"/>
      <c r="E11" s="12"/>
      <c r="F11" s="12"/>
      <c r="G11" s="12"/>
      <c r="H11" s="12"/>
      <c r="I11" s="12"/>
      <c r="J11" s="12"/>
      <c r="K11" s="12"/>
      <c r="L11" s="12"/>
      <c r="M11" s="12"/>
      <c r="N11" s="12"/>
      <c r="O11" s="12"/>
      <c r="P11" s="12"/>
      <c r="Q11" s="12"/>
      <c r="R11" s="12"/>
      <c r="S11" s="12"/>
      <c r="T11" s="12"/>
      <c r="U11" s="12"/>
      <c r="V11" s="12"/>
      <c r="W11" s="12"/>
      <c r="X11" s="54" t="n">
        <f aca="false">'QJ11.2'!X11</f>
        <v>6500</v>
      </c>
      <c r="Y11" s="54"/>
      <c r="Z11" s="54"/>
      <c r="AA11" s="54"/>
      <c r="AB11" s="54"/>
      <c r="AC11" s="54"/>
    </row>
    <row r="12" customFormat="false" ht="16.5" hidden="false" customHeight="true" outlineLevel="0" collapsed="false">
      <c r="B12" s="12" t="s">
        <v>274</v>
      </c>
      <c r="C12" s="12"/>
      <c r="D12" s="12"/>
      <c r="E12" s="12"/>
      <c r="F12" s="12"/>
      <c r="G12" s="12"/>
      <c r="H12" s="12"/>
      <c r="I12" s="12"/>
      <c r="J12" s="12"/>
      <c r="K12" s="12"/>
      <c r="L12" s="12"/>
      <c r="M12" s="12"/>
      <c r="N12" s="12"/>
      <c r="O12" s="12"/>
      <c r="P12" s="12"/>
      <c r="Q12" s="12"/>
      <c r="R12" s="12"/>
      <c r="S12" s="12"/>
      <c r="T12" s="12"/>
      <c r="U12" s="12"/>
      <c r="V12" s="12"/>
      <c r="W12" s="12"/>
      <c r="X12" s="54" t="n">
        <f aca="false">'QJ11.2'!X12</f>
        <v>380</v>
      </c>
      <c r="Y12" s="54"/>
      <c r="Z12" s="54"/>
      <c r="AA12" s="54"/>
      <c r="AB12" s="54"/>
      <c r="AC12" s="54"/>
    </row>
    <row r="13" customFormat="false" ht="16.5" hidden="false" customHeight="true" outlineLevel="0" collapsed="false">
      <c r="B13" s="12" t="s">
        <v>232</v>
      </c>
      <c r="C13" s="12"/>
      <c r="D13" s="12"/>
      <c r="E13" s="12"/>
      <c r="F13" s="12"/>
      <c r="G13" s="12"/>
      <c r="H13" s="12"/>
      <c r="I13" s="12"/>
      <c r="J13" s="12"/>
      <c r="K13" s="12"/>
      <c r="L13" s="12"/>
      <c r="M13" s="12"/>
      <c r="N13" s="12"/>
      <c r="O13" s="12"/>
      <c r="P13" s="12"/>
      <c r="Q13" s="12"/>
      <c r="R13" s="12"/>
      <c r="S13" s="12"/>
      <c r="T13" s="12"/>
      <c r="U13" s="12"/>
      <c r="V13" s="12"/>
      <c r="W13" s="12"/>
      <c r="X13" s="54" t="n">
        <f aca="false">'QJ11.2'!X13</f>
        <v>150</v>
      </c>
      <c r="Y13" s="54"/>
      <c r="Z13" s="54"/>
      <c r="AA13" s="54"/>
      <c r="AB13" s="54"/>
      <c r="AC13" s="54"/>
    </row>
    <row r="16" customFormat="false" ht="18.75" hidden="false" customHeight="true" outlineLevel="0" collapsed="false">
      <c r="B16" s="3" t="s">
        <v>275</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36" t="s">
        <v>178</v>
      </c>
      <c r="C17" s="36"/>
      <c r="D17" s="36"/>
      <c r="E17" s="36"/>
      <c r="F17" s="36"/>
      <c r="G17" s="36"/>
      <c r="H17" s="36"/>
      <c r="I17" s="36"/>
      <c r="J17" s="36"/>
      <c r="K17" s="36"/>
      <c r="L17" s="36"/>
      <c r="M17" s="36"/>
      <c r="N17" s="36"/>
      <c r="O17" s="36"/>
      <c r="P17" s="36"/>
      <c r="Q17" s="36"/>
      <c r="R17" s="36"/>
      <c r="S17" s="36"/>
      <c r="T17" s="36"/>
      <c r="U17" s="36"/>
      <c r="V17" s="36"/>
      <c r="W17" s="36"/>
      <c r="X17" s="55" t="n">
        <f aca="false">12*$X$10</f>
        <v>6000</v>
      </c>
      <c r="Y17" s="55"/>
      <c r="Z17" s="55"/>
      <c r="AA17" s="55"/>
      <c r="AB17" s="55"/>
    </row>
    <row r="18" customFormat="false" ht="17.25" hidden="false" customHeight="true" outlineLevel="0" collapsed="false">
      <c r="B18" s="36" t="s">
        <v>179</v>
      </c>
      <c r="C18" s="36"/>
      <c r="D18" s="36"/>
      <c r="E18" s="36"/>
      <c r="F18" s="36"/>
      <c r="G18" s="36"/>
      <c r="H18" s="36"/>
      <c r="I18" s="36"/>
      <c r="J18" s="36"/>
      <c r="K18" s="36"/>
      <c r="L18" s="36"/>
      <c r="M18" s="36"/>
      <c r="N18" s="36"/>
      <c r="O18" s="36"/>
      <c r="P18" s="36"/>
      <c r="Q18" s="36"/>
      <c r="R18" s="36"/>
      <c r="S18" s="36"/>
      <c r="T18" s="36"/>
      <c r="U18" s="36"/>
      <c r="V18" s="36"/>
      <c r="W18" s="36"/>
      <c r="X18" s="55" t="n">
        <f aca="false">$X$11-12*$X$10</f>
        <v>500</v>
      </c>
      <c r="Y18" s="55"/>
      <c r="Z18" s="55"/>
      <c r="AA18" s="55"/>
      <c r="AB18" s="55"/>
    </row>
    <row r="20" customFormat="false" ht="18.75" hidden="false" customHeight="true" outlineLevel="0" collapsed="false">
      <c r="B20" s="3" t="s">
        <v>262</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5" hidden="false" customHeight="false" outlineLevel="0" collapsed="false">
      <c r="B21" s="33" t="s">
        <v>67</v>
      </c>
      <c r="C21" s="33"/>
      <c r="D21" s="33"/>
      <c r="E21" s="33" t="s">
        <v>68</v>
      </c>
      <c r="F21" s="33"/>
      <c r="G21" s="33"/>
      <c r="H21" s="33"/>
      <c r="I21" s="33"/>
      <c r="J21" s="33"/>
      <c r="K21" s="33"/>
      <c r="L21" s="33"/>
      <c r="M21" s="33"/>
      <c r="N21" s="33"/>
      <c r="O21" s="33"/>
      <c r="P21" s="33"/>
      <c r="Q21" s="33"/>
      <c r="R21" s="33"/>
      <c r="S21" s="33"/>
      <c r="T21" s="33"/>
      <c r="U21" s="34" t="s">
        <v>263</v>
      </c>
      <c r="V21" s="34"/>
      <c r="W21" s="34"/>
      <c r="X21" s="34"/>
      <c r="Y21" s="34"/>
      <c r="Z21" s="34"/>
      <c r="AA21" s="34" t="s">
        <v>264</v>
      </c>
      <c r="AB21" s="34"/>
      <c r="AC21" s="34"/>
      <c r="AD21" s="34"/>
      <c r="AE21" s="34"/>
      <c r="AF21" s="34"/>
    </row>
    <row r="22" customFormat="false" ht="16.5" hidden="false" customHeight="true" outlineLevel="0" collapsed="false">
      <c r="B22" s="49" t="s">
        <v>71</v>
      </c>
      <c r="C22" s="49"/>
      <c r="D22" s="49"/>
      <c r="E22" s="50"/>
      <c r="F22" s="50"/>
      <c r="G22" s="50"/>
      <c r="H22" s="50"/>
      <c r="I22" s="50"/>
      <c r="J22" s="50"/>
      <c r="K22" s="50"/>
      <c r="L22" s="50"/>
      <c r="M22" s="50"/>
      <c r="N22" s="50"/>
      <c r="O22" s="50"/>
      <c r="P22" s="50"/>
      <c r="Q22" s="50"/>
      <c r="R22" s="50"/>
      <c r="S22" s="50"/>
      <c r="T22" s="50"/>
      <c r="U22" s="51" t="s">
        <v>72</v>
      </c>
      <c r="V22" s="51"/>
      <c r="W22" s="51"/>
      <c r="X22" s="51"/>
      <c r="Y22" s="51"/>
      <c r="Z22" s="51"/>
      <c r="AA22" s="51" t="s">
        <v>72</v>
      </c>
      <c r="AB22" s="51"/>
      <c r="AC22" s="51"/>
      <c r="AD22" s="51"/>
      <c r="AE22" s="51"/>
      <c r="AF22" s="51"/>
    </row>
    <row r="23" customFormat="false" ht="16.5" hidden="false" customHeight="true" outlineLevel="0" collapsed="false">
      <c r="B23" s="50" t="s">
        <v>78</v>
      </c>
      <c r="C23" s="50"/>
      <c r="D23" s="50"/>
      <c r="E23" s="50" t="s">
        <v>276</v>
      </c>
      <c r="F23" s="50"/>
      <c r="G23" s="50"/>
      <c r="H23" s="50"/>
      <c r="I23" s="50"/>
      <c r="J23" s="50"/>
      <c r="K23" s="50"/>
      <c r="L23" s="50"/>
      <c r="M23" s="50"/>
      <c r="N23" s="50"/>
      <c r="O23" s="50"/>
      <c r="P23" s="50"/>
      <c r="Q23" s="50"/>
      <c r="R23" s="50"/>
      <c r="S23" s="50"/>
      <c r="T23" s="50"/>
      <c r="U23" s="55" t="n">
        <f aca="false">$X$11-12*$X$10</f>
        <v>500</v>
      </c>
      <c r="V23" s="55"/>
      <c r="W23" s="55"/>
      <c r="X23" s="55"/>
      <c r="Y23" s="55"/>
      <c r="Z23" s="50"/>
      <c r="AA23" s="50"/>
      <c r="AB23" s="50"/>
      <c r="AC23" s="50"/>
      <c r="AD23" s="50"/>
      <c r="AE23" s="50"/>
      <c r="AF23" s="50"/>
    </row>
    <row r="24" customFormat="false" ht="16.5" hidden="false" customHeight="true" outlineLevel="0" collapsed="false">
      <c r="B24" s="50"/>
      <c r="C24" s="50"/>
      <c r="D24" s="50"/>
      <c r="E24" s="52" t="s">
        <v>277</v>
      </c>
      <c r="F24" s="52"/>
      <c r="G24" s="52"/>
      <c r="H24" s="52"/>
      <c r="I24" s="52"/>
      <c r="J24" s="52"/>
      <c r="K24" s="52"/>
      <c r="L24" s="52"/>
      <c r="M24" s="52"/>
      <c r="N24" s="52"/>
      <c r="O24" s="52"/>
      <c r="P24" s="52"/>
      <c r="Q24" s="52"/>
      <c r="R24" s="52"/>
      <c r="S24" s="52"/>
      <c r="T24" s="52"/>
      <c r="U24" s="50"/>
      <c r="V24" s="50"/>
      <c r="W24" s="50"/>
      <c r="X24" s="50"/>
      <c r="Y24" s="50"/>
      <c r="Z24" s="50"/>
      <c r="AA24" s="55" t="n">
        <f aca="false">$X$11-12*$X$10</f>
        <v>500</v>
      </c>
      <c r="AB24" s="55"/>
      <c r="AC24" s="55"/>
      <c r="AD24" s="55"/>
      <c r="AE24" s="55"/>
      <c r="AF24" s="50"/>
    </row>
    <row r="25" customFormat="false" ht="17.25" hidden="false" customHeight="true" outlineLevel="0" collapsed="false">
      <c r="B25" s="50"/>
      <c r="C25" s="50"/>
      <c r="D25" s="50"/>
      <c r="E25" s="53" t="s">
        <v>278</v>
      </c>
      <c r="F25" s="53"/>
      <c r="G25" s="53"/>
      <c r="H25" s="53"/>
      <c r="I25" s="53"/>
      <c r="J25" s="53"/>
      <c r="K25" s="53"/>
      <c r="L25" s="53"/>
      <c r="M25" s="53"/>
      <c r="N25" s="53"/>
      <c r="O25" s="53"/>
      <c r="P25" s="53"/>
      <c r="Q25" s="53"/>
      <c r="R25" s="53"/>
      <c r="S25" s="53"/>
      <c r="T25" s="53"/>
      <c r="U25" s="50"/>
      <c r="V25" s="50"/>
      <c r="W25" s="50"/>
      <c r="X25" s="50"/>
      <c r="Y25" s="50"/>
      <c r="Z25" s="50"/>
      <c r="AA25" s="50"/>
      <c r="AB25" s="50"/>
      <c r="AC25" s="50"/>
      <c r="AD25" s="50"/>
      <c r="AE25" s="50"/>
      <c r="AF25" s="50"/>
    </row>
    <row r="26" customFormat="false" ht="16.5" hidden="false" customHeight="true" outlineLevel="0" collapsed="false">
      <c r="B26" s="50" t="s">
        <v>78</v>
      </c>
      <c r="C26" s="50"/>
      <c r="D26" s="50"/>
      <c r="E26" s="50" t="s">
        <v>279</v>
      </c>
      <c r="F26" s="50"/>
      <c r="G26" s="50"/>
      <c r="H26" s="50"/>
      <c r="I26" s="50"/>
      <c r="J26" s="50"/>
      <c r="K26" s="50"/>
      <c r="L26" s="50"/>
      <c r="M26" s="50"/>
      <c r="N26" s="50"/>
      <c r="O26" s="50"/>
      <c r="P26" s="50"/>
      <c r="Q26" s="50"/>
      <c r="R26" s="50"/>
      <c r="S26" s="50"/>
      <c r="T26" s="50"/>
      <c r="U26" s="55" t="n">
        <f aca="false">$X$12</f>
        <v>380</v>
      </c>
      <c r="V26" s="55"/>
      <c r="W26" s="55"/>
      <c r="X26" s="55"/>
      <c r="Y26" s="55"/>
      <c r="Z26" s="50"/>
      <c r="AA26" s="50"/>
      <c r="AB26" s="50"/>
      <c r="AC26" s="50"/>
      <c r="AD26" s="50"/>
      <c r="AE26" s="50"/>
      <c r="AF26" s="50"/>
    </row>
    <row r="27" customFormat="false" ht="16.5" hidden="false" customHeight="true" outlineLevel="0" collapsed="false">
      <c r="B27" s="50"/>
      <c r="C27" s="50"/>
      <c r="D27" s="50"/>
      <c r="E27" s="52" t="s">
        <v>198</v>
      </c>
      <c r="F27" s="52"/>
      <c r="G27" s="52"/>
      <c r="H27" s="52"/>
      <c r="I27" s="52"/>
      <c r="J27" s="52"/>
      <c r="K27" s="52"/>
      <c r="L27" s="52"/>
      <c r="M27" s="52"/>
      <c r="N27" s="52"/>
      <c r="O27" s="52"/>
      <c r="P27" s="52"/>
      <c r="Q27" s="52"/>
      <c r="R27" s="52"/>
      <c r="S27" s="52"/>
      <c r="T27" s="52"/>
      <c r="U27" s="50"/>
      <c r="V27" s="50"/>
      <c r="W27" s="50"/>
      <c r="X27" s="50"/>
      <c r="Y27" s="50"/>
      <c r="Z27" s="50"/>
      <c r="AA27" s="55" t="n">
        <f aca="false">$X$12</f>
        <v>380</v>
      </c>
      <c r="AB27" s="55"/>
      <c r="AC27" s="55"/>
      <c r="AD27" s="55"/>
      <c r="AE27" s="55"/>
      <c r="AF27" s="50"/>
    </row>
    <row r="28" customFormat="false" ht="17.25" hidden="false" customHeight="true" outlineLevel="0" collapsed="false">
      <c r="B28" s="50"/>
      <c r="C28" s="50"/>
      <c r="D28" s="50"/>
      <c r="E28" s="53" t="s">
        <v>280</v>
      </c>
      <c r="F28" s="53"/>
      <c r="G28" s="53"/>
      <c r="H28" s="53"/>
      <c r="I28" s="53"/>
      <c r="J28" s="53"/>
      <c r="K28" s="53"/>
      <c r="L28" s="53"/>
      <c r="M28" s="53"/>
      <c r="N28" s="53"/>
      <c r="O28" s="53"/>
      <c r="P28" s="53"/>
      <c r="Q28" s="53"/>
      <c r="R28" s="53"/>
      <c r="S28" s="53"/>
      <c r="T28" s="53"/>
      <c r="U28" s="50"/>
      <c r="V28" s="50"/>
      <c r="W28" s="50"/>
      <c r="X28" s="50"/>
      <c r="Y28" s="50"/>
      <c r="Z28" s="50"/>
      <c r="AA28" s="50"/>
      <c r="AB28" s="50"/>
      <c r="AC28" s="50"/>
      <c r="AD28" s="50"/>
      <c r="AE28" s="50"/>
      <c r="AF28" s="50"/>
    </row>
    <row r="29" customFormat="false" ht="16.5" hidden="false" customHeight="true" outlineLevel="0" collapsed="false">
      <c r="B29" s="50" t="s">
        <v>78</v>
      </c>
      <c r="C29" s="50"/>
      <c r="D29" s="50"/>
      <c r="E29" s="50" t="s">
        <v>281</v>
      </c>
      <c r="F29" s="50"/>
      <c r="G29" s="50"/>
      <c r="H29" s="50"/>
      <c r="I29" s="50"/>
      <c r="J29" s="50"/>
      <c r="K29" s="50"/>
      <c r="L29" s="50"/>
      <c r="M29" s="50"/>
      <c r="N29" s="50"/>
      <c r="O29" s="50"/>
      <c r="P29" s="50"/>
      <c r="Q29" s="50"/>
      <c r="R29" s="50"/>
      <c r="S29" s="50"/>
      <c r="T29" s="50"/>
      <c r="U29" s="55" t="n">
        <f aca="false">$X$13</f>
        <v>150</v>
      </c>
      <c r="V29" s="55"/>
      <c r="W29" s="55"/>
      <c r="X29" s="55"/>
      <c r="Y29" s="55"/>
      <c r="Z29" s="50"/>
      <c r="AA29" s="50"/>
      <c r="AB29" s="50"/>
      <c r="AC29" s="50"/>
      <c r="AD29" s="50"/>
      <c r="AE29" s="50"/>
      <c r="AF29" s="50"/>
    </row>
    <row r="30" customFormat="false" ht="16.5" hidden="false" customHeight="true" outlineLevel="0" collapsed="false">
      <c r="B30" s="50"/>
      <c r="C30" s="50"/>
      <c r="D30" s="50"/>
      <c r="E30" s="52" t="s">
        <v>282</v>
      </c>
      <c r="F30" s="52"/>
      <c r="G30" s="52"/>
      <c r="H30" s="52"/>
      <c r="I30" s="52"/>
      <c r="J30" s="52"/>
      <c r="K30" s="52"/>
      <c r="L30" s="52"/>
      <c r="M30" s="52"/>
      <c r="N30" s="52"/>
      <c r="O30" s="52"/>
      <c r="P30" s="52"/>
      <c r="Q30" s="52"/>
      <c r="R30" s="52"/>
      <c r="S30" s="52"/>
      <c r="T30" s="52"/>
      <c r="U30" s="50"/>
      <c r="V30" s="50"/>
      <c r="W30" s="50"/>
      <c r="X30" s="50"/>
      <c r="Y30" s="50"/>
      <c r="Z30" s="50"/>
      <c r="AA30" s="55" t="n">
        <f aca="false">$X$13</f>
        <v>150</v>
      </c>
      <c r="AB30" s="55"/>
      <c r="AC30" s="55"/>
      <c r="AD30" s="55"/>
      <c r="AE30" s="55"/>
      <c r="AF30" s="50"/>
    </row>
    <row r="31" customFormat="false" ht="17.25" hidden="false" customHeight="true" outlineLevel="0" collapsed="false">
      <c r="B31" s="50"/>
      <c r="C31" s="50"/>
      <c r="D31" s="50"/>
      <c r="E31" s="53" t="s">
        <v>283</v>
      </c>
      <c r="F31" s="53"/>
      <c r="G31" s="53"/>
      <c r="H31" s="53"/>
      <c r="I31" s="53"/>
      <c r="J31" s="53"/>
      <c r="K31" s="53"/>
      <c r="L31" s="53"/>
      <c r="M31" s="53"/>
      <c r="N31" s="53"/>
      <c r="O31" s="53"/>
      <c r="P31" s="53"/>
      <c r="Q31" s="53"/>
      <c r="R31" s="53"/>
      <c r="S31" s="53"/>
      <c r="T31" s="53"/>
      <c r="U31" s="50"/>
      <c r="V31" s="50"/>
      <c r="W31" s="50"/>
      <c r="X31" s="50"/>
      <c r="Y31" s="50"/>
      <c r="Z31" s="50"/>
      <c r="AA31" s="50"/>
      <c r="AB31" s="50"/>
      <c r="AC31" s="50"/>
      <c r="AD31" s="50"/>
      <c r="AE31" s="50"/>
      <c r="AF31" s="50"/>
    </row>
  </sheetData>
  <mergeCells count="67">
    <mergeCell ref="B1:AF1"/>
    <mergeCell ref="B2:AF2"/>
    <mergeCell ref="B3:AF3"/>
    <mergeCell ref="B5:AF5"/>
    <mergeCell ref="C6:AF6"/>
    <mergeCell ref="C7:AF7"/>
    <mergeCell ref="C8:AF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20:AF20"/>
    <mergeCell ref="B21:D21"/>
    <mergeCell ref="E21:T21"/>
    <mergeCell ref="U21:Z21"/>
    <mergeCell ref="AA21:AF21"/>
    <mergeCell ref="B22:D22"/>
    <mergeCell ref="E22:T22"/>
    <mergeCell ref="U22:Z22"/>
    <mergeCell ref="AA22:AF22"/>
    <mergeCell ref="B23:D23"/>
    <mergeCell ref="E23:T23"/>
    <mergeCell ref="U23:Y23"/>
    <mergeCell ref="AA23:AF23"/>
    <mergeCell ref="B24:D24"/>
    <mergeCell ref="E24:T24"/>
    <mergeCell ref="U24:Z24"/>
    <mergeCell ref="AA24:AE24"/>
    <mergeCell ref="B25:D25"/>
    <mergeCell ref="E25:T25"/>
    <mergeCell ref="U25:Z25"/>
    <mergeCell ref="AA25:AF25"/>
    <mergeCell ref="B26:D26"/>
    <mergeCell ref="E26:T26"/>
    <mergeCell ref="U26:Y26"/>
    <mergeCell ref="AA26:AF26"/>
    <mergeCell ref="B27:D27"/>
    <mergeCell ref="E27:T27"/>
    <mergeCell ref="U27:Z27"/>
    <mergeCell ref="AA27:AE27"/>
    <mergeCell ref="B28:D28"/>
    <mergeCell ref="E28:T28"/>
    <mergeCell ref="U28:Z28"/>
    <mergeCell ref="AA28:AF28"/>
    <mergeCell ref="B29:D29"/>
    <mergeCell ref="E29:T29"/>
    <mergeCell ref="U29:Y29"/>
    <mergeCell ref="AA29:AF29"/>
    <mergeCell ref="B30:D30"/>
    <mergeCell ref="E30:T30"/>
    <mergeCell ref="U30:Z30"/>
    <mergeCell ref="AA30:AE30"/>
    <mergeCell ref="B31:D31"/>
    <mergeCell ref="E31:T31"/>
    <mergeCell ref="U31:Z31"/>
    <mergeCell ref="AA31:AF31"/>
  </mergeCells>
  <conditionalFormatting sqref="B1: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297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289</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290</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4" customFormat="false" ht="19.5" hidden="false" customHeight="true" outlineLevel="0" collapsed="false">
      <c r="B4" s="17" t="s">
        <v>286</v>
      </c>
      <c r="C4" s="17"/>
      <c r="D4" s="17"/>
      <c r="E4" s="17"/>
      <c r="F4" s="17"/>
      <c r="G4" s="17"/>
      <c r="H4" s="17"/>
      <c r="I4" s="17"/>
      <c r="J4" s="17"/>
      <c r="K4" s="17"/>
      <c r="L4" s="17"/>
      <c r="M4" s="17"/>
      <c r="N4" s="17"/>
      <c r="O4" s="17"/>
      <c r="P4" s="17"/>
      <c r="Q4" s="17"/>
      <c r="R4" s="57" t="n">
        <f aca="false">'P11.11'!R4</f>
        <v>1</v>
      </c>
      <c r="S4" s="57"/>
      <c r="T4" s="57"/>
      <c r="U4" s="57"/>
      <c r="W4" s="14" t="s">
        <v>287</v>
      </c>
      <c r="X4" s="14"/>
      <c r="Y4" s="14"/>
      <c r="Z4" s="14"/>
      <c r="AA4" s="14"/>
      <c r="AB4" s="14"/>
      <c r="AC4" s="14"/>
      <c r="AD4" s="14"/>
      <c r="AE4" s="14"/>
      <c r="AF4" s="14"/>
    </row>
    <row r="6" customFormat="false" ht="15" hidden="false" customHeight="false" outlineLevel="0" collapsed="false">
      <c r="B6" s="33" t="s">
        <v>127</v>
      </c>
      <c r="C6" s="33"/>
      <c r="D6" s="33"/>
      <c r="E6" s="33"/>
      <c r="F6" s="33"/>
      <c r="G6" s="33"/>
      <c r="H6" s="33"/>
      <c r="I6" s="33"/>
      <c r="J6" s="33"/>
      <c r="K6" s="33"/>
      <c r="L6" s="33"/>
      <c r="M6" s="33"/>
      <c r="N6" s="33"/>
      <c r="O6" s="33"/>
      <c r="P6" s="33"/>
      <c r="Q6" s="33"/>
      <c r="R6" s="33"/>
      <c r="S6" s="33"/>
      <c r="T6" s="33"/>
      <c r="U6" s="33"/>
      <c r="V6" s="33"/>
      <c r="W6" s="33"/>
      <c r="X6" s="34" t="s">
        <v>114</v>
      </c>
      <c r="Y6" s="34"/>
      <c r="Z6" s="34"/>
      <c r="AA6" s="34"/>
      <c r="AB6" s="34"/>
      <c r="AC6" s="34"/>
    </row>
    <row r="7" customFormat="false" ht="15" hidden="false" customHeight="false" outlineLevel="0" collapsed="false">
      <c r="B7" s="46" t="s">
        <v>191</v>
      </c>
      <c r="C7" s="46"/>
      <c r="D7" s="46"/>
      <c r="E7" s="46"/>
      <c r="F7" s="46"/>
      <c r="G7" s="46"/>
      <c r="H7" s="46"/>
      <c r="I7" s="46"/>
      <c r="J7" s="46"/>
      <c r="K7" s="46"/>
      <c r="L7" s="46"/>
      <c r="M7" s="46"/>
      <c r="N7" s="46"/>
      <c r="O7" s="46"/>
      <c r="P7" s="46"/>
      <c r="Q7" s="46"/>
      <c r="R7" s="46"/>
      <c r="S7" s="46"/>
      <c r="T7" s="46"/>
      <c r="U7" s="46"/>
      <c r="V7" s="46"/>
      <c r="W7" s="46"/>
      <c r="X7" s="46"/>
      <c r="Y7" s="46"/>
      <c r="Z7" s="46"/>
      <c r="AA7" s="46"/>
      <c r="AB7" s="46"/>
      <c r="AC7" s="46"/>
    </row>
    <row r="8" customFormat="false" ht="16.5" hidden="false" customHeight="true" outlineLevel="0" collapsed="false">
      <c r="B8" s="12" t="s">
        <v>192</v>
      </c>
      <c r="C8" s="12"/>
      <c r="D8" s="12"/>
      <c r="E8" s="12"/>
      <c r="F8" s="12"/>
      <c r="G8" s="12"/>
      <c r="H8" s="12"/>
      <c r="I8" s="12"/>
      <c r="J8" s="12"/>
      <c r="K8" s="12"/>
      <c r="L8" s="12"/>
      <c r="M8" s="12"/>
      <c r="N8" s="12"/>
      <c r="O8" s="12"/>
      <c r="P8" s="12"/>
      <c r="Q8" s="12"/>
      <c r="R8" s="12"/>
      <c r="S8" s="12"/>
      <c r="T8" s="12"/>
      <c r="U8" s="12"/>
      <c r="V8" s="12"/>
      <c r="W8" s="12"/>
      <c r="X8" s="54" t="n">
        <f aca="false">'P11.11'!X8</f>
        <v>400</v>
      </c>
      <c r="Y8" s="54"/>
      <c r="Z8" s="54"/>
      <c r="AA8" s="54"/>
      <c r="AB8" s="54"/>
      <c r="AC8" s="54"/>
    </row>
    <row r="9" customFormat="false" ht="16.5" hidden="false" customHeight="true" outlineLevel="0" collapsed="false">
      <c r="B9" s="12" t="s">
        <v>193</v>
      </c>
      <c r="C9" s="12"/>
      <c r="D9" s="12"/>
      <c r="E9" s="12"/>
      <c r="F9" s="12"/>
      <c r="G9" s="12"/>
      <c r="H9" s="12"/>
      <c r="I9" s="12"/>
      <c r="J9" s="12"/>
      <c r="K9" s="12"/>
      <c r="L9" s="12"/>
      <c r="M9" s="12"/>
      <c r="N9" s="12"/>
      <c r="O9" s="12"/>
      <c r="P9" s="12"/>
      <c r="Q9" s="12"/>
      <c r="R9" s="12"/>
      <c r="S9" s="12"/>
      <c r="T9" s="12"/>
      <c r="U9" s="12"/>
      <c r="V9" s="12"/>
      <c r="W9" s="12"/>
      <c r="X9" s="54" t="n">
        <f aca="false">'P11.11'!X9</f>
        <v>16500</v>
      </c>
      <c r="Y9" s="54"/>
      <c r="Z9" s="54"/>
      <c r="AA9" s="54"/>
      <c r="AB9" s="54"/>
      <c r="AC9" s="54"/>
    </row>
    <row r="10" customFormat="false" ht="16.5" hidden="false" customHeight="true" outlineLevel="0" collapsed="false">
      <c r="B10" s="12" t="s">
        <v>194</v>
      </c>
      <c r="C10" s="12"/>
      <c r="D10" s="12"/>
      <c r="E10" s="12"/>
      <c r="F10" s="12"/>
      <c r="G10" s="12"/>
      <c r="H10" s="12"/>
      <c r="I10" s="12"/>
      <c r="J10" s="12"/>
      <c r="K10" s="12"/>
      <c r="L10" s="12"/>
      <c r="M10" s="12"/>
      <c r="N10" s="12"/>
      <c r="O10" s="12"/>
      <c r="P10" s="12"/>
      <c r="Q10" s="12"/>
      <c r="R10" s="12"/>
      <c r="S10" s="12"/>
      <c r="T10" s="12"/>
      <c r="U10" s="12"/>
      <c r="V10" s="12"/>
      <c r="W10" s="12"/>
      <c r="X10" s="54" t="n">
        <f aca="false">'P11.11'!X10</f>
        <v>650</v>
      </c>
      <c r="Y10" s="54"/>
      <c r="Z10" s="54"/>
      <c r="AA10" s="54"/>
      <c r="AB10" s="54"/>
      <c r="AC10" s="54"/>
    </row>
    <row r="11" customFormat="false" ht="15" hidden="false" customHeight="false" outlineLevel="0" collapsed="false">
      <c r="B11" s="46" t="s">
        <v>195</v>
      </c>
      <c r="C11" s="46"/>
      <c r="D11" s="46"/>
      <c r="E11" s="46"/>
      <c r="F11" s="46"/>
      <c r="G11" s="46"/>
      <c r="H11" s="46"/>
      <c r="I11" s="46"/>
      <c r="J11" s="46"/>
      <c r="K11" s="46"/>
      <c r="L11" s="46"/>
      <c r="M11" s="46"/>
      <c r="N11" s="46"/>
      <c r="O11" s="46"/>
      <c r="P11" s="46"/>
      <c r="Q11" s="46"/>
      <c r="R11" s="46"/>
      <c r="S11" s="46"/>
      <c r="T11" s="46"/>
      <c r="U11" s="46"/>
      <c r="V11" s="46"/>
      <c r="W11" s="46"/>
      <c r="X11" s="46"/>
      <c r="Y11" s="46"/>
      <c r="Z11" s="46"/>
      <c r="AA11" s="46"/>
      <c r="AB11" s="46"/>
      <c r="AC11" s="46"/>
    </row>
    <row r="12" customFormat="false" ht="16.5" hidden="false" customHeight="true" outlineLevel="0" collapsed="false">
      <c r="B12" s="12" t="s">
        <v>196</v>
      </c>
      <c r="C12" s="12"/>
      <c r="D12" s="12"/>
      <c r="E12" s="12"/>
      <c r="F12" s="12"/>
      <c r="G12" s="12"/>
      <c r="H12" s="12"/>
      <c r="I12" s="12"/>
      <c r="J12" s="12"/>
      <c r="K12" s="12"/>
      <c r="L12" s="12"/>
      <c r="M12" s="12"/>
      <c r="N12" s="12"/>
      <c r="O12" s="12"/>
      <c r="P12" s="12"/>
      <c r="Q12" s="12"/>
      <c r="R12" s="12"/>
      <c r="S12" s="12"/>
      <c r="T12" s="12"/>
      <c r="U12" s="12"/>
      <c r="V12" s="12"/>
      <c r="W12" s="12"/>
      <c r="X12" s="54" t="n">
        <f aca="false">'P11.11'!X12</f>
        <v>100</v>
      </c>
      <c r="Y12" s="54"/>
      <c r="Z12" s="54"/>
      <c r="AA12" s="54"/>
      <c r="AB12" s="54"/>
      <c r="AC12" s="54"/>
    </row>
    <row r="13" customFormat="false" ht="16.5" hidden="false" customHeight="true" outlineLevel="0" collapsed="false">
      <c r="B13" s="12" t="s">
        <v>193</v>
      </c>
      <c r="C13" s="12"/>
      <c r="D13" s="12"/>
      <c r="E13" s="12"/>
      <c r="F13" s="12"/>
      <c r="G13" s="12"/>
      <c r="H13" s="12"/>
      <c r="I13" s="12"/>
      <c r="J13" s="12"/>
      <c r="K13" s="12"/>
      <c r="L13" s="12"/>
      <c r="M13" s="12"/>
      <c r="N13" s="12"/>
      <c r="O13" s="12"/>
      <c r="P13" s="12"/>
      <c r="Q13" s="12"/>
      <c r="R13" s="12"/>
      <c r="S13" s="12"/>
      <c r="T13" s="12"/>
      <c r="U13" s="12"/>
      <c r="V13" s="12"/>
      <c r="W13" s="12"/>
      <c r="X13" s="54" t="n">
        <f aca="false">'P11.11'!X13</f>
        <v>1900</v>
      </c>
      <c r="Y13" s="54"/>
      <c r="Z13" s="54"/>
      <c r="AA13" s="54"/>
      <c r="AB13" s="54"/>
      <c r="AC13" s="54"/>
    </row>
    <row r="14" customFormat="false" ht="16.5" hidden="false" customHeight="true" outlineLevel="0" collapsed="false">
      <c r="B14" s="12" t="s">
        <v>197</v>
      </c>
      <c r="C14" s="12"/>
      <c r="D14" s="12"/>
      <c r="E14" s="12"/>
      <c r="F14" s="12"/>
      <c r="G14" s="12"/>
      <c r="H14" s="12"/>
      <c r="I14" s="12"/>
      <c r="J14" s="12"/>
      <c r="K14" s="12"/>
      <c r="L14" s="12"/>
      <c r="M14" s="12"/>
      <c r="N14" s="12"/>
      <c r="O14" s="12"/>
      <c r="P14" s="12"/>
      <c r="Q14" s="12"/>
      <c r="R14" s="12"/>
      <c r="S14" s="12"/>
      <c r="T14" s="12"/>
      <c r="U14" s="12"/>
      <c r="V14" s="12"/>
      <c r="W14" s="12"/>
      <c r="X14" s="54" t="n">
        <f aca="false">'P11.11'!X14</f>
        <v>400</v>
      </c>
      <c r="Y14" s="54"/>
      <c r="Z14" s="54"/>
      <c r="AA14" s="54"/>
      <c r="AB14" s="54"/>
      <c r="AC14" s="54"/>
    </row>
    <row r="15" customFormat="false" ht="15" hidden="false" customHeight="false" outlineLevel="0" collapsed="false">
      <c r="B15" s="46" t="s">
        <v>198</v>
      </c>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row>
    <row r="16" customFormat="false" ht="16.5" hidden="false" customHeight="true" outlineLevel="0" collapsed="false">
      <c r="B16" s="12" t="s">
        <v>199</v>
      </c>
      <c r="C16" s="12"/>
      <c r="D16" s="12"/>
      <c r="E16" s="12"/>
      <c r="F16" s="12"/>
      <c r="G16" s="12"/>
      <c r="H16" s="12"/>
      <c r="I16" s="12"/>
      <c r="J16" s="12"/>
      <c r="K16" s="12"/>
      <c r="L16" s="12"/>
      <c r="M16" s="12"/>
      <c r="N16" s="12"/>
      <c r="O16" s="12"/>
      <c r="P16" s="12"/>
      <c r="Q16" s="12"/>
      <c r="R16" s="12"/>
      <c r="S16" s="12"/>
      <c r="T16" s="12"/>
      <c r="U16" s="12"/>
      <c r="V16" s="12"/>
      <c r="W16" s="12"/>
      <c r="X16" s="54" t="n">
        <f aca="false">'P11.11'!X16</f>
        <v>4100</v>
      </c>
      <c r="Y16" s="54"/>
      <c r="Z16" s="54"/>
      <c r="AA16" s="54"/>
      <c r="AB16" s="54"/>
      <c r="AC16" s="54"/>
    </row>
    <row r="17" customFormat="false" ht="16.5" hidden="false" customHeight="true" outlineLevel="0" collapsed="false">
      <c r="B17" s="12" t="s">
        <v>200</v>
      </c>
      <c r="C17" s="12"/>
      <c r="D17" s="12"/>
      <c r="E17" s="12"/>
      <c r="F17" s="12"/>
      <c r="G17" s="12"/>
      <c r="H17" s="12"/>
      <c r="I17" s="12"/>
      <c r="J17" s="12"/>
      <c r="K17" s="12"/>
      <c r="L17" s="12"/>
      <c r="M17" s="12"/>
      <c r="N17" s="12"/>
      <c r="O17" s="12"/>
      <c r="P17" s="12"/>
      <c r="Q17" s="12"/>
      <c r="R17" s="12"/>
      <c r="S17" s="12"/>
      <c r="T17" s="12"/>
      <c r="U17" s="12"/>
      <c r="V17" s="12"/>
      <c r="W17" s="12"/>
      <c r="X17" s="54" t="n">
        <f aca="false">'P11.11'!X17</f>
        <v>400</v>
      </c>
      <c r="Y17" s="54"/>
      <c r="Z17" s="54"/>
      <c r="AA17" s="54"/>
      <c r="AB17" s="54"/>
      <c r="AC17" s="54"/>
    </row>
    <row r="20" customFormat="false" ht="18.75" hidden="false" customHeight="true" outlineLevel="0" collapsed="false">
      <c r="B20" s="3" t="s">
        <v>201</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36" t="s">
        <v>202</v>
      </c>
      <c r="C21" s="36"/>
      <c r="D21" s="36"/>
      <c r="E21" s="36"/>
      <c r="F21" s="36"/>
      <c r="G21" s="36"/>
      <c r="H21" s="36"/>
      <c r="I21" s="36"/>
      <c r="J21" s="36"/>
      <c r="K21" s="36"/>
      <c r="L21" s="36"/>
      <c r="M21" s="36"/>
      <c r="N21" s="36"/>
      <c r="O21" s="36"/>
      <c r="P21" s="36"/>
      <c r="Q21" s="36"/>
      <c r="R21" s="36"/>
      <c r="S21" s="36"/>
      <c r="T21" s="36"/>
      <c r="U21" s="36"/>
      <c r="V21" s="36"/>
      <c r="W21" s="36"/>
      <c r="X21" s="55" t="n">
        <f aca="false">$X$9-$X$8+$X$10</f>
        <v>16750</v>
      </c>
      <c r="Y21" s="55"/>
      <c r="Z21" s="55"/>
      <c r="AA21" s="55"/>
      <c r="AB21" s="55"/>
    </row>
    <row r="22" customFormat="false" ht="17.25" hidden="false" customHeight="true" outlineLevel="0" collapsed="false">
      <c r="B22" s="36" t="s">
        <v>203</v>
      </c>
      <c r="C22" s="36"/>
      <c r="D22" s="36"/>
      <c r="E22" s="36"/>
      <c r="F22" s="36"/>
      <c r="G22" s="36"/>
      <c r="H22" s="36"/>
      <c r="I22" s="36"/>
      <c r="J22" s="36"/>
      <c r="K22" s="36"/>
      <c r="L22" s="36"/>
      <c r="M22" s="36"/>
      <c r="N22" s="36"/>
      <c r="O22" s="36"/>
      <c r="P22" s="36"/>
      <c r="Q22" s="36"/>
      <c r="R22" s="36"/>
      <c r="S22" s="36"/>
      <c r="T22" s="36"/>
      <c r="U22" s="36"/>
      <c r="V22" s="36"/>
      <c r="W22" s="36"/>
      <c r="X22" s="55" t="n">
        <f aca="false">$X$13+$X$12-$X$14</f>
        <v>1600</v>
      </c>
      <c r="Y22" s="55"/>
      <c r="Z22" s="55"/>
      <c r="AA22" s="55"/>
      <c r="AB22" s="55"/>
    </row>
    <row r="23" customFormat="false" ht="17.25" hidden="false" customHeight="true" outlineLevel="0" collapsed="false">
      <c r="B23" s="36" t="s">
        <v>204</v>
      </c>
      <c r="C23" s="36"/>
      <c r="D23" s="36"/>
      <c r="E23" s="36"/>
      <c r="F23" s="36"/>
      <c r="G23" s="36"/>
      <c r="H23" s="36"/>
      <c r="I23" s="36"/>
      <c r="J23" s="36"/>
      <c r="K23" s="36"/>
      <c r="L23" s="36"/>
      <c r="M23" s="36"/>
      <c r="N23" s="36"/>
      <c r="O23" s="36"/>
      <c r="P23" s="36"/>
      <c r="Q23" s="36"/>
      <c r="R23" s="36"/>
      <c r="S23" s="36"/>
      <c r="T23" s="36"/>
      <c r="U23" s="36"/>
      <c r="V23" s="36"/>
      <c r="W23" s="36"/>
      <c r="X23" s="55" t="n">
        <f aca="false">$X$16+$X$17</f>
        <v>4500</v>
      </c>
      <c r="Y23" s="55"/>
      <c r="Z23" s="55"/>
      <c r="AA23" s="55"/>
      <c r="AB23" s="55"/>
    </row>
    <row r="25" customFormat="false" ht="18.75" hidden="false" customHeight="true" outlineLevel="0" collapsed="false">
      <c r="B25" s="3" t="s">
        <v>205</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5" hidden="false" customHeight="false" outlineLevel="0" collapsed="false">
      <c r="B26" s="17" t="s">
        <v>64</v>
      </c>
      <c r="C26" s="17"/>
      <c r="D26" s="17"/>
      <c r="E26" s="18" t="s">
        <v>206</v>
      </c>
      <c r="F26" s="18"/>
      <c r="G26" s="18"/>
      <c r="H26" s="18"/>
      <c r="I26" s="18"/>
      <c r="J26" s="18"/>
      <c r="K26" s="18"/>
      <c r="L26" s="18"/>
      <c r="M26" s="18"/>
      <c r="N26" s="18"/>
      <c r="O26" s="18"/>
      <c r="P26" s="18"/>
      <c r="Q26" s="18"/>
      <c r="R26" s="18"/>
      <c r="S26" s="18"/>
      <c r="T26" s="18"/>
      <c r="U26" s="18"/>
      <c r="V26" s="18"/>
      <c r="W26" s="18"/>
      <c r="X26" s="18"/>
      <c r="Y26" s="18"/>
      <c r="Z26" s="18"/>
      <c r="AA26" s="18"/>
      <c r="AB26" s="18"/>
      <c r="AC26" s="18"/>
      <c r="AD26" s="19" t="s">
        <v>66</v>
      </c>
      <c r="AE26" s="19"/>
      <c r="AF26" s="19"/>
    </row>
    <row r="27" customFormat="false" ht="15" hidden="false" customHeight="false" outlineLevel="0" collapsed="false">
      <c r="B27" s="20" t="s">
        <v>67</v>
      </c>
      <c r="C27" s="20"/>
      <c r="D27" s="20"/>
      <c r="E27" s="20" t="s">
        <v>68</v>
      </c>
      <c r="F27" s="20"/>
      <c r="G27" s="20"/>
      <c r="H27" s="20"/>
      <c r="I27" s="20"/>
      <c r="J27" s="20"/>
      <c r="K27" s="20"/>
      <c r="L27" s="21" t="s">
        <v>69</v>
      </c>
      <c r="M27" s="22" t="s">
        <v>70</v>
      </c>
      <c r="N27" s="22"/>
      <c r="O27" s="22"/>
      <c r="P27" s="22"/>
      <c r="Q27" s="23"/>
      <c r="R27" s="24" t="s">
        <v>67</v>
      </c>
      <c r="S27" s="24"/>
      <c r="T27" s="24"/>
      <c r="U27" s="20" t="s">
        <v>68</v>
      </c>
      <c r="V27" s="20"/>
      <c r="W27" s="20"/>
      <c r="X27" s="20"/>
      <c r="Y27" s="20"/>
      <c r="Z27" s="20"/>
      <c r="AA27" s="20"/>
      <c r="AB27" s="21" t="s">
        <v>69</v>
      </c>
      <c r="AC27" s="22" t="s">
        <v>70</v>
      </c>
      <c r="AD27" s="22"/>
      <c r="AE27" s="22"/>
      <c r="AF27" s="22"/>
    </row>
    <row r="28" customFormat="false" ht="16.5" hidden="false" customHeight="true" outlineLevel="0" collapsed="false">
      <c r="B28" s="25" t="s">
        <v>71</v>
      </c>
      <c r="C28" s="25"/>
      <c r="D28" s="25"/>
      <c r="M28" s="26" t="s">
        <v>72</v>
      </c>
      <c r="N28" s="26"/>
      <c r="O28" s="26"/>
      <c r="R28" s="27" t="s">
        <v>71</v>
      </c>
      <c r="S28" s="27"/>
      <c r="T28" s="27"/>
      <c r="AC28" s="26" t="s">
        <v>72</v>
      </c>
      <c r="AD28" s="26"/>
      <c r="AE28" s="26"/>
    </row>
    <row r="29" customFormat="false" ht="17.25" hidden="false" customHeight="true" outlineLevel="0" collapsed="false">
      <c r="B29" s="6"/>
      <c r="C29" s="6"/>
      <c r="D29" s="6"/>
      <c r="E29" s="28" t="s">
        <v>76</v>
      </c>
      <c r="F29" s="28"/>
      <c r="G29" s="28"/>
      <c r="H29" s="28"/>
      <c r="I29" s="28"/>
      <c r="J29" s="28"/>
      <c r="K29" s="28"/>
      <c r="L29" s="29" t="s">
        <v>77</v>
      </c>
      <c r="M29" s="55" t="n">
        <f aca="false">$X$9</f>
        <v>16500</v>
      </c>
      <c r="N29" s="55"/>
      <c r="O29" s="55"/>
      <c r="R29" s="30" t="s">
        <v>207</v>
      </c>
      <c r="S29" s="30"/>
      <c r="T29" s="30"/>
      <c r="U29" s="28" t="s">
        <v>157</v>
      </c>
      <c r="V29" s="28"/>
      <c r="W29" s="28"/>
      <c r="X29" s="28"/>
      <c r="Y29" s="28"/>
      <c r="Z29" s="28"/>
      <c r="AA29" s="28"/>
      <c r="AB29" s="29"/>
      <c r="AC29" s="55" t="n">
        <f aca="false">$X$8</f>
        <v>400</v>
      </c>
      <c r="AD29" s="55"/>
      <c r="AE29" s="55"/>
    </row>
    <row r="30" customFormat="false" ht="16.5" hidden="false" customHeight="true" outlineLevel="0" collapsed="false">
      <c r="B30" s="25" t="s">
        <v>83</v>
      </c>
      <c r="C30" s="25"/>
      <c r="D30" s="25"/>
      <c r="R30" s="27" t="s">
        <v>83</v>
      </c>
      <c r="S30" s="27"/>
      <c r="T30" s="27"/>
    </row>
    <row r="31" customFormat="false" ht="17.25" hidden="false" customHeight="true" outlineLevel="0" collapsed="false">
      <c r="B31" s="6" t="s">
        <v>208</v>
      </c>
      <c r="C31" s="6"/>
      <c r="D31" s="6"/>
      <c r="E31" s="28" t="s">
        <v>156</v>
      </c>
      <c r="F31" s="28"/>
      <c r="G31" s="28"/>
      <c r="H31" s="28"/>
      <c r="I31" s="28"/>
      <c r="J31" s="28"/>
      <c r="K31" s="28"/>
      <c r="L31" s="29"/>
      <c r="M31" s="55" t="n">
        <f aca="false">$X$10</f>
        <v>650</v>
      </c>
      <c r="N31" s="55"/>
      <c r="O31" s="55"/>
      <c r="R31" s="30" t="s">
        <v>208</v>
      </c>
      <c r="S31" s="30"/>
      <c r="T31" s="30"/>
      <c r="U31" s="28" t="s">
        <v>79</v>
      </c>
      <c r="V31" s="28"/>
      <c r="W31" s="28"/>
      <c r="X31" s="28"/>
      <c r="Y31" s="28"/>
      <c r="Z31" s="28"/>
      <c r="AA31" s="28"/>
      <c r="AB31" s="29" t="s">
        <v>80</v>
      </c>
      <c r="AC31" s="55" t="n">
        <f aca="false">$X$9-$X$8+$X$10</f>
        <v>16750</v>
      </c>
      <c r="AD31" s="55"/>
      <c r="AE31" s="55"/>
    </row>
    <row r="32" customFormat="false" ht="16.5" hidden="false" customHeight="true" outlineLevel="0" collapsed="false">
      <c r="M32" s="58" t="n">
        <f aca="false">SUM(M28:M31)</f>
        <v>17150</v>
      </c>
      <c r="N32" s="58"/>
      <c r="O32" s="58"/>
      <c r="R32" s="32"/>
      <c r="AC32" s="58" t="n">
        <f aca="false">SUM(AC28:AC31)</f>
        <v>17150</v>
      </c>
      <c r="AD32" s="58"/>
      <c r="AE32" s="58"/>
    </row>
    <row r="33" customFormat="false" ht="17.25" hidden="false" customHeight="true" outlineLevel="0" collapsed="false">
      <c r="R33" s="30" t="s">
        <v>207</v>
      </c>
      <c r="S33" s="30"/>
      <c r="T33" s="30"/>
      <c r="U33" s="28" t="s">
        <v>157</v>
      </c>
      <c r="V33" s="28"/>
      <c r="W33" s="28"/>
      <c r="X33" s="28"/>
      <c r="Y33" s="28"/>
      <c r="Z33" s="28"/>
      <c r="AA33" s="28"/>
      <c r="AB33" s="29"/>
      <c r="AC33" s="55" t="n">
        <f aca="false">$X$10</f>
        <v>650</v>
      </c>
      <c r="AD33" s="55"/>
      <c r="AE33" s="55"/>
    </row>
    <row r="35" customFormat="false" ht="18.75" hidden="false" customHeight="true" outlineLevel="0" collapsed="false">
      <c r="B35" s="3" t="s">
        <v>209</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7.25" hidden="false" customHeight="true" outlineLevel="0" collapsed="false">
      <c r="B36" s="36" t="s">
        <v>210</v>
      </c>
      <c r="C36" s="36"/>
      <c r="D36" s="36"/>
      <c r="E36" s="36"/>
      <c r="F36" s="36"/>
      <c r="G36" s="36"/>
      <c r="H36" s="36"/>
      <c r="I36" s="36"/>
      <c r="J36" s="36"/>
      <c r="K36" s="36"/>
      <c r="L36" s="36"/>
      <c r="M36" s="36"/>
      <c r="N36" s="36"/>
      <c r="O36" s="36"/>
      <c r="P36" s="36"/>
      <c r="Q36" s="36"/>
      <c r="R36" s="36"/>
      <c r="S36" s="36"/>
      <c r="T36" s="36"/>
      <c r="U36" s="36"/>
      <c r="V36" s="36"/>
      <c r="W36" s="36"/>
      <c r="X36" s="55" t="n">
        <f aca="false">$X$14+$X$17</f>
        <v>800</v>
      </c>
      <c r="Y36" s="55"/>
      <c r="Z36" s="55"/>
      <c r="AA36" s="55"/>
      <c r="AB36" s="55"/>
    </row>
    <row r="37" customFormat="false" ht="17.25" hidden="false" customHeight="true" outlineLevel="0" collapsed="false">
      <c r="B37" s="36" t="s">
        <v>211</v>
      </c>
      <c r="C37" s="36"/>
      <c r="D37" s="36"/>
      <c r="E37" s="36"/>
      <c r="F37" s="36"/>
      <c r="G37" s="36"/>
      <c r="H37" s="36"/>
      <c r="I37" s="36"/>
      <c r="J37" s="36"/>
      <c r="K37" s="36"/>
      <c r="L37" s="36"/>
      <c r="M37" s="36"/>
      <c r="N37" s="36"/>
      <c r="O37" s="36"/>
      <c r="P37" s="36"/>
      <c r="Q37" s="36"/>
      <c r="R37" s="36"/>
      <c r="S37" s="36"/>
      <c r="T37" s="36"/>
      <c r="U37" s="36"/>
      <c r="V37" s="36"/>
      <c r="W37" s="36"/>
      <c r="X37" s="55" t="n">
        <f aca="false">$X$10</f>
        <v>650</v>
      </c>
      <c r="Y37" s="55"/>
      <c r="Z37" s="55"/>
      <c r="AA37" s="55"/>
      <c r="AB37" s="55"/>
    </row>
  </sheetData>
  <mergeCells count="72">
    <mergeCell ref="B1:AF1"/>
    <mergeCell ref="B2:AF2"/>
    <mergeCell ref="B3:AF3"/>
    <mergeCell ref="B4:Q4"/>
    <mergeCell ref="R4:U4"/>
    <mergeCell ref="W4:AF4"/>
    <mergeCell ref="B6:W6"/>
    <mergeCell ref="X6:AC6"/>
    <mergeCell ref="B7:AC7"/>
    <mergeCell ref="B8:W8"/>
    <mergeCell ref="X8:AC8"/>
    <mergeCell ref="B9:W9"/>
    <mergeCell ref="X9:AC9"/>
    <mergeCell ref="B10:W10"/>
    <mergeCell ref="X10:AC10"/>
    <mergeCell ref="B11:AC11"/>
    <mergeCell ref="B12:W12"/>
    <mergeCell ref="X12:AC12"/>
    <mergeCell ref="B13:W13"/>
    <mergeCell ref="X13:AC13"/>
    <mergeCell ref="B14:W14"/>
    <mergeCell ref="X14:AC14"/>
    <mergeCell ref="B15:AC15"/>
    <mergeCell ref="B16:W16"/>
    <mergeCell ref="X16:AC16"/>
    <mergeCell ref="B17:W17"/>
    <mergeCell ref="X17:AC17"/>
    <mergeCell ref="B20:AF20"/>
    <mergeCell ref="B21:W21"/>
    <mergeCell ref="X21:AB21"/>
    <mergeCell ref="B22:W22"/>
    <mergeCell ref="X22:AB22"/>
    <mergeCell ref="B23:W23"/>
    <mergeCell ref="X23:AB23"/>
    <mergeCell ref="B25:AF25"/>
    <mergeCell ref="B26:D26"/>
    <mergeCell ref="E26:AC26"/>
    <mergeCell ref="AD26:AF26"/>
    <mergeCell ref="B27:D27"/>
    <mergeCell ref="E27:K27"/>
    <mergeCell ref="M27:P27"/>
    <mergeCell ref="R27:T27"/>
    <mergeCell ref="U27:AA27"/>
    <mergeCell ref="AC27:AF27"/>
    <mergeCell ref="B28:D28"/>
    <mergeCell ref="M28:O28"/>
    <mergeCell ref="R28:T28"/>
    <mergeCell ref="AC28:AE28"/>
    <mergeCell ref="B29:D29"/>
    <mergeCell ref="E29:K29"/>
    <mergeCell ref="M29:O29"/>
    <mergeCell ref="R29:T29"/>
    <mergeCell ref="U29:AA29"/>
    <mergeCell ref="AC29:AE29"/>
    <mergeCell ref="B30:D30"/>
    <mergeCell ref="R30:T30"/>
    <mergeCell ref="B31:D31"/>
    <mergeCell ref="E31:K31"/>
    <mergeCell ref="M31:O31"/>
    <mergeCell ref="R31:T31"/>
    <mergeCell ref="U31:AA31"/>
    <mergeCell ref="AC31:AE31"/>
    <mergeCell ref="M32:O32"/>
    <mergeCell ref="AC32:AE32"/>
    <mergeCell ref="R33:T33"/>
    <mergeCell ref="U33:AA33"/>
    <mergeCell ref="AC33:AE33"/>
    <mergeCell ref="B35:AF35"/>
    <mergeCell ref="B36:W36"/>
    <mergeCell ref="X36:AB36"/>
    <mergeCell ref="B37:W37"/>
    <mergeCell ref="X37:AB37"/>
  </mergeCells>
  <conditionalFormatting sqref="B1:AG3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2026-10-01T12:49:57Z</dcterms:created>
  <dc:creator>openpyxl</dc:creator>
  <dc:description/>
  <dc:language>en-US</dc:language>
  <cp:lastModifiedBy/>
  <dcterms:modified xsi:type="dcterms:W3CDTF">2026-10-01T12:49:58Z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