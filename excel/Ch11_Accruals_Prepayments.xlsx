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xpense Examples" sheetId="2" state="visible" r:id="rId4"/>
    <sheet name="Income Examples" sheetId="3" state="visible" r:id="rId5"/>
    <sheet name="Q11.8" sheetId="4" state="visible" r:id="rId6"/>
    <sheet name="Q11.9" sheetId="5" state="visible" r:id="rId7"/>
    <sheet name="Q11.10" sheetId="6" state="visible" r:id="rId8"/>
    <sheet name="Q11.11" sheetId="7" state="visible" r:id="rId9"/>
    <sheet name="Q11.12" sheetId="8" state="visible" r:id="rId10"/>
    <sheet name="Q11.8 Ans" sheetId="9" state="visible" r:id="rId11"/>
    <sheet name="Q11.9 Ans" sheetId="10" state="visible" r:id="rId12"/>
    <sheet name="Q11.10 Ans" sheetId="11" state="visible" r:id="rId13"/>
    <sheet name="Q11.11 Ans" sheetId="12" state="visible" r:id="rId14"/>
    <sheet name="Q11.12 Ans" sheetId="13" state="visible" r:id="rId15"/>
  </sheets>
  <definedNames>
    <definedName function="false" hidden="false" localSheetId="1" name="_xlnm.Print_Area" vbProcedure="false">'Expense Examples'!$A$1:$AG$39</definedName>
    <definedName function="false" hidden="false" localSheetId="2" name="_xlnm.Print_Area" vbProcedure="false">'Income Examples'!$A$1:$AG$29</definedName>
    <definedName function="false" hidden="false" localSheetId="5" name="_xlnm.Print_Area" vbProcedure="false">'Q11.10'!$A$1:$AG$41</definedName>
    <definedName function="false" hidden="false" localSheetId="10" name="_xlnm.Print_Area" vbProcedure="false">'Q11.10 Ans'!$A$1:$AG$41</definedName>
    <definedName function="false" hidden="false" localSheetId="6" name="_xlnm.Print_Area" vbProcedure="false">'Q11.11'!$A$1:$AG$36</definedName>
    <definedName function="false" hidden="false" localSheetId="11" name="_xlnm.Print_Area" vbProcedure="false">'Q11.11 Ans'!$A$1:$AG$36</definedName>
    <definedName function="false" hidden="false" localSheetId="7" name="_xlnm.Print_Area" vbProcedure="false">'Q11.12'!$A$1:$AG$56</definedName>
    <definedName function="false" hidden="false" localSheetId="12" name="_xlnm.Print_Area" vbProcedure="false">'Q11.12 Ans'!$A$1:$AG$56</definedName>
    <definedName function="false" hidden="false" localSheetId="3" name="_xlnm.Print_Area" vbProcedure="false">'Q11.8'!$A$1:$AG$28</definedName>
    <definedName function="false" hidden="false" localSheetId="8" name="_xlnm.Print_Area" vbProcedure="false">'Q11.8 Ans'!$A$1:$AG$28</definedName>
    <definedName function="false" hidden="false" localSheetId="4" name="_xlnm.Print_Area" vbProcedure="false">'Q11.9'!$A$1:$AG$43</definedName>
    <definedName function="false" hidden="false" localSheetId="9" name="_xlnm.Print_Area" vbProcedure="false">'Q11.9 Ans'!$A$1:$AG$43</definedName>
    <definedName function="false" hidden="false" localSheetId="0" name="_xlnm.Print_Area" vbProcedure="false">'Read Me'!$A$1:$AG$33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<sst xmlns="http://schemas.openxmlformats.org/spreadsheetml/2006/main" count="755" uniqueCount="243">
  <si>
    <t xml:space="preserve">Chapter 11: Accruals and Prepayments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</si>
  <si>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</si>
  <si>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</si>
  <si>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</si>
  <si>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order, Level 1 to Level 5.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</si>
  <si>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</si>
  <si>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</si>
  <si>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</si>
  <si>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</si>
  <si>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</si>
  <si>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</si>
  <si>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</si>
  <si>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</si>
  <si>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</si>
  <si>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</si>
  <si>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(RM) | Credit (RM).</t>
  </si>
  <si>
    <t xml:space="preserve">Ledger account: Dr side and Cr side, each with Date | Particulars | Folio | Amount (RM).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</si>
  <si>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</si>
  <si>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</si>
  <si>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</si>
  <si>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</si>
  <si>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</si>
  <si>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Expense Examples</t>
  </si>
  <si>
    <t xml:space="preserve">Worked example (orange tab)</t>
  </si>
  <si>
    <t xml:space="preserve">Income Examples</t>
  </si>
  <si>
    <t xml:space="preserve">Q11.8</t>
  </si>
  <si>
    <t xml:space="preserve">Structured question, Level 1: Easy (blue tab). Answers: Q11.8 Ans (green tab).</t>
  </si>
  <si>
    <t xml:space="preserve">Q11.9</t>
  </si>
  <si>
    <t xml:space="preserve">Structured question, Level 2: Easy to medium (blue tab). Answers: Q11.9 Ans (green tab).</t>
  </si>
  <si>
    <t xml:space="preserve">Q11.10</t>
  </si>
  <si>
    <t xml:space="preserve">Structured question, Level 3: Medium (blue tab). Answers: Q11.10 Ans (green tab).</t>
  </si>
  <si>
    <t xml:space="preserve">Q11.11</t>
  </si>
  <si>
    <t xml:space="preserve">Structured question, Level 4: Hard (blue tab). Answers: Q11.11 Ans (green tab).</t>
  </si>
  <si>
    <t xml:space="preserve">Q11.12</t>
  </si>
  <si>
    <t xml:space="preserve">Structured question, Level 5: Challenge (blue tab). Answers: Q11.12 Ans (green tab).</t>
  </si>
  <si>
    <t xml:space="preserve">Worked example. Change any blue figure and every answer below updates.</t>
  </si>
  <si>
    <t xml:space="preserve">Black figures are formulas. Do not type over them.</t>
  </si>
  <si>
    <t xml:space="preserve">Worked examples 11.1 to 11.3. Expense = paid - opening accrual + opening prepayment + closing accrual - closing prepayment.</t>
  </si>
  <si>
    <t xml:space="preserve">Expense</t>
  </si>
  <si>
    <t xml:space="preserve">Paid in year</t>
  </si>
  <si>
    <t xml:space="preserve">Opening accrual (owing)</t>
  </si>
  <si>
    <t xml:space="preserve">Opening prepayment</t>
  </si>
  <si>
    <t xml:space="preserve">Closing accrual (owing)</t>
  </si>
  <si>
    <t xml:space="preserve">Closing prepayment</t>
  </si>
  <si>
    <t xml:space="preserve">Expense for the SPL</t>
  </si>
  <si>
    <t xml:space="preserve">SOFP: other payables</t>
  </si>
  <si>
    <t xml:space="preserve">SOFP: other receivables</t>
  </si>
  <si>
    <t xml:space="preserve">Rent</t>
  </si>
  <si>
    <t xml:space="preserve">Insurance</t>
  </si>
  <si>
    <t xml:space="preserve">Electricity</t>
  </si>
  <si>
    <t xml:space="preserve">All amounts in RM. Accrued expense: ADD, current liability. Prepaid expense: SUBTRACT, current asset.</t>
  </si>
  <si>
    <t xml:space="preserve">Example 11.1: Rent account (RM1,000 per month; RM11,000 paid)</t>
  </si>
  <si>
    <t xml:space="preserve">Dr</t>
  </si>
  <si>
    <t xml:space="preserve">Rent Account</t>
  </si>
  <si>
    <t xml:space="preserve">Cr</t>
  </si>
  <si>
    <t xml:space="preserve">Date</t>
  </si>
  <si>
    <t xml:space="preserve">Particulars</t>
  </si>
  <si>
    <t xml:space="preserve">Folio</t>
  </si>
  <si>
    <t xml:space="preserve">Amount (RM)</t>
  </si>
  <si>
    <t xml:space="preserve">2025 Jan 1</t>
  </si>
  <si>
    <t xml:space="preserve">Balance b/d (prepaid)</t>
  </si>
  <si>
    <t xml:space="preserve">Balance b/d (owing)</t>
  </si>
  <si>
    <t xml:space="preserve">2025</t>
  </si>
  <si>
    <t xml:space="preserve">Bank</t>
  </si>
  <si>
    <t xml:space="preserve">CB1</t>
  </si>
  <si>
    <t xml:space="preserve">Dec 31</t>
  </si>
  <si>
    <t xml:space="preserve">Income statement</t>
  </si>
  <si>
    <t xml:space="preserve">GJ1</t>
  </si>
  <si>
    <t xml:space="preserve">Balance c/d (owing)</t>
  </si>
  <si>
    <t xml:space="preserve">Balance c/d (prepaid)</t>
  </si>
  <si>
    <t xml:space="preserve">2026 Jan 1</t>
  </si>
  <si>
    <t xml:space="preserve">Example 11.2: Insurance account (RM3,600 paid on 1 April for 12 months)</t>
  </si>
  <si>
    <t xml:space="preserve">Insurance Account</t>
  </si>
  <si>
    <t xml:space="preserve">Example 11.3: Electricity account (opening and closing balances)</t>
  </si>
  <si>
    <t xml:space="preserve">Electricity Account</t>
  </si>
  <si>
    <t xml:space="preserve">A dash means there is no amount for that line in this example.</t>
  </si>
  <si>
    <t xml:space="preserve">Worked examples 11.4 and 11.5. Income = received - opening accrued income + opening income in advance + closing accrued income - closing income in advance.</t>
  </si>
  <si>
    <t xml:space="preserve">Income</t>
  </si>
  <si>
    <t xml:space="preserve">Received in year</t>
  </si>
  <si>
    <t xml:space="preserve">Opening accrued income (due)</t>
  </si>
  <si>
    <t xml:space="preserve">Opening income in advance</t>
  </si>
  <si>
    <t xml:space="preserve">Closing accrued income (due)</t>
  </si>
  <si>
    <t xml:space="preserve">Closing income in advance</t>
  </si>
  <si>
    <t xml:space="preserve">Income for the SPL</t>
  </si>
  <si>
    <t xml:space="preserve">Rent received</t>
  </si>
  <si>
    <t xml:space="preserve">Commission received</t>
  </si>
  <si>
    <t xml:space="preserve">All amounts in RM. Accrued income: ADD, current asset. Income in advance: SUBTRACT, current liability.</t>
  </si>
  <si>
    <t xml:space="preserve">Example 11.4: Rent received account</t>
  </si>
  <si>
    <t xml:space="preserve">Rent Received Account</t>
  </si>
  <si>
    <t xml:space="preserve">Balance b/d (due)</t>
  </si>
  <si>
    <t xml:space="preserve">Balance b/d (in advance)</t>
  </si>
  <si>
    <t xml:space="preserve">Balance c/d (in advance)</t>
  </si>
  <si>
    <t xml:space="preserve">Balance c/d (due)</t>
  </si>
  <si>
    <t xml:space="preserve">Splitting a payment by months (example 11.2)</t>
  </si>
  <si>
    <t xml:space="preserve">Inputs</t>
  </si>
  <si>
    <t xml:space="preserve">Figure</t>
  </si>
  <si>
    <t xml:space="preserve">Amount paid (RM)</t>
  </si>
  <si>
    <t xml:space="preserve">Months the payment covers</t>
  </si>
  <si>
    <t xml:space="preserve">Months falling in this financial year</t>
  </si>
  <si>
    <t xml:space="preserve">Cost per month (RM)</t>
  </si>
  <si>
    <t xml:space="preserve">Expense for this year (RM)</t>
  </si>
  <si>
    <t xml:space="preserve">Prepayment carried to next year (RM)</t>
  </si>
  <si>
    <t xml:space="preserve">Question 11.8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</si>
  <si>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</si>
  <si>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</si>
  <si>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A business's year ends on 31 December 2025.</t>
  </si>
  <si>
    <t xml:space="preserve">•  Rent is RM800 per month. During the year the business paid RM8,800 rent.</t>
  </si>
  <si>
    <t xml:space="preserve">•  Insurance of RM1,800 was paid during the year. Of this, RM300 is for 2026.</t>
  </si>
  <si>
    <t xml:space="preserve">Figures from the question</t>
  </si>
  <si>
    <t xml:space="preserve">Rent per month (RM)</t>
  </si>
  <si>
    <t xml:space="preserve">Rent paid during the year (RM)</t>
  </si>
  <si>
    <t xml:space="preserve">Insurance paid during the year (RM)</t>
  </si>
  <si>
    <t xml:space="preserve">Insurance for 2026 (RM)</t>
  </si>
  <si>
    <t xml:space="preserve">a) Calculate the rent expense for the year and the amount of rent owing. (2)</t>
  </si>
  <si>
    <t xml:space="preserve">Rent expense for the year (RM)</t>
  </si>
  <si>
    <t xml:space="preserve">Rent owing at 31 December 2025 (RM)</t>
  </si>
  <si>
    <t xml:space="preserve">b) Calculate the insurance expense for the year. (1)</t>
  </si>
  <si>
    <t xml:space="preserve">Insurance expense for the year (RM)</t>
  </si>
  <si>
    <t xml:space="preserve">c) State where the rent owing and the insurance prepaid appear in the Statement of Financial Position. (2)</t>
  </si>
  <si>
    <t xml:space="preserve">Rent owing</t>
  </si>
  <si>
    <t xml:space="preserve">Insurance prepaid</t>
  </si>
  <si>
    <t xml:space="preserve">d) Name the concept which requires these adjustments. (1)</t>
  </si>
  <si>
    <t xml:space="preserve">Concept</t>
  </si>
  <si>
    <t xml:space="preserve">Question 11.9 (Level 2: Easy to medium)</t>
  </si>
  <si>
    <t xml:space="preserve">•  Electricity paid: March RM600, June RM550, September RM500. The bill for October to December, RM580, was paid in January 2026.</t>
  </si>
  <si>
    <t xml:space="preserve">•  On 1 July 2025 the business paid RM2,400 insurance for 12 months.</t>
  </si>
  <si>
    <t xml:space="preserve">Electricity paid in March (RM)</t>
  </si>
  <si>
    <t xml:space="preserve">Electricity paid in June (RM)</t>
  </si>
  <si>
    <t xml:space="preserve">Electricity paid in September (RM)</t>
  </si>
  <si>
    <t xml:space="preserve">Electricity owing at year end (RM)</t>
  </si>
  <si>
    <t xml:space="preserve">Insurance paid on 1 July 2025 for 12 months (RM)</t>
  </si>
  <si>
    <t xml:space="preserve">Months of insurance used in 2025</t>
  </si>
  <si>
    <t xml:space="preserve">a) Prepare the Electricity account for the year. Show the balance carried down and brought down. (4)</t>
  </si>
  <si>
    <t xml:space="preserve">2025 Mar</t>
  </si>
  <si>
    <t xml:space="preserve">2025 Dec 31</t>
  </si>
  <si>
    <t xml:space="preserve">Jun</t>
  </si>
  <si>
    <t xml:space="preserve">Sep</t>
  </si>
  <si>
    <t xml:space="preserve">Balance c/d</t>
  </si>
  <si>
    <t xml:space="preserve">Balance b/d</t>
  </si>
  <si>
    <t xml:space="preserve">b) Prepare the Insurance account for the year. Show the balance carried down and brought down. (4)</t>
  </si>
  <si>
    <t xml:space="preserve">2025 Jul 1</t>
  </si>
  <si>
    <t xml:space="preserve">c) Show the amounts in the Statement of Financial Position at 31 December 2025. (2)</t>
  </si>
  <si>
    <t xml:space="preserve">Statement of Financial Position (extract) at 31 December 2025</t>
  </si>
  <si>
    <t xml:space="preserve">RM</t>
  </si>
  <si>
    <t xml:space="preserve">Cost</t>
  </si>
  <si>
    <t xml:space="preserve">Accumulated Depreciation</t>
  </si>
  <si>
    <t xml:space="preserve">Carrying Amount</t>
  </si>
  <si>
    <t xml:space="preserve">Current assets</t>
  </si>
  <si>
    <t xml:space="preserve">Other receivables (insurance prepaid)</t>
  </si>
  <si>
    <t xml:space="preserve">Less:</t>
  </si>
  <si>
    <t xml:space="preserve">Current liabilities</t>
  </si>
  <si>
    <t xml:space="preserve">Other payables (electricity owing)</t>
  </si>
  <si>
    <t xml:space="preserve">Question 11.10 (Level 3: Medium)</t>
  </si>
  <si>
    <t xml:space="preserve">Sam lets part of his premises for RM600 per month. His year ends on 31 December 2025.</t>
  </si>
  <si>
    <t xml:space="preserve">•  Rent received during 2025 was RM7,800. This includes the rent for January 2026.</t>
  </si>
  <si>
    <t xml:space="preserve">•  Commission received during 2025 was RM2,100. A further RM350 of commission for 2025 is still due.</t>
  </si>
  <si>
    <t xml:space="preserve">Rent received during 2025 (RM)</t>
  </si>
  <si>
    <t xml:space="preserve">Commission received during 2025 (RM)</t>
  </si>
  <si>
    <t xml:space="preserve">Commission still due (RM)</t>
  </si>
  <si>
    <t xml:space="preserve">a) Calculate the rent income for 2025 and the amount received in advance. (2)</t>
  </si>
  <si>
    <t xml:space="preserve">Rent income for 2025 (RM)</t>
  </si>
  <si>
    <t xml:space="preserve">Rent received in advance (RM)</t>
  </si>
  <si>
    <t xml:space="preserve">b) Prepare the Rent receivable account for the year. (4)</t>
  </si>
  <si>
    <t xml:space="preserve">Rent Receivable Account</t>
  </si>
  <si>
    <t xml:space="preserve">c) Calculate the commission income for 2025. (1)</t>
  </si>
  <si>
    <t xml:space="preserve">Commission income for 2025 (RM)</t>
  </si>
  <si>
    <t xml:space="preserve">d) Show the other receivables and other payables in the Statement of Financial Position. (2)</t>
  </si>
  <si>
    <t xml:space="preserve">Other receivables (commission due)</t>
  </si>
  <si>
    <t xml:space="preserve">Other payables (rent received in advance)</t>
  </si>
  <si>
    <t xml:space="preserve">e) State the effect on profit if Sam forgot to adjust for the rent received in advance. (1)</t>
  </si>
  <si>
    <t xml:space="preserve">Profit would be overstated by (RM)</t>
  </si>
  <si>
    <t xml:space="preserve">Question 11.11 (Level 4: Hard)</t>
  </si>
  <si>
    <t xml:space="preserve">Zara's year ends on 31 March 2026. The following information is available.</t>
  </si>
  <si>
    <t xml:space="preserve">Wages</t>
  </si>
  <si>
    <t xml:space="preserve">Owing at 1 April 2025 (RM)</t>
  </si>
  <si>
    <t xml:space="preserve">Paid during the year (RM)</t>
  </si>
  <si>
    <t xml:space="preserve">Owing at 31 March 2026 (RM)</t>
  </si>
  <si>
    <t xml:space="preserve">Rates</t>
  </si>
  <si>
    <t xml:space="preserve">Prepaid at 1 April 2025 (RM)</t>
  </si>
  <si>
    <t xml:space="preserve">Prepaid at 31 March 2026 (RM)</t>
  </si>
  <si>
    <t xml:space="preserve">Commission receivable</t>
  </si>
  <si>
    <t xml:space="preserve">Received during the year (RM)</t>
  </si>
  <si>
    <t xml:space="preserve">Still due at 31 March 2026 (RM)</t>
  </si>
  <si>
    <t xml:space="preserve">a) Calculate the amount for the Statement of Profit or Loss for wages, rates and commission receivable. (3)</t>
  </si>
  <si>
    <t xml:space="preserve">Wages expense (RM)</t>
  </si>
  <si>
    <t xml:space="preserve">Rates expense (RM)</t>
  </si>
  <si>
    <t xml:space="preserve">Commission receivable income (RM)</t>
  </si>
  <si>
    <t xml:space="preserve">b) Prepare the Wages account for the year, showing the balance carried down. (5)</t>
  </si>
  <si>
    <t xml:space="preserve">Wages Account</t>
  </si>
  <si>
    <t xml:space="preserve">2025-26</t>
  </si>
  <si>
    <t xml:space="preserve">2025 Apr 1</t>
  </si>
  <si>
    <t xml:space="preserve">2026 Mar 31</t>
  </si>
  <si>
    <t xml:space="preserve">2026 Apr 1</t>
  </si>
  <si>
    <t xml:space="preserve">c) Calculate the total of other receivables and other payables in the Statement of Financial Position at 31 March 2026. (2)</t>
  </si>
  <si>
    <t xml:space="preserve">Other receivables: rates prepaid + commission due (RM)</t>
  </si>
  <si>
    <t xml:space="preserve">Other payables: wages owing (RM)</t>
  </si>
  <si>
    <t xml:space="preserve">Question 11.12 (Level 5: Challenge)</t>
  </si>
  <si>
    <t xml:space="preserve">Tariq calculated a draft profit of RM32,000 for the year ended 31 December 2025. He used only the cash paid and received. No adjustments have been made.</t>
  </si>
  <si>
    <t xml:space="preserve">•  Insurance: RM750 was prepaid at 1 January 2025 (covering January to March 2025). On 1 April 2025 he paid RM3,600 for the year to 31 March 2026.</t>
  </si>
  <si>
    <t xml:space="preserve">•  Rent: RM1,000 per month until 30 June 2025, then RM1,200 per month from 1 July 2025. He paid RM13,000 during the year. Nothing was owing or prepaid at 1 January 2025.</t>
  </si>
  <si>
    <t xml:space="preserve">•  Wages: RM21,000 was paid during 2025. This includes RM400 owing at 1 January 2025. RM650 is owing at 31 December 2025.</t>
  </si>
  <si>
    <t xml:space="preserve">•  Rent received: RM4,500 was received in 2025. This includes RM300 owing from 2024 and RM500 for January 2026.</t>
  </si>
  <si>
    <t xml:space="preserve">•  Stationery: unused stationery at 31 December 2025 cost RM120.</t>
  </si>
  <si>
    <t xml:space="preserve">Draft profit (RM)</t>
  </si>
  <si>
    <t xml:space="preserve">Insurance prepaid at 1 January 2025 (RM)</t>
  </si>
  <si>
    <t xml:space="preserve">Insurance paid on 1 April 2025 for 12 months (RM)</t>
  </si>
  <si>
    <t xml:space="preserve">Months of that policy used in 2025</t>
  </si>
  <si>
    <t xml:space="preserve">Rent per month, January to June (RM)</t>
  </si>
  <si>
    <t xml:space="preserve">Rent per month, July to December (RM)</t>
  </si>
  <si>
    <t xml:space="preserve">Rent paid during 2025 (RM)</t>
  </si>
  <si>
    <t xml:space="preserve">Wages paid during 2025 (RM)</t>
  </si>
  <si>
    <t xml:space="preserve">Wages owing at 1 January 2025 (RM)</t>
  </si>
  <si>
    <t xml:space="preserve">Wages owing at 31 December 2025 (RM)</t>
  </si>
  <si>
    <t xml:space="preserve">Rent received in 2025 (RM)</t>
  </si>
  <si>
    <t xml:space="preserve">Of which: owing from 2024 (RM)</t>
  </si>
  <si>
    <t xml:space="preserve">Of which: for January 2026 (RM)</t>
  </si>
  <si>
    <t xml:space="preserve">Unused stationery (RM)</t>
  </si>
  <si>
    <t xml:space="preserve">a) Calculate the correct amount for the Statement of Profit or Loss for insurance, rent, wages and rent received. (5)</t>
  </si>
  <si>
    <t xml:space="preserve">Insurance expense (RM)</t>
  </si>
  <si>
    <t xml:space="preserve">Rent expense (RM)</t>
  </si>
  <si>
    <t xml:space="preserve">Rent received: income for 2025 (RM)</t>
  </si>
  <si>
    <t xml:space="preserve">b) Calculate the corrected profit for the year. Show each adjustment. (5)</t>
  </si>
  <si>
    <t xml:space="preserve">Tariq: calculation of corrected profit for the year ended 31 December 2025</t>
  </si>
  <si>
    <t xml:space="preserve">Draft profit</t>
  </si>
  <si>
    <t xml:space="preserve">Add:</t>
  </si>
  <si>
    <t xml:space="preserve">Insurance: cash paid less expense</t>
  </si>
  <si>
    <t xml:space="preserve">Rent: expense less cash paid</t>
  </si>
  <si>
    <t xml:space="preserve">Wages: expense less cash paid</t>
  </si>
  <si>
    <t xml:space="preserve">Rent received: cash less income</t>
  </si>
  <si>
    <t xml:space="preserve">Unused stationery</t>
  </si>
  <si>
    <t xml:space="preserve">Corrected profit</t>
  </si>
  <si>
    <t xml:space="preserve">c) Calculate other receivables and other payables for the Statement of Financial Position. (4)</t>
  </si>
  <si>
    <t xml:space="preserve">Other receivables: insurance prepaid + unused stationery (RM)</t>
  </si>
  <si>
    <t xml:space="preserve">Other payables: rent owing + wages owing + rent received in advance (RM)</t>
  </si>
  <si>
    <t xml:space="preserve">d) Prepare the Insurance account for the year. (4)</t>
  </si>
  <si>
    <t xml:space="preserve">Apr 1</t>
  </si>
  <si>
    <t xml:space="preserve">Question 11.8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</si>
  <si>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</si>
  <si>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</si>
  <si>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Question 11.9 (Level 2: Easy to medium): Answers</t>
  </si>
  <si>
    <t xml:space="preserve">Question 11.10 (Level 3: Medium): Answers</t>
  </si>
  <si>
    <t xml:space="preserve">Question 11.11 (Level 4: Hard): Answers</t>
  </si>
  <si>
    <t xml:space="preserve">Question 11.12 (Level 5: Challenge): Answers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</si>
</sst>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"/>
    <numFmt numFmtId="167" formatCode="#,##0.00;\(#,##0.0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2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2" customFormat="false" ht="18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5" t="n">
        <v>1000</v>
      </c>
      <c r="C13" s="5"/>
      <c r="D13" s="5"/>
      <c r="E13" s="5"/>
      <c r="F13" s="5"/>
      <c r="H13" s="6" t="s">
        <v>10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B14" s="7" t="n">
        <v>1000</v>
      </c>
      <c r="C14" s="7"/>
      <c r="D14" s="7"/>
      <c r="E14" s="7"/>
      <c r="F14" s="7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8"/>
      <c r="C15" s="8"/>
      <c r="D15" s="8"/>
      <c r="E15" s="8"/>
      <c r="F15" s="8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9" t="n">
        <v>1000</v>
      </c>
      <c r="C16" s="9"/>
      <c r="D16" s="9"/>
      <c r="E16" s="9"/>
      <c r="F16" s="9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8" customFormat="false" ht="18.75" hidden="false" customHeight="true" outlineLevel="0" collapsed="false">
      <c r="B18" s="3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6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customFormat="false" ht="16.5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16.5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4" customFormat="false" ht="18.75" hidden="false" customHeight="true" outlineLevel="0" collapsed="false">
      <c r="B24" s="3" t="s">
        <v>19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customFormat="false" ht="17.25" hidden="false" customHeight="true" outlineLevel="0" collapsed="false">
      <c r="B25" s="10" t="s">
        <v>20</v>
      </c>
      <c r="C25" s="10"/>
      <c r="D25" s="10"/>
      <c r="E25" s="10"/>
      <c r="F25" s="10"/>
      <c r="G25" s="10"/>
      <c r="H25" s="10"/>
      <c r="I25" s="11" t="s">
        <v>21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customFormat="false" ht="17.25" hidden="false" customHeight="true" outlineLevel="0" collapsed="false">
      <c r="B26" s="12" t="s">
        <v>22</v>
      </c>
      <c r="C26" s="12"/>
      <c r="D26" s="12"/>
      <c r="E26" s="12"/>
      <c r="F26" s="12"/>
      <c r="G26" s="12"/>
      <c r="H26" s="12"/>
      <c r="I26" s="13" t="s">
        <v>23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customFormat="false" ht="17.25" hidden="false" customHeight="true" outlineLevel="0" collapsed="false">
      <c r="B27" s="12" t="s">
        <v>24</v>
      </c>
      <c r="C27" s="12"/>
      <c r="D27" s="12"/>
      <c r="E27" s="12"/>
      <c r="F27" s="12"/>
      <c r="G27" s="12"/>
      <c r="H27" s="12"/>
      <c r="I27" s="13" t="s">
        <v>23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26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27</v>
      </c>
      <c r="C29" s="12"/>
      <c r="D29" s="12"/>
      <c r="E29" s="12"/>
      <c r="F29" s="12"/>
      <c r="G29" s="12"/>
      <c r="H29" s="12"/>
      <c r="I29" s="13" t="s">
        <v>28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29</v>
      </c>
      <c r="C30" s="12"/>
      <c r="D30" s="12"/>
      <c r="E30" s="12"/>
      <c r="F30" s="12"/>
      <c r="G30" s="12"/>
      <c r="H30" s="12"/>
      <c r="I30" s="13" t="s">
        <v>30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31</v>
      </c>
      <c r="C31" s="12"/>
      <c r="D31" s="12"/>
      <c r="E31" s="12"/>
      <c r="F31" s="12"/>
      <c r="G31" s="12"/>
      <c r="H31" s="12"/>
      <c r="I31" s="13" t="s">
        <v>32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33</v>
      </c>
      <c r="C32" s="12"/>
      <c r="D32" s="12"/>
      <c r="E32" s="12"/>
      <c r="F32" s="12"/>
      <c r="G32" s="12"/>
      <c r="H32" s="12"/>
      <c r="I32" s="13" t="s">
        <v>34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</sheetData>
  <mergeCells count="40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2:AF12"/>
    <mergeCell ref="B13:F13"/>
    <mergeCell ref="H13:AF13"/>
    <mergeCell ref="B14:F14"/>
    <mergeCell ref="H14:AF14"/>
    <mergeCell ref="B15:F15"/>
    <mergeCell ref="H15:AF15"/>
    <mergeCell ref="B16:F16"/>
    <mergeCell ref="H16:AF16"/>
    <mergeCell ref="B18:AF18"/>
    <mergeCell ref="B19:AF19"/>
    <mergeCell ref="B20:AF20"/>
    <mergeCell ref="B21:AF21"/>
    <mergeCell ref="B22:AF22"/>
    <mergeCell ref="B24:AF24"/>
    <mergeCell ref="B25:H25"/>
    <mergeCell ref="I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</mergeCells>
  <conditionalFormatting sqref="B1:AG3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37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30.75" hidden="false" customHeight="true" outlineLevel="0" collapsed="false">
      <c r="B6" s="10" t="s">
        <v>38</v>
      </c>
      <c r="C6" s="10"/>
      <c r="D6" s="10"/>
      <c r="E6" s="10"/>
      <c r="F6" s="10"/>
      <c r="G6" s="10"/>
      <c r="H6" s="10"/>
      <c r="I6" s="11" t="s">
        <v>39</v>
      </c>
      <c r="J6" s="11"/>
      <c r="K6" s="11"/>
      <c r="L6" s="11" t="s">
        <v>40</v>
      </c>
      <c r="M6" s="11"/>
      <c r="N6" s="11"/>
      <c r="O6" s="11" t="s">
        <v>41</v>
      </c>
      <c r="P6" s="11"/>
      <c r="Q6" s="11"/>
      <c r="R6" s="11" t="s">
        <v>42</v>
      </c>
      <c r="S6" s="11"/>
      <c r="T6" s="11"/>
      <c r="U6" s="11" t="s">
        <v>43</v>
      </c>
      <c r="V6" s="11"/>
      <c r="W6" s="11"/>
      <c r="X6" s="11" t="s">
        <v>44</v>
      </c>
      <c r="Y6" s="11"/>
      <c r="Z6" s="11"/>
      <c r="AA6" s="11" t="s">
        <v>45</v>
      </c>
      <c r="AB6" s="11"/>
      <c r="AC6" s="11"/>
      <c r="AD6" s="11" t="s">
        <v>46</v>
      </c>
      <c r="AE6" s="11"/>
      <c r="AF6" s="11"/>
    </row>
    <row r="7" customFormat="false" ht="17.25" hidden="false" customHeight="true" outlineLevel="0" collapsed="false">
      <c r="B7" s="12" t="s">
        <v>47</v>
      </c>
      <c r="C7" s="12"/>
      <c r="D7" s="12"/>
      <c r="E7" s="12"/>
      <c r="F7" s="12"/>
      <c r="G7" s="12"/>
      <c r="H7" s="12"/>
      <c r="I7" s="15" t="n">
        <v>11000</v>
      </c>
      <c r="J7" s="15"/>
      <c r="K7" s="15"/>
      <c r="L7" s="15" t="n">
        <v>0</v>
      </c>
      <c r="M7" s="15"/>
      <c r="N7" s="15"/>
      <c r="O7" s="15" t="n">
        <v>0</v>
      </c>
      <c r="P7" s="15"/>
      <c r="Q7" s="15"/>
      <c r="R7" s="15" t="n">
        <v>1000</v>
      </c>
      <c r="S7" s="15"/>
      <c r="T7" s="15"/>
      <c r="U7" s="15" t="n">
        <v>0</v>
      </c>
      <c r="V7" s="15"/>
      <c r="W7" s="15"/>
      <c r="X7" s="16" t="n">
        <f aca="false">$I$7-$L$7+$O$7+$R$7-$U$7</f>
        <v>12000</v>
      </c>
      <c r="Y7" s="16"/>
      <c r="Z7" s="16"/>
      <c r="AA7" s="16" t="n">
        <f aca="false">$R$7</f>
        <v>1000</v>
      </c>
      <c r="AB7" s="16"/>
      <c r="AC7" s="16"/>
      <c r="AD7" s="16" t="n">
        <f aca="false">$U$7</f>
        <v>0</v>
      </c>
      <c r="AE7" s="16"/>
      <c r="AF7" s="16"/>
    </row>
    <row r="8" customFormat="false" ht="17.25" hidden="false" customHeight="true" outlineLevel="0" collapsed="false">
      <c r="B8" s="12" t="s">
        <v>48</v>
      </c>
      <c r="C8" s="12"/>
      <c r="D8" s="12"/>
      <c r="E8" s="12"/>
      <c r="F8" s="12"/>
      <c r="G8" s="12"/>
      <c r="H8" s="12"/>
      <c r="I8" s="15" t="n">
        <v>3600</v>
      </c>
      <c r="J8" s="15"/>
      <c r="K8" s="15"/>
      <c r="L8" s="15" t="n">
        <v>0</v>
      </c>
      <c r="M8" s="15"/>
      <c r="N8" s="15"/>
      <c r="O8" s="15" t="n">
        <v>0</v>
      </c>
      <c r="P8" s="15"/>
      <c r="Q8" s="15"/>
      <c r="R8" s="15" t="n">
        <v>0</v>
      </c>
      <c r="S8" s="15"/>
      <c r="T8" s="15"/>
      <c r="U8" s="15" t="n">
        <v>900</v>
      </c>
      <c r="V8" s="15"/>
      <c r="W8" s="15"/>
      <c r="X8" s="16" t="n">
        <f aca="false">$I$8-$L$8+$O$8+$R$8-$U$8</f>
        <v>2700</v>
      </c>
      <c r="Y8" s="16"/>
      <c r="Z8" s="16"/>
      <c r="AA8" s="16" t="n">
        <f aca="false">$R$8</f>
        <v>0</v>
      </c>
      <c r="AB8" s="16"/>
      <c r="AC8" s="16"/>
      <c r="AD8" s="16" t="n">
        <f aca="false">$U$8</f>
        <v>900</v>
      </c>
      <c r="AE8" s="16"/>
      <c r="AF8" s="16"/>
    </row>
    <row r="9" customFormat="false" ht="17.25" hidden="false" customHeight="true" outlineLevel="0" collapsed="false">
      <c r="B9" s="12" t="s">
        <v>49</v>
      </c>
      <c r="C9" s="12"/>
      <c r="D9" s="12"/>
      <c r="E9" s="12"/>
      <c r="F9" s="12"/>
      <c r="G9" s="12"/>
      <c r="H9" s="12"/>
      <c r="I9" s="15" t="n">
        <v>2500</v>
      </c>
      <c r="J9" s="15"/>
      <c r="K9" s="15"/>
      <c r="L9" s="15" t="n">
        <v>200</v>
      </c>
      <c r="M9" s="15"/>
      <c r="N9" s="15"/>
      <c r="O9" s="15" t="n">
        <v>0</v>
      </c>
      <c r="P9" s="15"/>
      <c r="Q9" s="15"/>
      <c r="R9" s="15" t="n">
        <v>300</v>
      </c>
      <c r="S9" s="15"/>
      <c r="T9" s="15"/>
      <c r="U9" s="15" t="n">
        <v>0</v>
      </c>
      <c r="V9" s="15"/>
      <c r="W9" s="15"/>
      <c r="X9" s="16" t="n">
        <f aca="false">$I$9-$L$9+$O$9+$R$9-$U$9</f>
        <v>2600</v>
      </c>
      <c r="Y9" s="16"/>
      <c r="Z9" s="16"/>
      <c r="AA9" s="16" t="n">
        <f aca="false">$R$9</f>
        <v>300</v>
      </c>
      <c r="AB9" s="16"/>
      <c r="AC9" s="16"/>
      <c r="AD9" s="16" t="n">
        <f aca="false">$U$9</f>
        <v>0</v>
      </c>
      <c r="AE9" s="16"/>
      <c r="AF9" s="16"/>
    </row>
    <row r="10" customFormat="false" ht="16.5" hidden="false" customHeight="true" outlineLevel="0" collapsed="false">
      <c r="B10" s="2" t="s">
        <v>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2" customFormat="false" ht="18.75" hidden="false" customHeight="true" outlineLevel="0" collapsed="false">
      <c r="B12" s="3" t="s">
        <v>51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17" t="s">
        <v>52</v>
      </c>
      <c r="C13" s="17"/>
      <c r="D13" s="17"/>
      <c r="E13" s="18" t="s">
        <v>53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9" t="s">
        <v>54</v>
      </c>
      <c r="AE13" s="19"/>
      <c r="AF13" s="19"/>
    </row>
    <row r="14" customFormat="false" ht="15" hidden="false" customHeight="false" outlineLevel="0" collapsed="false">
      <c r="B14" s="20" t="s">
        <v>55</v>
      </c>
      <c r="C14" s="20"/>
      <c r="D14" s="20"/>
      <c r="E14" s="20" t="s">
        <v>56</v>
      </c>
      <c r="F14" s="20"/>
      <c r="G14" s="20"/>
      <c r="H14" s="20"/>
      <c r="I14" s="20"/>
      <c r="J14" s="20"/>
      <c r="K14" s="20"/>
      <c r="L14" s="21" t="s">
        <v>57</v>
      </c>
      <c r="M14" s="22" t="s">
        <v>58</v>
      </c>
      <c r="N14" s="22"/>
      <c r="O14" s="22"/>
      <c r="P14" s="22"/>
      <c r="Q14" s="23"/>
      <c r="R14" s="24" t="s">
        <v>55</v>
      </c>
      <c r="S14" s="24"/>
      <c r="T14" s="24"/>
      <c r="U14" s="20" t="s">
        <v>56</v>
      </c>
      <c r="V14" s="20"/>
      <c r="W14" s="20"/>
      <c r="X14" s="20"/>
      <c r="Y14" s="20"/>
      <c r="Z14" s="20"/>
      <c r="AA14" s="20"/>
      <c r="AB14" s="21" t="s">
        <v>57</v>
      </c>
      <c r="AC14" s="22" t="s">
        <v>58</v>
      </c>
      <c r="AD14" s="22"/>
      <c r="AE14" s="22"/>
      <c r="AF14" s="22"/>
    </row>
    <row r="15" customFormat="false" ht="17.25" hidden="false" customHeight="true" outlineLevel="0" collapsed="false">
      <c r="B15" s="6" t="s">
        <v>59</v>
      </c>
      <c r="C15" s="6"/>
      <c r="D15" s="6"/>
      <c r="E15" s="25" t="s">
        <v>60</v>
      </c>
      <c r="F15" s="25"/>
      <c r="G15" s="25"/>
      <c r="H15" s="25"/>
      <c r="I15" s="25"/>
      <c r="J15" s="25"/>
      <c r="K15" s="25"/>
      <c r="L15" s="26"/>
      <c r="M15" s="7" t="n">
        <f aca="false">$O$7</f>
        <v>0</v>
      </c>
      <c r="N15" s="7"/>
      <c r="O15" s="7"/>
      <c r="R15" s="27" t="s">
        <v>59</v>
      </c>
      <c r="S15" s="27"/>
      <c r="T15" s="27"/>
      <c r="U15" s="25" t="s">
        <v>61</v>
      </c>
      <c r="V15" s="25"/>
      <c r="W15" s="25"/>
      <c r="X15" s="25"/>
      <c r="Y15" s="25"/>
      <c r="Z15" s="25"/>
      <c r="AA15" s="25"/>
      <c r="AB15" s="26"/>
      <c r="AC15" s="7" t="n">
        <f aca="false">$L$7</f>
        <v>0</v>
      </c>
      <c r="AD15" s="7"/>
      <c r="AE15" s="7"/>
    </row>
    <row r="16" customFormat="false" ht="17.25" hidden="false" customHeight="true" outlineLevel="0" collapsed="false">
      <c r="B16" s="6" t="s">
        <v>62</v>
      </c>
      <c r="C16" s="6"/>
      <c r="D16" s="6"/>
      <c r="E16" s="25" t="s">
        <v>63</v>
      </c>
      <c r="F16" s="25"/>
      <c r="G16" s="25"/>
      <c r="H16" s="25"/>
      <c r="I16" s="25"/>
      <c r="J16" s="25"/>
      <c r="K16" s="25"/>
      <c r="L16" s="26" t="s">
        <v>64</v>
      </c>
      <c r="M16" s="7" t="n">
        <f aca="false">$I$7</f>
        <v>11000</v>
      </c>
      <c r="N16" s="7"/>
      <c r="O16" s="7"/>
      <c r="R16" s="27" t="s">
        <v>65</v>
      </c>
      <c r="S16" s="27"/>
      <c r="T16" s="27"/>
      <c r="U16" s="25" t="s">
        <v>66</v>
      </c>
      <c r="V16" s="25"/>
      <c r="W16" s="25"/>
      <c r="X16" s="25"/>
      <c r="Y16" s="25"/>
      <c r="Z16" s="25"/>
      <c r="AA16" s="25"/>
      <c r="AB16" s="26" t="s">
        <v>67</v>
      </c>
      <c r="AC16" s="7" t="n">
        <f aca="false">$X$7</f>
        <v>12000</v>
      </c>
      <c r="AD16" s="7"/>
      <c r="AE16" s="7"/>
    </row>
    <row r="17" customFormat="false" ht="17.25" hidden="false" customHeight="true" outlineLevel="0" collapsed="false">
      <c r="B17" s="6" t="s">
        <v>65</v>
      </c>
      <c r="C17" s="6"/>
      <c r="D17" s="6"/>
      <c r="E17" s="25" t="s">
        <v>68</v>
      </c>
      <c r="F17" s="25"/>
      <c r="G17" s="25"/>
      <c r="H17" s="25"/>
      <c r="I17" s="25"/>
      <c r="J17" s="25"/>
      <c r="K17" s="25"/>
      <c r="L17" s="26"/>
      <c r="M17" s="7" t="n">
        <f aca="false">$R$7</f>
        <v>1000</v>
      </c>
      <c r="N17" s="7"/>
      <c r="O17" s="7"/>
      <c r="R17" s="27" t="s">
        <v>65</v>
      </c>
      <c r="S17" s="27"/>
      <c r="T17" s="27"/>
      <c r="U17" s="25" t="s">
        <v>69</v>
      </c>
      <c r="V17" s="25"/>
      <c r="W17" s="25"/>
      <c r="X17" s="25"/>
      <c r="Y17" s="25"/>
      <c r="Z17" s="25"/>
      <c r="AA17" s="25"/>
      <c r="AB17" s="26"/>
      <c r="AC17" s="7" t="n">
        <f aca="false">$U$7</f>
        <v>0</v>
      </c>
      <c r="AD17" s="7"/>
      <c r="AE17" s="7"/>
    </row>
    <row r="18" customFormat="false" ht="16.5" hidden="false" customHeight="true" outlineLevel="0" collapsed="false">
      <c r="M18" s="28" t="n">
        <f aca="false">SUM(M15:M17)</f>
        <v>12000</v>
      </c>
      <c r="N18" s="28"/>
      <c r="O18" s="28"/>
      <c r="R18" s="29"/>
      <c r="AC18" s="28" t="n">
        <f aca="false">SUM(AC15:AC17)</f>
        <v>12000</v>
      </c>
      <c r="AD18" s="28"/>
      <c r="AE18" s="28"/>
    </row>
    <row r="19" customFormat="false" ht="17.25" hidden="false" customHeight="true" outlineLevel="0" collapsed="false">
      <c r="B19" s="6" t="s">
        <v>70</v>
      </c>
      <c r="C19" s="6"/>
      <c r="D19" s="6"/>
      <c r="E19" s="25" t="s">
        <v>60</v>
      </c>
      <c r="F19" s="25"/>
      <c r="G19" s="25"/>
      <c r="H19" s="25"/>
      <c r="I19" s="25"/>
      <c r="J19" s="25"/>
      <c r="K19" s="25"/>
      <c r="L19" s="26"/>
      <c r="M19" s="7" t="n">
        <f aca="false">$U$7</f>
        <v>0</v>
      </c>
      <c r="N19" s="7"/>
      <c r="O19" s="7"/>
      <c r="R19" s="27" t="s">
        <v>70</v>
      </c>
      <c r="S19" s="27"/>
      <c r="T19" s="27"/>
      <c r="U19" s="25" t="s">
        <v>61</v>
      </c>
      <c r="V19" s="25"/>
      <c r="W19" s="25"/>
      <c r="X19" s="25"/>
      <c r="Y19" s="25"/>
      <c r="Z19" s="25"/>
      <c r="AA19" s="25"/>
      <c r="AB19" s="26"/>
      <c r="AC19" s="7" t="n">
        <f aca="false">$R$7</f>
        <v>1000</v>
      </c>
      <c r="AD19" s="7"/>
      <c r="AE19" s="7"/>
    </row>
    <row r="21" customFormat="false" ht="18.75" hidden="false" customHeight="true" outlineLevel="0" collapsed="false">
      <c r="B21" s="3" t="s">
        <v>71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7" t="s">
        <v>52</v>
      </c>
      <c r="C22" s="17"/>
      <c r="D22" s="17"/>
      <c r="E22" s="18" t="s">
        <v>72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9" t="s">
        <v>54</v>
      </c>
      <c r="AE22" s="19"/>
      <c r="AF22" s="19"/>
    </row>
    <row r="23" customFormat="false" ht="15" hidden="false" customHeight="false" outlineLevel="0" collapsed="false">
      <c r="B23" s="20" t="s">
        <v>55</v>
      </c>
      <c r="C23" s="20"/>
      <c r="D23" s="20"/>
      <c r="E23" s="20" t="s">
        <v>56</v>
      </c>
      <c r="F23" s="20"/>
      <c r="G23" s="20"/>
      <c r="H23" s="20"/>
      <c r="I23" s="20"/>
      <c r="J23" s="20"/>
      <c r="K23" s="20"/>
      <c r="L23" s="21" t="s">
        <v>57</v>
      </c>
      <c r="M23" s="22" t="s">
        <v>58</v>
      </c>
      <c r="N23" s="22"/>
      <c r="O23" s="22"/>
      <c r="P23" s="22"/>
      <c r="Q23" s="23"/>
      <c r="R23" s="24" t="s">
        <v>55</v>
      </c>
      <c r="S23" s="24"/>
      <c r="T23" s="24"/>
      <c r="U23" s="20" t="s">
        <v>56</v>
      </c>
      <c r="V23" s="20"/>
      <c r="W23" s="20"/>
      <c r="X23" s="20"/>
      <c r="Y23" s="20"/>
      <c r="Z23" s="20"/>
      <c r="AA23" s="20"/>
      <c r="AB23" s="21" t="s">
        <v>57</v>
      </c>
      <c r="AC23" s="22" t="s">
        <v>58</v>
      </c>
      <c r="AD23" s="22"/>
      <c r="AE23" s="22"/>
      <c r="AF23" s="22"/>
    </row>
    <row r="24" customFormat="false" ht="17.25" hidden="false" customHeight="true" outlineLevel="0" collapsed="false">
      <c r="B24" s="6" t="s">
        <v>59</v>
      </c>
      <c r="C24" s="6"/>
      <c r="D24" s="6"/>
      <c r="E24" s="25" t="s">
        <v>60</v>
      </c>
      <c r="F24" s="25"/>
      <c r="G24" s="25"/>
      <c r="H24" s="25"/>
      <c r="I24" s="25"/>
      <c r="J24" s="25"/>
      <c r="K24" s="25"/>
      <c r="L24" s="26"/>
      <c r="M24" s="7" t="n">
        <f aca="false">$O$8</f>
        <v>0</v>
      </c>
      <c r="N24" s="7"/>
      <c r="O24" s="7"/>
      <c r="R24" s="27" t="s">
        <v>59</v>
      </c>
      <c r="S24" s="27"/>
      <c r="T24" s="27"/>
      <c r="U24" s="25" t="s">
        <v>61</v>
      </c>
      <c r="V24" s="25"/>
      <c r="W24" s="25"/>
      <c r="X24" s="25"/>
      <c r="Y24" s="25"/>
      <c r="Z24" s="25"/>
      <c r="AA24" s="25"/>
      <c r="AB24" s="26"/>
      <c r="AC24" s="7" t="n">
        <f aca="false">$L$8</f>
        <v>0</v>
      </c>
      <c r="AD24" s="7"/>
      <c r="AE24" s="7"/>
    </row>
    <row r="25" customFormat="false" ht="17.25" hidden="false" customHeight="true" outlineLevel="0" collapsed="false">
      <c r="B25" s="6" t="s">
        <v>62</v>
      </c>
      <c r="C25" s="6"/>
      <c r="D25" s="6"/>
      <c r="E25" s="25" t="s">
        <v>63</v>
      </c>
      <c r="F25" s="25"/>
      <c r="G25" s="25"/>
      <c r="H25" s="25"/>
      <c r="I25" s="25"/>
      <c r="J25" s="25"/>
      <c r="K25" s="25"/>
      <c r="L25" s="26" t="s">
        <v>64</v>
      </c>
      <c r="M25" s="7" t="n">
        <f aca="false">$I$8</f>
        <v>3600</v>
      </c>
      <c r="N25" s="7"/>
      <c r="O25" s="7"/>
      <c r="R25" s="27" t="s">
        <v>65</v>
      </c>
      <c r="S25" s="27"/>
      <c r="T25" s="27"/>
      <c r="U25" s="25" t="s">
        <v>66</v>
      </c>
      <c r="V25" s="25"/>
      <c r="W25" s="25"/>
      <c r="X25" s="25"/>
      <c r="Y25" s="25"/>
      <c r="Z25" s="25"/>
      <c r="AA25" s="25"/>
      <c r="AB25" s="26" t="s">
        <v>67</v>
      </c>
      <c r="AC25" s="7" t="n">
        <f aca="false">$X$8</f>
        <v>2700</v>
      </c>
      <c r="AD25" s="7"/>
      <c r="AE25" s="7"/>
    </row>
    <row r="26" customFormat="false" ht="17.25" hidden="false" customHeight="true" outlineLevel="0" collapsed="false">
      <c r="B26" s="6" t="s">
        <v>65</v>
      </c>
      <c r="C26" s="6"/>
      <c r="D26" s="6"/>
      <c r="E26" s="25" t="s">
        <v>68</v>
      </c>
      <c r="F26" s="25"/>
      <c r="G26" s="25"/>
      <c r="H26" s="25"/>
      <c r="I26" s="25"/>
      <c r="J26" s="25"/>
      <c r="K26" s="25"/>
      <c r="L26" s="26"/>
      <c r="M26" s="7" t="n">
        <f aca="false">$R$8</f>
        <v>0</v>
      </c>
      <c r="N26" s="7"/>
      <c r="O26" s="7"/>
      <c r="R26" s="27" t="s">
        <v>65</v>
      </c>
      <c r="S26" s="27"/>
      <c r="T26" s="27"/>
      <c r="U26" s="25" t="s">
        <v>69</v>
      </c>
      <c r="V26" s="25"/>
      <c r="W26" s="25"/>
      <c r="X26" s="25"/>
      <c r="Y26" s="25"/>
      <c r="Z26" s="25"/>
      <c r="AA26" s="25"/>
      <c r="AB26" s="26"/>
      <c r="AC26" s="7" t="n">
        <f aca="false">$U$8</f>
        <v>900</v>
      </c>
      <c r="AD26" s="7"/>
      <c r="AE26" s="7"/>
    </row>
    <row r="27" customFormat="false" ht="16.5" hidden="false" customHeight="true" outlineLevel="0" collapsed="false">
      <c r="M27" s="28" t="n">
        <f aca="false">SUM(M24:M26)</f>
        <v>3600</v>
      </c>
      <c r="N27" s="28"/>
      <c r="O27" s="28"/>
      <c r="R27" s="29"/>
      <c r="AC27" s="28" t="n">
        <f aca="false">SUM(AC24:AC26)</f>
        <v>3600</v>
      </c>
      <c r="AD27" s="28"/>
      <c r="AE27" s="28"/>
    </row>
    <row r="28" customFormat="false" ht="17.25" hidden="false" customHeight="true" outlineLevel="0" collapsed="false">
      <c r="B28" s="6" t="s">
        <v>70</v>
      </c>
      <c r="C28" s="6"/>
      <c r="D28" s="6"/>
      <c r="E28" s="25" t="s">
        <v>60</v>
      </c>
      <c r="F28" s="25"/>
      <c r="G28" s="25"/>
      <c r="H28" s="25"/>
      <c r="I28" s="25"/>
      <c r="J28" s="25"/>
      <c r="K28" s="25"/>
      <c r="L28" s="26"/>
      <c r="M28" s="7" t="n">
        <f aca="false">$U$8</f>
        <v>900</v>
      </c>
      <c r="N28" s="7"/>
      <c r="O28" s="7"/>
      <c r="R28" s="27" t="s">
        <v>70</v>
      </c>
      <c r="S28" s="27"/>
      <c r="T28" s="27"/>
      <c r="U28" s="25" t="s">
        <v>61</v>
      </c>
      <c r="V28" s="25"/>
      <c r="W28" s="25"/>
      <c r="X28" s="25"/>
      <c r="Y28" s="25"/>
      <c r="Z28" s="25"/>
      <c r="AA28" s="25"/>
      <c r="AB28" s="26"/>
      <c r="AC28" s="7" t="n">
        <f aca="false">$R$8</f>
        <v>0</v>
      </c>
      <c r="AD28" s="7"/>
      <c r="AE28" s="7"/>
    </row>
    <row r="30" customFormat="false" ht="18.75" hidden="false" customHeight="true" outlineLevel="0" collapsed="false">
      <c r="B30" s="3" t="s">
        <v>73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customFormat="false" ht="15" hidden="false" customHeight="false" outlineLevel="0" collapsed="false">
      <c r="B31" s="17" t="s">
        <v>52</v>
      </c>
      <c r="C31" s="17"/>
      <c r="D31" s="17"/>
      <c r="E31" s="18" t="s">
        <v>74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9" t="s">
        <v>54</v>
      </c>
      <c r="AE31" s="19"/>
      <c r="AF31" s="19"/>
    </row>
    <row r="32" customFormat="false" ht="15" hidden="false" customHeight="false" outlineLevel="0" collapsed="false">
      <c r="B32" s="20" t="s">
        <v>55</v>
      </c>
      <c r="C32" s="20"/>
      <c r="D32" s="20"/>
      <c r="E32" s="20" t="s">
        <v>56</v>
      </c>
      <c r="F32" s="20"/>
      <c r="G32" s="20"/>
      <c r="H32" s="20"/>
      <c r="I32" s="20"/>
      <c r="J32" s="20"/>
      <c r="K32" s="20"/>
      <c r="L32" s="21" t="s">
        <v>57</v>
      </c>
      <c r="M32" s="22" t="s">
        <v>58</v>
      </c>
      <c r="N32" s="22"/>
      <c r="O32" s="22"/>
      <c r="P32" s="22"/>
      <c r="Q32" s="23"/>
      <c r="R32" s="24" t="s">
        <v>55</v>
      </c>
      <c r="S32" s="24"/>
      <c r="T32" s="24"/>
      <c r="U32" s="20" t="s">
        <v>56</v>
      </c>
      <c r="V32" s="20"/>
      <c r="W32" s="20"/>
      <c r="X32" s="20"/>
      <c r="Y32" s="20"/>
      <c r="Z32" s="20"/>
      <c r="AA32" s="20"/>
      <c r="AB32" s="21" t="s">
        <v>57</v>
      </c>
      <c r="AC32" s="22" t="s">
        <v>58</v>
      </c>
      <c r="AD32" s="22"/>
      <c r="AE32" s="22"/>
      <c r="AF32" s="22"/>
    </row>
    <row r="33" customFormat="false" ht="17.25" hidden="false" customHeight="true" outlineLevel="0" collapsed="false">
      <c r="B33" s="6" t="s">
        <v>59</v>
      </c>
      <c r="C33" s="6"/>
      <c r="D33" s="6"/>
      <c r="E33" s="25" t="s">
        <v>60</v>
      </c>
      <c r="F33" s="25"/>
      <c r="G33" s="25"/>
      <c r="H33" s="25"/>
      <c r="I33" s="25"/>
      <c r="J33" s="25"/>
      <c r="K33" s="25"/>
      <c r="L33" s="26"/>
      <c r="M33" s="7" t="n">
        <f aca="false">$O$9</f>
        <v>0</v>
      </c>
      <c r="N33" s="7"/>
      <c r="O33" s="7"/>
      <c r="R33" s="27" t="s">
        <v>59</v>
      </c>
      <c r="S33" s="27"/>
      <c r="T33" s="27"/>
      <c r="U33" s="25" t="s">
        <v>61</v>
      </c>
      <c r="V33" s="25"/>
      <c r="W33" s="25"/>
      <c r="X33" s="25"/>
      <c r="Y33" s="25"/>
      <c r="Z33" s="25"/>
      <c r="AA33" s="25"/>
      <c r="AB33" s="26"/>
      <c r="AC33" s="7" t="n">
        <f aca="false">$L$9</f>
        <v>200</v>
      </c>
      <c r="AD33" s="7"/>
      <c r="AE33" s="7"/>
    </row>
    <row r="34" customFormat="false" ht="17.25" hidden="false" customHeight="true" outlineLevel="0" collapsed="false">
      <c r="B34" s="6" t="s">
        <v>62</v>
      </c>
      <c r="C34" s="6"/>
      <c r="D34" s="6"/>
      <c r="E34" s="25" t="s">
        <v>63</v>
      </c>
      <c r="F34" s="25"/>
      <c r="G34" s="25"/>
      <c r="H34" s="25"/>
      <c r="I34" s="25"/>
      <c r="J34" s="25"/>
      <c r="K34" s="25"/>
      <c r="L34" s="26" t="s">
        <v>64</v>
      </c>
      <c r="M34" s="7" t="n">
        <f aca="false">$I$9</f>
        <v>2500</v>
      </c>
      <c r="N34" s="7"/>
      <c r="O34" s="7"/>
      <c r="R34" s="27" t="s">
        <v>65</v>
      </c>
      <c r="S34" s="27"/>
      <c r="T34" s="27"/>
      <c r="U34" s="25" t="s">
        <v>66</v>
      </c>
      <c r="V34" s="25"/>
      <c r="W34" s="25"/>
      <c r="X34" s="25"/>
      <c r="Y34" s="25"/>
      <c r="Z34" s="25"/>
      <c r="AA34" s="25"/>
      <c r="AB34" s="26" t="s">
        <v>67</v>
      </c>
      <c r="AC34" s="7" t="n">
        <f aca="false">$X$9</f>
        <v>2600</v>
      </c>
      <c r="AD34" s="7"/>
      <c r="AE34" s="7"/>
    </row>
    <row r="35" customFormat="false" ht="17.25" hidden="false" customHeight="true" outlineLevel="0" collapsed="false">
      <c r="B35" s="6" t="s">
        <v>65</v>
      </c>
      <c r="C35" s="6"/>
      <c r="D35" s="6"/>
      <c r="E35" s="25" t="s">
        <v>68</v>
      </c>
      <c r="F35" s="25"/>
      <c r="G35" s="25"/>
      <c r="H35" s="25"/>
      <c r="I35" s="25"/>
      <c r="J35" s="25"/>
      <c r="K35" s="25"/>
      <c r="L35" s="26"/>
      <c r="M35" s="7" t="n">
        <f aca="false">$R$9</f>
        <v>300</v>
      </c>
      <c r="N35" s="7"/>
      <c r="O35" s="7"/>
      <c r="R35" s="27" t="s">
        <v>65</v>
      </c>
      <c r="S35" s="27"/>
      <c r="T35" s="27"/>
      <c r="U35" s="25" t="s">
        <v>69</v>
      </c>
      <c r="V35" s="25"/>
      <c r="W35" s="25"/>
      <c r="X35" s="25"/>
      <c r="Y35" s="25"/>
      <c r="Z35" s="25"/>
      <c r="AA35" s="25"/>
      <c r="AB35" s="26"/>
      <c r="AC35" s="7" t="n">
        <f aca="false">$U$9</f>
        <v>0</v>
      </c>
      <c r="AD35" s="7"/>
      <c r="AE35" s="7"/>
    </row>
    <row r="36" customFormat="false" ht="16.5" hidden="false" customHeight="true" outlineLevel="0" collapsed="false">
      <c r="M36" s="28" t="n">
        <f aca="false">SUM(M33:M35)</f>
        <v>2800</v>
      </c>
      <c r="N36" s="28"/>
      <c r="O36" s="28"/>
      <c r="R36" s="29"/>
      <c r="AC36" s="28" t="n">
        <f aca="false">SUM(AC33:AC35)</f>
        <v>2800</v>
      </c>
      <c r="AD36" s="28"/>
      <c r="AE36" s="28"/>
    </row>
    <row r="37" customFormat="false" ht="17.25" hidden="false" customHeight="true" outlineLevel="0" collapsed="false">
      <c r="B37" s="6" t="s">
        <v>70</v>
      </c>
      <c r="C37" s="6"/>
      <c r="D37" s="6"/>
      <c r="E37" s="25" t="s">
        <v>60</v>
      </c>
      <c r="F37" s="25"/>
      <c r="G37" s="25"/>
      <c r="H37" s="25"/>
      <c r="I37" s="25"/>
      <c r="J37" s="25"/>
      <c r="K37" s="25"/>
      <c r="L37" s="26"/>
      <c r="M37" s="7" t="n">
        <f aca="false">$U$9</f>
        <v>0</v>
      </c>
      <c r="N37" s="7"/>
      <c r="O37" s="7"/>
      <c r="R37" s="27" t="s">
        <v>70</v>
      </c>
      <c r="S37" s="27"/>
      <c r="T37" s="27"/>
      <c r="U37" s="25" t="s">
        <v>61</v>
      </c>
      <c r="V37" s="25"/>
      <c r="W37" s="25"/>
      <c r="X37" s="25"/>
      <c r="Y37" s="25"/>
      <c r="Z37" s="25"/>
      <c r="AA37" s="25"/>
      <c r="AB37" s="26"/>
      <c r="AC37" s="7" t="n">
        <f aca="false">$R$9</f>
        <v>300</v>
      </c>
      <c r="AD37" s="7"/>
      <c r="AE37" s="7"/>
    </row>
    <row r="38" customFormat="false" ht="16.5" hidden="false" customHeight="true" outlineLevel="0" collapsed="false">
      <c r="B38" s="2" t="s">
        <v>75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</sheetData>
  <mergeCells count="150">
    <mergeCell ref="B1:AF1"/>
    <mergeCell ref="B2:AF2"/>
    <mergeCell ref="B3:AF3"/>
    <mergeCell ref="B5:AF5"/>
    <mergeCell ref="B6:H6"/>
    <mergeCell ref="I6:K6"/>
    <mergeCell ref="L6:N6"/>
    <mergeCell ref="O6:Q6"/>
    <mergeCell ref="R6:T6"/>
    <mergeCell ref="U6:W6"/>
    <mergeCell ref="X6:Z6"/>
    <mergeCell ref="AA6:AC6"/>
    <mergeCell ref="AD6:AF6"/>
    <mergeCell ref="B7:H7"/>
    <mergeCell ref="I7:K7"/>
    <mergeCell ref="L7:N7"/>
    <mergeCell ref="O7:Q7"/>
    <mergeCell ref="R7:T7"/>
    <mergeCell ref="U7:W7"/>
    <mergeCell ref="X7:Z7"/>
    <mergeCell ref="AA7:AC7"/>
    <mergeCell ref="AD7:AF7"/>
    <mergeCell ref="B8:H8"/>
    <mergeCell ref="I8:K8"/>
    <mergeCell ref="L8:N8"/>
    <mergeCell ref="O8:Q8"/>
    <mergeCell ref="R8:T8"/>
    <mergeCell ref="U8:W8"/>
    <mergeCell ref="X8:Z8"/>
    <mergeCell ref="AA8:AC8"/>
    <mergeCell ref="AD8:AF8"/>
    <mergeCell ref="B9:H9"/>
    <mergeCell ref="I9:K9"/>
    <mergeCell ref="L9:N9"/>
    <mergeCell ref="O9:Q9"/>
    <mergeCell ref="R9:T9"/>
    <mergeCell ref="U9:W9"/>
    <mergeCell ref="X9:Z9"/>
    <mergeCell ref="AA9:AC9"/>
    <mergeCell ref="AD9:AF9"/>
    <mergeCell ref="B10:AF10"/>
    <mergeCell ref="B12:AF12"/>
    <mergeCell ref="B13:D13"/>
    <mergeCell ref="E13:AC13"/>
    <mergeCell ref="AD13:AF13"/>
    <mergeCell ref="B14:D14"/>
    <mergeCell ref="E14:K14"/>
    <mergeCell ref="M14:P14"/>
    <mergeCell ref="R14:T14"/>
    <mergeCell ref="U14:AA14"/>
    <mergeCell ref="AC14:AF14"/>
    <mergeCell ref="B15:D15"/>
    <mergeCell ref="E15:K15"/>
    <mergeCell ref="M15:O15"/>
    <mergeCell ref="R15:T15"/>
    <mergeCell ref="U15:AA15"/>
    <mergeCell ref="AC15:AE15"/>
    <mergeCell ref="B16:D16"/>
    <mergeCell ref="E16:K16"/>
    <mergeCell ref="M16:O16"/>
    <mergeCell ref="R16:T16"/>
    <mergeCell ref="U16:AA16"/>
    <mergeCell ref="AC16:AE16"/>
    <mergeCell ref="B17:D17"/>
    <mergeCell ref="E17:K17"/>
    <mergeCell ref="M17:O17"/>
    <mergeCell ref="R17:T17"/>
    <mergeCell ref="U17:AA17"/>
    <mergeCell ref="AC17:AE17"/>
    <mergeCell ref="M18:O18"/>
    <mergeCell ref="AC18:AE18"/>
    <mergeCell ref="B19:D19"/>
    <mergeCell ref="E19:K19"/>
    <mergeCell ref="M19:O19"/>
    <mergeCell ref="R19:T19"/>
    <mergeCell ref="U19:AA19"/>
    <mergeCell ref="AC19:AE19"/>
    <mergeCell ref="B21:AF21"/>
    <mergeCell ref="B22:D22"/>
    <mergeCell ref="E22:AC22"/>
    <mergeCell ref="AD22:AF22"/>
    <mergeCell ref="B23:D23"/>
    <mergeCell ref="E23:K23"/>
    <mergeCell ref="M23:P23"/>
    <mergeCell ref="R23:T23"/>
    <mergeCell ref="U23:AA23"/>
    <mergeCell ref="AC23:AF23"/>
    <mergeCell ref="B24:D24"/>
    <mergeCell ref="E24:K24"/>
    <mergeCell ref="M24:O24"/>
    <mergeCell ref="R24:T24"/>
    <mergeCell ref="U24:AA24"/>
    <mergeCell ref="AC24:AE24"/>
    <mergeCell ref="B25:D25"/>
    <mergeCell ref="E25:K25"/>
    <mergeCell ref="M25:O25"/>
    <mergeCell ref="R25:T25"/>
    <mergeCell ref="U25:AA25"/>
    <mergeCell ref="AC25:AE25"/>
    <mergeCell ref="B26:D26"/>
    <mergeCell ref="E26:K26"/>
    <mergeCell ref="M26:O26"/>
    <mergeCell ref="R26:T26"/>
    <mergeCell ref="U26:AA26"/>
    <mergeCell ref="AC26:AE26"/>
    <mergeCell ref="M27:O27"/>
    <mergeCell ref="AC27:AE27"/>
    <mergeCell ref="B28:D28"/>
    <mergeCell ref="E28:K28"/>
    <mergeCell ref="M28:O28"/>
    <mergeCell ref="R28:T28"/>
    <mergeCell ref="U28:AA28"/>
    <mergeCell ref="AC28:AE28"/>
    <mergeCell ref="B30:AF30"/>
    <mergeCell ref="B31:D31"/>
    <mergeCell ref="E31:AC31"/>
    <mergeCell ref="AD31:AF31"/>
    <mergeCell ref="B32:D32"/>
    <mergeCell ref="E32:K32"/>
    <mergeCell ref="M32:P32"/>
    <mergeCell ref="R32:T32"/>
    <mergeCell ref="U32:AA32"/>
    <mergeCell ref="AC32:AF32"/>
    <mergeCell ref="B33:D33"/>
    <mergeCell ref="E33:K33"/>
    <mergeCell ref="M33:O33"/>
    <mergeCell ref="R33:T33"/>
    <mergeCell ref="U33:AA33"/>
    <mergeCell ref="AC33:AE33"/>
    <mergeCell ref="B34:D34"/>
    <mergeCell ref="E34:K34"/>
    <mergeCell ref="M34:O34"/>
    <mergeCell ref="R34:T34"/>
    <mergeCell ref="U34:AA34"/>
    <mergeCell ref="AC34:AE34"/>
    <mergeCell ref="B35:D35"/>
    <mergeCell ref="E35:K35"/>
    <mergeCell ref="M35:O35"/>
    <mergeCell ref="R35:T35"/>
    <mergeCell ref="U35:AA35"/>
    <mergeCell ref="AC35:AE35"/>
    <mergeCell ref="M36:O36"/>
    <mergeCell ref="AC36:AE36"/>
    <mergeCell ref="B37:D37"/>
    <mergeCell ref="E37:K37"/>
    <mergeCell ref="M37:O37"/>
    <mergeCell ref="R37:T37"/>
    <mergeCell ref="U37:AA37"/>
    <mergeCell ref="AC37:AE37"/>
    <mergeCell ref="B38:AF38"/>
  </mergeCells>
  <conditionalFormatting sqref="B1:AG3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2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76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30.75" hidden="false" customHeight="true" outlineLevel="0" collapsed="false">
      <c r="B6" s="10" t="s">
        <v>77</v>
      </c>
      <c r="C6" s="10"/>
      <c r="D6" s="10"/>
      <c r="E6" s="10"/>
      <c r="F6" s="10"/>
      <c r="G6" s="10"/>
      <c r="H6" s="10"/>
      <c r="I6" s="11" t="s">
        <v>78</v>
      </c>
      <c r="J6" s="11"/>
      <c r="K6" s="11"/>
      <c r="L6" s="11" t="s">
        <v>79</v>
      </c>
      <c r="M6" s="11"/>
      <c r="N6" s="11"/>
      <c r="O6" s="11" t="s">
        <v>80</v>
      </c>
      <c r="P6" s="11"/>
      <c r="Q6" s="11"/>
      <c r="R6" s="11" t="s">
        <v>81</v>
      </c>
      <c r="S6" s="11"/>
      <c r="T6" s="11"/>
      <c r="U6" s="11" t="s">
        <v>82</v>
      </c>
      <c r="V6" s="11"/>
      <c r="W6" s="11"/>
      <c r="X6" s="11" t="s">
        <v>83</v>
      </c>
      <c r="Y6" s="11"/>
      <c r="Z6" s="11"/>
      <c r="AA6" s="11" t="s">
        <v>46</v>
      </c>
      <c r="AB6" s="11"/>
      <c r="AC6" s="11"/>
      <c r="AD6" s="11" t="s">
        <v>45</v>
      </c>
      <c r="AE6" s="11"/>
      <c r="AF6" s="11"/>
    </row>
    <row r="7" customFormat="false" ht="17.25" hidden="false" customHeight="true" outlineLevel="0" collapsed="false">
      <c r="B7" s="12" t="s">
        <v>84</v>
      </c>
      <c r="C7" s="12"/>
      <c r="D7" s="12"/>
      <c r="E7" s="12"/>
      <c r="F7" s="12"/>
      <c r="G7" s="12"/>
      <c r="H7" s="12"/>
      <c r="I7" s="15" t="n">
        <v>6500</v>
      </c>
      <c r="J7" s="15"/>
      <c r="K7" s="15"/>
      <c r="L7" s="15" t="n">
        <v>0</v>
      </c>
      <c r="M7" s="15"/>
      <c r="N7" s="15"/>
      <c r="O7" s="15" t="n">
        <v>0</v>
      </c>
      <c r="P7" s="15"/>
      <c r="Q7" s="15"/>
      <c r="R7" s="15" t="n">
        <v>0</v>
      </c>
      <c r="S7" s="15"/>
      <c r="T7" s="15"/>
      <c r="U7" s="15" t="n">
        <v>500</v>
      </c>
      <c r="V7" s="15"/>
      <c r="W7" s="15"/>
      <c r="X7" s="16" t="n">
        <f aca="false">$I$7-$L$7+$O$7+$R$7-$U$7</f>
        <v>6000</v>
      </c>
      <c r="Y7" s="16"/>
      <c r="Z7" s="16"/>
      <c r="AA7" s="16" t="n">
        <f aca="false">$R$7</f>
        <v>0</v>
      </c>
      <c r="AB7" s="16"/>
      <c r="AC7" s="16"/>
      <c r="AD7" s="16" t="n">
        <f aca="false">$U$7</f>
        <v>500</v>
      </c>
      <c r="AE7" s="16"/>
      <c r="AF7" s="16"/>
    </row>
    <row r="8" customFormat="false" ht="17.25" hidden="false" customHeight="true" outlineLevel="0" collapsed="false">
      <c r="B8" s="12" t="s">
        <v>85</v>
      </c>
      <c r="C8" s="12"/>
      <c r="D8" s="12"/>
      <c r="E8" s="12"/>
      <c r="F8" s="12"/>
      <c r="G8" s="12"/>
      <c r="H8" s="12"/>
      <c r="I8" s="15" t="n">
        <v>1800</v>
      </c>
      <c r="J8" s="15"/>
      <c r="K8" s="15"/>
      <c r="L8" s="15" t="n">
        <v>0</v>
      </c>
      <c r="M8" s="15"/>
      <c r="N8" s="15"/>
      <c r="O8" s="15" t="n">
        <v>0</v>
      </c>
      <c r="P8" s="15"/>
      <c r="Q8" s="15"/>
      <c r="R8" s="15" t="n">
        <v>200</v>
      </c>
      <c r="S8" s="15"/>
      <c r="T8" s="15"/>
      <c r="U8" s="15" t="n">
        <v>0</v>
      </c>
      <c r="V8" s="15"/>
      <c r="W8" s="15"/>
      <c r="X8" s="16" t="n">
        <f aca="false">$I$8-$L$8+$O$8+$R$8-$U$8</f>
        <v>2000</v>
      </c>
      <c r="Y8" s="16"/>
      <c r="Z8" s="16"/>
      <c r="AA8" s="16" t="n">
        <f aca="false">$R$8</f>
        <v>200</v>
      </c>
      <c r="AB8" s="16"/>
      <c r="AC8" s="16"/>
      <c r="AD8" s="16" t="n">
        <f aca="false">$U$8</f>
        <v>0</v>
      </c>
      <c r="AE8" s="16"/>
      <c r="AF8" s="16"/>
    </row>
    <row r="9" customFormat="false" ht="16.5" hidden="false" customHeight="true" outlineLevel="0" collapsed="false">
      <c r="B9" s="2" t="s">
        <v>86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1" customFormat="false" ht="18.75" hidden="false" customHeight="true" outlineLevel="0" collapsed="false">
      <c r="B11" s="3" t="s">
        <v>87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customFormat="false" ht="15" hidden="false" customHeight="false" outlineLevel="0" collapsed="false">
      <c r="B12" s="17" t="s">
        <v>52</v>
      </c>
      <c r="C12" s="17"/>
      <c r="D12" s="17"/>
      <c r="E12" s="18" t="s">
        <v>88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9" t="s">
        <v>54</v>
      </c>
      <c r="AE12" s="19"/>
      <c r="AF12" s="19"/>
    </row>
    <row r="13" customFormat="false" ht="15" hidden="false" customHeight="false" outlineLevel="0" collapsed="false">
      <c r="B13" s="20" t="s">
        <v>55</v>
      </c>
      <c r="C13" s="20"/>
      <c r="D13" s="20"/>
      <c r="E13" s="20" t="s">
        <v>56</v>
      </c>
      <c r="F13" s="20"/>
      <c r="G13" s="20"/>
      <c r="H13" s="20"/>
      <c r="I13" s="20"/>
      <c r="J13" s="20"/>
      <c r="K13" s="20"/>
      <c r="L13" s="21" t="s">
        <v>57</v>
      </c>
      <c r="M13" s="22" t="s">
        <v>58</v>
      </c>
      <c r="N13" s="22"/>
      <c r="O13" s="22"/>
      <c r="P13" s="22"/>
      <c r="Q13" s="23"/>
      <c r="R13" s="24" t="s">
        <v>55</v>
      </c>
      <c r="S13" s="24"/>
      <c r="T13" s="24"/>
      <c r="U13" s="20" t="s">
        <v>56</v>
      </c>
      <c r="V13" s="20"/>
      <c r="W13" s="20"/>
      <c r="X13" s="20"/>
      <c r="Y13" s="20"/>
      <c r="Z13" s="20"/>
      <c r="AA13" s="20"/>
      <c r="AB13" s="21" t="s">
        <v>57</v>
      </c>
      <c r="AC13" s="22" t="s">
        <v>58</v>
      </c>
      <c r="AD13" s="22"/>
      <c r="AE13" s="22"/>
      <c r="AF13" s="22"/>
    </row>
    <row r="14" customFormat="false" ht="17.25" hidden="false" customHeight="true" outlineLevel="0" collapsed="false">
      <c r="B14" s="6" t="s">
        <v>59</v>
      </c>
      <c r="C14" s="6"/>
      <c r="D14" s="6"/>
      <c r="E14" s="25" t="s">
        <v>89</v>
      </c>
      <c r="F14" s="25"/>
      <c r="G14" s="25"/>
      <c r="H14" s="25"/>
      <c r="I14" s="25"/>
      <c r="J14" s="25"/>
      <c r="K14" s="25"/>
      <c r="L14" s="26"/>
      <c r="M14" s="7" t="n">
        <f aca="false">$L$7</f>
        <v>0</v>
      </c>
      <c r="N14" s="7"/>
      <c r="O14" s="7"/>
      <c r="R14" s="27" t="s">
        <v>59</v>
      </c>
      <c r="S14" s="27"/>
      <c r="T14" s="27"/>
      <c r="U14" s="25" t="s">
        <v>90</v>
      </c>
      <c r="V14" s="25"/>
      <c r="W14" s="25"/>
      <c r="X14" s="25"/>
      <c r="Y14" s="25"/>
      <c r="Z14" s="25"/>
      <c r="AA14" s="25"/>
      <c r="AB14" s="26"/>
      <c r="AC14" s="7" t="n">
        <f aca="false">$O$7</f>
        <v>0</v>
      </c>
      <c r="AD14" s="7"/>
      <c r="AE14" s="7"/>
    </row>
    <row r="15" customFormat="false" ht="17.25" hidden="false" customHeight="true" outlineLevel="0" collapsed="false">
      <c r="B15" s="6" t="s">
        <v>65</v>
      </c>
      <c r="C15" s="6"/>
      <c r="D15" s="6"/>
      <c r="E15" s="25" t="s">
        <v>66</v>
      </c>
      <c r="F15" s="25"/>
      <c r="G15" s="25"/>
      <c r="H15" s="25"/>
      <c r="I15" s="25"/>
      <c r="J15" s="25"/>
      <c r="K15" s="25"/>
      <c r="L15" s="26" t="s">
        <v>67</v>
      </c>
      <c r="M15" s="7" t="n">
        <f aca="false">$X$7</f>
        <v>6000</v>
      </c>
      <c r="N15" s="7"/>
      <c r="O15" s="7"/>
      <c r="R15" s="27" t="s">
        <v>62</v>
      </c>
      <c r="S15" s="27"/>
      <c r="T15" s="27"/>
      <c r="U15" s="25" t="s">
        <v>63</v>
      </c>
      <c r="V15" s="25"/>
      <c r="W15" s="25"/>
      <c r="X15" s="25"/>
      <c r="Y15" s="25"/>
      <c r="Z15" s="25"/>
      <c r="AA15" s="25"/>
      <c r="AB15" s="26" t="s">
        <v>64</v>
      </c>
      <c r="AC15" s="7" t="n">
        <f aca="false">$I$7</f>
        <v>6500</v>
      </c>
      <c r="AD15" s="7"/>
      <c r="AE15" s="7"/>
    </row>
    <row r="16" customFormat="false" ht="17.25" hidden="false" customHeight="true" outlineLevel="0" collapsed="false">
      <c r="B16" s="6" t="s">
        <v>65</v>
      </c>
      <c r="C16" s="6"/>
      <c r="D16" s="6"/>
      <c r="E16" s="25" t="s">
        <v>91</v>
      </c>
      <c r="F16" s="25"/>
      <c r="G16" s="25"/>
      <c r="H16" s="25"/>
      <c r="I16" s="25"/>
      <c r="J16" s="25"/>
      <c r="K16" s="25"/>
      <c r="L16" s="26"/>
      <c r="M16" s="7" t="n">
        <f aca="false">$U$7</f>
        <v>500</v>
      </c>
      <c r="N16" s="7"/>
      <c r="O16" s="7"/>
      <c r="R16" s="27" t="s">
        <v>65</v>
      </c>
      <c r="S16" s="27"/>
      <c r="T16" s="27"/>
      <c r="U16" s="25" t="s">
        <v>92</v>
      </c>
      <c r="V16" s="25"/>
      <c r="W16" s="25"/>
      <c r="X16" s="25"/>
      <c r="Y16" s="25"/>
      <c r="Z16" s="25"/>
      <c r="AA16" s="25"/>
      <c r="AB16" s="26"/>
      <c r="AC16" s="7" t="n">
        <f aca="false">$R$7</f>
        <v>0</v>
      </c>
      <c r="AD16" s="7"/>
      <c r="AE16" s="7"/>
    </row>
    <row r="17" customFormat="false" ht="16.5" hidden="false" customHeight="true" outlineLevel="0" collapsed="false">
      <c r="M17" s="28" t="n">
        <f aca="false">SUM(M14:M16)</f>
        <v>6500</v>
      </c>
      <c r="N17" s="28"/>
      <c r="O17" s="28"/>
      <c r="R17" s="29"/>
      <c r="AC17" s="28" t="n">
        <f aca="false">SUM(AC14:AC16)</f>
        <v>6500</v>
      </c>
      <c r="AD17" s="28"/>
      <c r="AE17" s="28"/>
    </row>
    <row r="18" customFormat="false" ht="17.25" hidden="false" customHeight="true" outlineLevel="0" collapsed="false">
      <c r="B18" s="6" t="s">
        <v>70</v>
      </c>
      <c r="C18" s="6"/>
      <c r="D18" s="6"/>
      <c r="E18" s="25" t="s">
        <v>89</v>
      </c>
      <c r="F18" s="25"/>
      <c r="G18" s="25"/>
      <c r="H18" s="25"/>
      <c r="I18" s="25"/>
      <c r="J18" s="25"/>
      <c r="K18" s="25"/>
      <c r="L18" s="26"/>
      <c r="M18" s="7" t="n">
        <f aca="false">$R$7</f>
        <v>0</v>
      </c>
      <c r="N18" s="7"/>
      <c r="O18" s="7"/>
      <c r="R18" s="27" t="s">
        <v>70</v>
      </c>
      <c r="S18" s="27"/>
      <c r="T18" s="27"/>
      <c r="U18" s="25" t="s">
        <v>90</v>
      </c>
      <c r="V18" s="25"/>
      <c r="W18" s="25"/>
      <c r="X18" s="25"/>
      <c r="Y18" s="25"/>
      <c r="Z18" s="25"/>
      <c r="AA18" s="25"/>
      <c r="AB18" s="26"/>
      <c r="AC18" s="7" t="n">
        <f aca="false">$U$7</f>
        <v>500</v>
      </c>
      <c r="AD18" s="7"/>
      <c r="AE18" s="7"/>
    </row>
    <row r="20" customFormat="false" ht="18.75" hidden="false" customHeight="true" outlineLevel="0" collapsed="false">
      <c r="B20" s="3" t="s">
        <v>93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5" hidden="false" customHeight="false" outlineLevel="0" collapsed="false">
      <c r="B21" s="30" t="s">
        <v>94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1" t="s">
        <v>95</v>
      </c>
      <c r="Y21" s="31"/>
      <c r="Z21" s="31"/>
      <c r="AA21" s="31"/>
      <c r="AB21" s="31"/>
      <c r="AC21" s="31"/>
    </row>
    <row r="22" customFormat="false" ht="16.5" hidden="false" customHeight="true" outlineLevel="0" collapsed="false">
      <c r="B22" s="12" t="s">
        <v>96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5" t="n">
        <v>3600</v>
      </c>
      <c r="Y22" s="15"/>
      <c r="Z22" s="15"/>
      <c r="AA22" s="15"/>
      <c r="AB22" s="15"/>
      <c r="AC22" s="15"/>
    </row>
    <row r="23" customFormat="false" ht="16.5" hidden="false" customHeight="true" outlineLevel="0" collapsed="false">
      <c r="B23" s="12" t="s">
        <v>97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32" t="n">
        <v>12</v>
      </c>
      <c r="Y23" s="32"/>
      <c r="Z23" s="32"/>
      <c r="AA23" s="32"/>
      <c r="AB23" s="32"/>
      <c r="AC23" s="32"/>
    </row>
    <row r="24" customFormat="false" ht="16.5" hidden="false" customHeight="true" outlineLevel="0" collapsed="false">
      <c r="B24" s="12" t="s">
        <v>98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32" t="n">
        <v>9</v>
      </c>
      <c r="Y24" s="32"/>
      <c r="Z24" s="32"/>
      <c r="AA24" s="32"/>
      <c r="AB24" s="32"/>
      <c r="AC24" s="32"/>
    </row>
    <row r="26" customFormat="false" ht="17.25" hidden="false" customHeight="true" outlineLevel="0" collapsed="false">
      <c r="B26" s="33" t="s">
        <v>99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4" t="n">
        <f aca="false">$X$22/$X$23</f>
        <v>300</v>
      </c>
      <c r="Y26" s="34"/>
      <c r="Z26" s="34"/>
      <c r="AA26" s="34"/>
      <c r="AB26" s="34"/>
    </row>
    <row r="27" customFormat="false" ht="17.25" hidden="false" customHeight="true" outlineLevel="0" collapsed="false">
      <c r="B27" s="33" t="s">
        <v>100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4" t="n">
        <f aca="false">$X$22/$X$23*$X$24</f>
        <v>2700</v>
      </c>
      <c r="Y27" s="34"/>
      <c r="Z27" s="34"/>
      <c r="AA27" s="34"/>
      <c r="AB27" s="34"/>
    </row>
    <row r="28" customFormat="false" ht="17.25" hidden="false" customHeight="true" outlineLevel="0" collapsed="false">
      <c r="B28" s="33" t="s">
        <v>101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4" t="n">
        <f aca="false">$X$22-$X$22/$X$23*$X$24</f>
        <v>900</v>
      </c>
      <c r="Y28" s="34"/>
      <c r="Z28" s="34"/>
      <c r="AA28" s="34"/>
      <c r="AB28" s="34"/>
    </row>
  </sheetData>
  <mergeCells count="83">
    <mergeCell ref="B1:AF1"/>
    <mergeCell ref="B2:AF2"/>
    <mergeCell ref="B3:AF3"/>
    <mergeCell ref="B5:AF5"/>
    <mergeCell ref="B6:H6"/>
    <mergeCell ref="I6:K6"/>
    <mergeCell ref="L6:N6"/>
    <mergeCell ref="O6:Q6"/>
    <mergeCell ref="R6:T6"/>
    <mergeCell ref="U6:W6"/>
    <mergeCell ref="X6:Z6"/>
    <mergeCell ref="AA6:AC6"/>
    <mergeCell ref="AD6:AF6"/>
    <mergeCell ref="B7:H7"/>
    <mergeCell ref="I7:K7"/>
    <mergeCell ref="L7:N7"/>
    <mergeCell ref="O7:Q7"/>
    <mergeCell ref="R7:T7"/>
    <mergeCell ref="U7:W7"/>
    <mergeCell ref="X7:Z7"/>
    <mergeCell ref="AA7:AC7"/>
    <mergeCell ref="AD7:AF7"/>
    <mergeCell ref="B8:H8"/>
    <mergeCell ref="I8:K8"/>
    <mergeCell ref="L8:N8"/>
    <mergeCell ref="O8:Q8"/>
    <mergeCell ref="R8:T8"/>
    <mergeCell ref="U8:W8"/>
    <mergeCell ref="X8:Z8"/>
    <mergeCell ref="AA8:AC8"/>
    <mergeCell ref="AD8:AF8"/>
    <mergeCell ref="B9:AF9"/>
    <mergeCell ref="B11:AF11"/>
    <mergeCell ref="B12:D12"/>
    <mergeCell ref="E12:AC12"/>
    <mergeCell ref="AD12:AF12"/>
    <mergeCell ref="B13:D13"/>
    <mergeCell ref="E13:K13"/>
    <mergeCell ref="M13:P13"/>
    <mergeCell ref="R13:T13"/>
    <mergeCell ref="U13:AA13"/>
    <mergeCell ref="AC13:AF13"/>
    <mergeCell ref="B14:D14"/>
    <mergeCell ref="E14:K14"/>
    <mergeCell ref="M14:O14"/>
    <mergeCell ref="R14:T14"/>
    <mergeCell ref="U14:AA14"/>
    <mergeCell ref="AC14:AE14"/>
    <mergeCell ref="B15:D15"/>
    <mergeCell ref="E15:K15"/>
    <mergeCell ref="M15:O15"/>
    <mergeCell ref="R15:T15"/>
    <mergeCell ref="U15:AA15"/>
    <mergeCell ref="AC15:AE15"/>
    <mergeCell ref="B16:D16"/>
    <mergeCell ref="E16:K16"/>
    <mergeCell ref="M16:O16"/>
    <mergeCell ref="R16:T16"/>
    <mergeCell ref="U16:AA16"/>
    <mergeCell ref="AC16:AE16"/>
    <mergeCell ref="M17:O17"/>
    <mergeCell ref="AC17:AE17"/>
    <mergeCell ref="B18:D18"/>
    <mergeCell ref="E18:K18"/>
    <mergeCell ref="M18:O18"/>
    <mergeCell ref="R18:T18"/>
    <mergeCell ref="U18:AA18"/>
    <mergeCell ref="AC18:AE18"/>
    <mergeCell ref="B20:AF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6:W26"/>
    <mergeCell ref="X26:AB26"/>
    <mergeCell ref="B27:W27"/>
    <mergeCell ref="X27:AB27"/>
    <mergeCell ref="B28:W28"/>
    <mergeCell ref="X28:AB28"/>
  </mergeCells>
  <conditionalFormatting sqref="B1:AG2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2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104</v>
      </c>
      <c r="C3" s="17"/>
      <c r="D3" s="17"/>
      <c r="E3" s="17"/>
      <c r="F3" s="17"/>
      <c r="G3" s="17"/>
      <c r="H3" s="17" t="str">
        <f aca="false">COUNTIF(B4:AG28,"✓")&amp;" correct out of 6 answer cells"</f>
        <v>0 correct out of 6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105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0" t="s">
        <v>108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 t="s">
        <v>95</v>
      </c>
      <c r="Y8" s="31"/>
      <c r="Z8" s="31"/>
      <c r="AA8" s="31"/>
      <c r="AB8" s="31"/>
      <c r="AC8" s="31"/>
    </row>
    <row r="9" customFormat="false" ht="16.5" hidden="false" customHeight="true" outlineLevel="0" collapsed="false">
      <c r="B9" s="12" t="s">
        <v>109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800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110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8800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111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1800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112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300</v>
      </c>
      <c r="Y12" s="15"/>
      <c r="Z12" s="15"/>
      <c r="AA12" s="15"/>
      <c r="AB12" s="15"/>
      <c r="AC12" s="15"/>
    </row>
    <row r="15" customFormat="false" ht="18.75" hidden="false" customHeight="true" outlineLevel="0" collapsed="false">
      <c r="B15" s="3" t="s">
        <v>113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3" t="s">
        <v>114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5"/>
      <c r="Y16" s="35"/>
      <c r="Z16" s="35"/>
      <c r="AA16" s="35"/>
      <c r="AB16" s="35"/>
      <c r="AC16" s="36" t="str">
        <f aca="false">IF(X16="","",IFERROR(IF(ABS(ABS(X16)-ABS('Q11.8 Ans'!X16))&lt;0.5,"✓","✗"),"✗"))</f>
        <v/>
      </c>
    </row>
    <row r="17" customFormat="false" ht="17.25" hidden="false" customHeight="true" outlineLevel="0" collapsed="false">
      <c r="B17" s="33" t="s">
        <v>115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5"/>
      <c r="Y17" s="35"/>
      <c r="Z17" s="35"/>
      <c r="AA17" s="35"/>
      <c r="AB17" s="35"/>
      <c r="AC17" s="36" t="str">
        <f aca="false">IF(X17="","",IFERROR(IF(ABS(ABS(X17)-ABS('Q11.8 Ans'!X17))&lt;0.5,"✓","✗"),"✗"))</f>
        <v/>
      </c>
    </row>
    <row r="19" customFormat="false" ht="18.75" hidden="false" customHeight="true" outlineLevel="0" collapsed="false">
      <c r="B19" s="3" t="s">
        <v>116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3" t="s">
        <v>117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5"/>
      <c r="Y20" s="35"/>
      <c r="Z20" s="35"/>
      <c r="AA20" s="35"/>
      <c r="AB20" s="35"/>
      <c r="AC20" s="36" t="str">
        <f aca="false">IF(X20="","",IFERROR(IF(ABS(ABS(X20)-ABS('Q11.8 Ans'!X20))&lt;0.5,"✓","✗"),"✗"))</f>
        <v/>
      </c>
    </row>
    <row r="22" customFormat="false" ht="18.75" hidden="false" customHeight="true" outlineLevel="0" collapsed="false">
      <c r="B22" s="3" t="s">
        <v>118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33" t="s">
        <v>119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7"/>
      <c r="U23" s="37"/>
      <c r="V23" s="37"/>
      <c r="W23" s="37"/>
      <c r="X23" s="37"/>
      <c r="Y23" s="37"/>
      <c r="Z23" s="37"/>
      <c r="AA23" s="37"/>
      <c r="AB23" s="37"/>
      <c r="AC23" s="38" t="str">
        <f aca="false">IF(T23="","",IF(LOWER(TRIM(T23))=LOWER('Q11.8 Ans'!T23),"✓","✗"))</f>
        <v/>
      </c>
    </row>
    <row r="24" customFormat="false" ht="17.25" hidden="false" customHeight="true" outlineLevel="0" collapsed="false">
      <c r="B24" s="33" t="s">
        <v>120</v>
      </c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7"/>
      <c r="U24" s="37"/>
      <c r="V24" s="37"/>
      <c r="W24" s="37"/>
      <c r="X24" s="37"/>
      <c r="Y24" s="37"/>
      <c r="Z24" s="37"/>
      <c r="AA24" s="37"/>
      <c r="AB24" s="37"/>
      <c r="AC24" s="38" t="str">
        <f aca="false">IF(T24="","",IF(LOWER(TRIM(T24))=LOWER('Q11.8 Ans'!T24),"✓","✗"))</f>
        <v/>
      </c>
    </row>
    <row r="26" customFormat="false" ht="18.75" hidden="false" customHeight="true" outlineLevel="0" collapsed="false">
      <c r="B26" s="3" t="s">
        <v>121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33" t="s">
        <v>122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7"/>
      <c r="U27" s="37"/>
      <c r="V27" s="37"/>
      <c r="W27" s="37"/>
      <c r="X27" s="37"/>
      <c r="Y27" s="37"/>
      <c r="Z27" s="37"/>
      <c r="AA27" s="37"/>
      <c r="AB27" s="37"/>
      <c r="AC27" s="38" t="str">
        <f aca="false">IF(T27="","",IF(LOWER(TRIM(T27))=LOWER('Q11.8 Ans'!T27),"✓","✗"))</f>
        <v/>
      </c>
    </row>
  </sheetData>
  <mergeCells count="33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W20"/>
    <mergeCell ref="X20:AB20"/>
    <mergeCell ref="B22:AF22"/>
    <mergeCell ref="B23:S23"/>
    <mergeCell ref="T23:AB23"/>
    <mergeCell ref="B24:S24"/>
    <mergeCell ref="T24:AB24"/>
    <mergeCell ref="B26:AF26"/>
    <mergeCell ref="B27:S27"/>
    <mergeCell ref="T27:AB27"/>
  </mergeCells>
  <conditionalFormatting sqref="B4:AG2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3" type="list">
      <formula1>"Current assets (other receivables),Current liabilities (other payables),Non-current assets,Non-current liabilities"</formula1>
      <formula2>0</formula2>
    </dataValidation>
    <dataValidation allowBlank="true" errorStyle="stop" operator="between" showDropDown="false" showErrorMessage="false" showInputMessage="false" sqref="T24" type="list">
      <formula1>"Current assets (other receivables),Current liabilities (other payables),Non-current assets,Non-current liabilities"</formula1>
      <formula2>0</formula2>
    </dataValidation>
    <dataValidation allowBlank="true" errorStyle="stop" operator="between" showDropDown="false" showErrorMessage="false" showInputMessage="false" sqref="T27" type="list">
      <formula1>"Business entity,Duality,Money measurement,Historical cost,Going concern,Realisation,Accruals,Consistency,Prudence,Materiality"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104</v>
      </c>
      <c r="C3" s="17"/>
      <c r="D3" s="17"/>
      <c r="E3" s="17"/>
      <c r="F3" s="17"/>
      <c r="G3" s="17"/>
      <c r="H3" s="17" t="str">
        <f aca="false">COUNTIF(B4:AG43,"✓")&amp;" correct out of 16 answer cells"</f>
        <v>0 correct out of 16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105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124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125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0" t="s">
        <v>108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 t="s">
        <v>95</v>
      </c>
      <c r="Y8" s="31"/>
      <c r="Z8" s="31"/>
      <c r="AA8" s="31"/>
      <c r="AB8" s="31"/>
      <c r="AC8" s="31"/>
    </row>
    <row r="9" customFormat="false" ht="16.5" hidden="false" customHeight="true" outlineLevel="0" collapsed="false">
      <c r="B9" s="12" t="s">
        <v>126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600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127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550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500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129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580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130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2400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131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2" t="n">
        <v>6</v>
      </c>
      <c r="Y14" s="32"/>
      <c r="Z14" s="32"/>
      <c r="AA14" s="32"/>
      <c r="AB14" s="32"/>
      <c r="AC14" s="32"/>
    </row>
    <row r="17" customFormat="false" ht="18.75" hidden="false" customHeight="true" outlineLevel="0" collapsed="false">
      <c r="B17" s="3" t="s">
        <v>132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7" t="s">
        <v>52</v>
      </c>
      <c r="C18" s="17"/>
      <c r="D18" s="17"/>
      <c r="E18" s="18" t="s">
        <v>74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9" t="s">
        <v>54</v>
      </c>
      <c r="AE18" s="19"/>
      <c r="AF18" s="19"/>
    </row>
    <row r="19" customFormat="false" ht="15" hidden="false" customHeight="false" outlineLevel="0" collapsed="false">
      <c r="B19" s="20" t="s">
        <v>55</v>
      </c>
      <c r="C19" s="20"/>
      <c r="D19" s="20"/>
      <c r="E19" s="20" t="s">
        <v>56</v>
      </c>
      <c r="F19" s="20"/>
      <c r="G19" s="20"/>
      <c r="H19" s="20"/>
      <c r="I19" s="20"/>
      <c r="J19" s="20"/>
      <c r="K19" s="20"/>
      <c r="L19" s="21" t="s">
        <v>57</v>
      </c>
      <c r="M19" s="22" t="s">
        <v>58</v>
      </c>
      <c r="N19" s="22"/>
      <c r="O19" s="22"/>
      <c r="P19" s="22"/>
      <c r="Q19" s="23"/>
      <c r="R19" s="24" t="s">
        <v>55</v>
      </c>
      <c r="S19" s="24"/>
      <c r="T19" s="24"/>
      <c r="U19" s="20" t="s">
        <v>56</v>
      </c>
      <c r="V19" s="20"/>
      <c r="W19" s="20"/>
      <c r="X19" s="20"/>
      <c r="Y19" s="20"/>
      <c r="Z19" s="20"/>
      <c r="AA19" s="20"/>
      <c r="AB19" s="21" t="s">
        <v>57</v>
      </c>
      <c r="AC19" s="22" t="s">
        <v>58</v>
      </c>
      <c r="AD19" s="22"/>
      <c r="AE19" s="22"/>
      <c r="AF19" s="22"/>
    </row>
    <row r="20" customFormat="false" ht="17.25" hidden="false" customHeight="true" outlineLevel="0" collapsed="false">
      <c r="B20" s="6" t="s">
        <v>133</v>
      </c>
      <c r="C20" s="6"/>
      <c r="D20" s="6"/>
      <c r="E20" s="25" t="s">
        <v>63</v>
      </c>
      <c r="F20" s="25"/>
      <c r="G20" s="25"/>
      <c r="H20" s="25"/>
      <c r="I20" s="25"/>
      <c r="J20" s="25"/>
      <c r="K20" s="25"/>
      <c r="L20" s="26" t="s">
        <v>64</v>
      </c>
      <c r="M20" s="35"/>
      <c r="N20" s="35"/>
      <c r="O20" s="35"/>
      <c r="P20" s="36" t="str">
        <f aca="false">IF(M20="","",IFERROR(IF(ABS(ABS(M20)-ABS('Q11.9 Ans'!M20))&lt;0.5,"✓","✗"),"✗"))</f>
        <v/>
      </c>
      <c r="R20" s="27" t="s">
        <v>134</v>
      </c>
      <c r="S20" s="27"/>
      <c r="T20" s="27"/>
      <c r="U20" s="25" t="s">
        <v>66</v>
      </c>
      <c r="V20" s="25"/>
      <c r="W20" s="25"/>
      <c r="X20" s="25"/>
      <c r="Y20" s="25"/>
      <c r="Z20" s="25"/>
      <c r="AA20" s="25"/>
      <c r="AB20" s="26" t="s">
        <v>67</v>
      </c>
      <c r="AC20" s="35"/>
      <c r="AD20" s="35"/>
      <c r="AE20" s="35"/>
      <c r="AF20" s="36" t="str">
        <f aca="false">IF(AC20="","",IFERROR(IF(ABS(ABS(AC20)-ABS('Q11.9 Ans'!AC20))&lt;0.5,"✓","✗"),"✗"))</f>
        <v/>
      </c>
    </row>
    <row r="21" customFormat="false" ht="17.25" hidden="false" customHeight="true" outlineLevel="0" collapsed="false">
      <c r="B21" s="6" t="s">
        <v>135</v>
      </c>
      <c r="C21" s="6"/>
      <c r="D21" s="6"/>
      <c r="E21" s="25" t="s">
        <v>63</v>
      </c>
      <c r="F21" s="25"/>
      <c r="G21" s="25"/>
      <c r="H21" s="25"/>
      <c r="I21" s="25"/>
      <c r="J21" s="25"/>
      <c r="K21" s="25"/>
      <c r="L21" s="26" t="s">
        <v>64</v>
      </c>
      <c r="M21" s="35"/>
      <c r="N21" s="35"/>
      <c r="O21" s="35"/>
      <c r="P21" s="36" t="str">
        <f aca="false">IF(M21="","",IFERROR(IF(ABS(ABS(M21)-ABS('Q11.9 Ans'!M21))&lt;0.5,"✓","✗"),"✗"))</f>
        <v/>
      </c>
      <c r="R21" s="29"/>
    </row>
    <row r="22" customFormat="false" ht="17.25" hidden="false" customHeight="true" outlineLevel="0" collapsed="false">
      <c r="B22" s="6" t="s">
        <v>136</v>
      </c>
      <c r="C22" s="6"/>
      <c r="D22" s="6"/>
      <c r="E22" s="25" t="s">
        <v>63</v>
      </c>
      <c r="F22" s="25"/>
      <c r="G22" s="25"/>
      <c r="H22" s="25"/>
      <c r="I22" s="25"/>
      <c r="J22" s="25"/>
      <c r="K22" s="25"/>
      <c r="L22" s="26" t="s">
        <v>64</v>
      </c>
      <c r="M22" s="35"/>
      <c r="N22" s="35"/>
      <c r="O22" s="35"/>
      <c r="P22" s="36" t="str">
        <f aca="false">IF(M22="","",IFERROR(IF(ABS(ABS(M22)-ABS('Q11.9 Ans'!M22))&lt;0.5,"✓","✗"),"✗"))</f>
        <v/>
      </c>
      <c r="R22" s="29"/>
    </row>
    <row r="23" customFormat="false" ht="17.25" hidden="false" customHeight="true" outlineLevel="0" collapsed="false">
      <c r="B23" s="6" t="s">
        <v>65</v>
      </c>
      <c r="C23" s="6"/>
      <c r="D23" s="6"/>
      <c r="E23" s="25" t="s">
        <v>137</v>
      </c>
      <c r="F23" s="25"/>
      <c r="G23" s="25"/>
      <c r="H23" s="25"/>
      <c r="I23" s="25"/>
      <c r="J23" s="25"/>
      <c r="K23" s="25"/>
      <c r="L23" s="26"/>
      <c r="M23" s="35"/>
      <c r="N23" s="35"/>
      <c r="O23" s="35"/>
      <c r="P23" s="36" t="str">
        <f aca="false">IF(M23="","",IFERROR(IF(ABS(ABS(M23)-ABS('Q11.9 Ans'!M23))&lt;0.5,"✓","✗"),"✗"))</f>
        <v/>
      </c>
      <c r="R23" s="29"/>
    </row>
    <row r="24" customFormat="false" ht="16.5" hidden="false" customHeight="true" outlineLevel="0" collapsed="false">
      <c r="M24" s="39"/>
      <c r="N24" s="39"/>
      <c r="O24" s="39"/>
      <c r="P24" s="36" t="str">
        <f aca="false">IF(M24="","",IFERROR(IF(ABS(ABS(M24)-ABS('Q11.9 Ans'!M24))&lt;0.5,"✓","✗"),"✗"))</f>
        <v/>
      </c>
      <c r="R24" s="29"/>
      <c r="AC24" s="39"/>
      <c r="AD24" s="39"/>
      <c r="AE24" s="39"/>
      <c r="AF24" s="36" t="str">
        <f aca="false">IF(AC24="","",IFERROR(IF(ABS(ABS(AC24)-ABS('Q11.9 Ans'!AC24))&lt;0.5,"✓","✗"),"✗"))</f>
        <v/>
      </c>
    </row>
    <row r="25" customFormat="false" ht="17.25" hidden="false" customHeight="true" outlineLevel="0" collapsed="false">
      <c r="R25" s="27" t="s">
        <v>70</v>
      </c>
      <c r="S25" s="27"/>
      <c r="T25" s="27"/>
      <c r="U25" s="25" t="s">
        <v>138</v>
      </c>
      <c r="V25" s="25"/>
      <c r="W25" s="25"/>
      <c r="X25" s="25"/>
      <c r="Y25" s="25"/>
      <c r="Z25" s="25"/>
      <c r="AA25" s="25"/>
      <c r="AB25" s="26"/>
      <c r="AC25" s="35"/>
      <c r="AD25" s="35"/>
      <c r="AE25" s="35"/>
      <c r="AF25" s="36" t="str">
        <f aca="false">IF(AC25="","",IFERROR(IF(ABS(ABS(AC25)-ABS('Q11.9 Ans'!AC25))&lt;0.5,"✓","✗"),"✗"))</f>
        <v/>
      </c>
    </row>
    <row r="27" customFormat="false" ht="18.75" hidden="false" customHeight="true" outlineLevel="0" collapsed="false">
      <c r="B27" s="3" t="s">
        <v>139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17" t="s">
        <v>52</v>
      </c>
      <c r="C28" s="17"/>
      <c r="D28" s="17"/>
      <c r="E28" s="18" t="s">
        <v>72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9" t="s">
        <v>54</v>
      </c>
      <c r="AE28" s="19"/>
      <c r="AF28" s="19"/>
    </row>
    <row r="29" customFormat="false" ht="15" hidden="false" customHeight="false" outlineLevel="0" collapsed="false">
      <c r="B29" s="20" t="s">
        <v>55</v>
      </c>
      <c r="C29" s="20"/>
      <c r="D29" s="20"/>
      <c r="E29" s="20" t="s">
        <v>56</v>
      </c>
      <c r="F29" s="20"/>
      <c r="G29" s="20"/>
      <c r="H29" s="20"/>
      <c r="I29" s="20"/>
      <c r="J29" s="20"/>
      <c r="K29" s="20"/>
      <c r="L29" s="21" t="s">
        <v>57</v>
      </c>
      <c r="M29" s="22" t="s">
        <v>58</v>
      </c>
      <c r="N29" s="22"/>
      <c r="O29" s="22"/>
      <c r="P29" s="22"/>
      <c r="Q29" s="23"/>
      <c r="R29" s="24" t="s">
        <v>55</v>
      </c>
      <c r="S29" s="24"/>
      <c r="T29" s="24"/>
      <c r="U29" s="20" t="s">
        <v>56</v>
      </c>
      <c r="V29" s="20"/>
      <c r="W29" s="20"/>
      <c r="X29" s="20"/>
      <c r="Y29" s="20"/>
      <c r="Z29" s="20"/>
      <c r="AA29" s="20"/>
      <c r="AB29" s="21" t="s">
        <v>57</v>
      </c>
      <c r="AC29" s="22" t="s">
        <v>58</v>
      </c>
      <c r="AD29" s="22"/>
      <c r="AE29" s="22"/>
      <c r="AF29" s="22"/>
    </row>
    <row r="30" customFormat="false" ht="17.25" hidden="false" customHeight="true" outlineLevel="0" collapsed="false">
      <c r="B30" s="6" t="s">
        <v>140</v>
      </c>
      <c r="C30" s="6"/>
      <c r="D30" s="6"/>
      <c r="E30" s="25" t="s">
        <v>63</v>
      </c>
      <c r="F30" s="25"/>
      <c r="G30" s="25"/>
      <c r="H30" s="25"/>
      <c r="I30" s="25"/>
      <c r="J30" s="25"/>
      <c r="K30" s="25"/>
      <c r="L30" s="26" t="s">
        <v>64</v>
      </c>
      <c r="M30" s="35"/>
      <c r="N30" s="35"/>
      <c r="O30" s="35"/>
      <c r="P30" s="36" t="str">
        <f aca="false">IF(M30="","",IFERROR(IF(ABS(ABS(M30)-ABS('Q11.9 Ans'!M30))&lt;0.5,"✓","✗"),"✗"))</f>
        <v/>
      </c>
      <c r="R30" s="27" t="s">
        <v>134</v>
      </c>
      <c r="S30" s="27"/>
      <c r="T30" s="27"/>
      <c r="U30" s="25" t="s">
        <v>66</v>
      </c>
      <c r="V30" s="25"/>
      <c r="W30" s="25"/>
      <c r="X30" s="25"/>
      <c r="Y30" s="25"/>
      <c r="Z30" s="25"/>
      <c r="AA30" s="25"/>
      <c r="AB30" s="26" t="s">
        <v>67</v>
      </c>
      <c r="AC30" s="35"/>
      <c r="AD30" s="35"/>
      <c r="AE30" s="35"/>
      <c r="AF30" s="36" t="str">
        <f aca="false">IF(AC30="","",IFERROR(IF(ABS(ABS(AC30)-ABS('Q11.9 Ans'!AC30))&lt;0.5,"✓","✗"),"✗"))</f>
        <v/>
      </c>
    </row>
    <row r="31" customFormat="false" ht="17.25" hidden="false" customHeight="true" outlineLevel="0" collapsed="false">
      <c r="R31" s="27" t="s">
        <v>65</v>
      </c>
      <c r="S31" s="27"/>
      <c r="T31" s="27"/>
      <c r="U31" s="25" t="s">
        <v>137</v>
      </c>
      <c r="V31" s="25"/>
      <c r="W31" s="25"/>
      <c r="X31" s="25"/>
      <c r="Y31" s="25"/>
      <c r="Z31" s="25"/>
      <c r="AA31" s="25"/>
      <c r="AB31" s="26"/>
      <c r="AC31" s="35"/>
      <c r="AD31" s="35"/>
      <c r="AE31" s="35"/>
      <c r="AF31" s="36" t="str">
        <f aca="false">IF(AC31="","",IFERROR(IF(ABS(ABS(AC31)-ABS('Q11.9 Ans'!AC31))&lt;0.5,"✓","✗"),"✗"))</f>
        <v/>
      </c>
    </row>
    <row r="32" customFormat="false" ht="16.5" hidden="false" customHeight="true" outlineLevel="0" collapsed="false">
      <c r="M32" s="39"/>
      <c r="N32" s="39"/>
      <c r="O32" s="39"/>
      <c r="P32" s="36" t="str">
        <f aca="false">IF(M32="","",IFERROR(IF(ABS(ABS(M32)-ABS('Q11.9 Ans'!M32))&lt;0.5,"✓","✗"),"✗"))</f>
        <v/>
      </c>
      <c r="R32" s="29"/>
      <c r="AC32" s="39"/>
      <c r="AD32" s="39"/>
      <c r="AE32" s="39"/>
      <c r="AF32" s="36" t="str">
        <f aca="false">IF(AC32="","",IFERROR(IF(ABS(ABS(AC32)-ABS('Q11.9 Ans'!AC32))&lt;0.5,"✓","✗"),"✗"))</f>
        <v/>
      </c>
    </row>
    <row r="33" customFormat="false" ht="17.25" hidden="false" customHeight="true" outlineLevel="0" collapsed="false">
      <c r="B33" s="6" t="s">
        <v>70</v>
      </c>
      <c r="C33" s="6"/>
      <c r="D33" s="6"/>
      <c r="E33" s="25" t="s">
        <v>138</v>
      </c>
      <c r="F33" s="25"/>
      <c r="G33" s="25"/>
      <c r="H33" s="25"/>
      <c r="I33" s="25"/>
      <c r="J33" s="25"/>
      <c r="K33" s="25"/>
      <c r="L33" s="26"/>
      <c r="M33" s="35"/>
      <c r="N33" s="35"/>
      <c r="O33" s="35"/>
      <c r="P33" s="36" t="str">
        <f aca="false">IF(M33="","",IFERROR(IF(ABS(ABS(M33)-ABS('Q11.9 Ans'!M33))&lt;0.5,"✓","✗"),"✗"))</f>
        <v/>
      </c>
      <c r="R33" s="29"/>
    </row>
    <row r="35" customFormat="false" ht="18.75" hidden="false" customHeight="true" outlineLevel="0" collapsed="false">
      <c r="B35" s="3" t="s">
        <v>141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5" hidden="false" customHeight="false" outlineLevel="0" collapsed="false">
      <c r="B36" s="18" t="s">
        <v>142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customFormat="false" ht="15" hidden="false" customHeight="false" outlineLevel="0" collapsed="false">
      <c r="B37" s="40"/>
      <c r="C37" s="40"/>
      <c r="D37" s="40"/>
      <c r="E37" s="30" t="s">
        <v>56</v>
      </c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1" t="s">
        <v>143</v>
      </c>
      <c r="S37" s="31"/>
      <c r="T37" s="31"/>
      <c r="U37" s="31"/>
      <c r="V37" s="31"/>
      <c r="W37" s="31" t="s">
        <v>143</v>
      </c>
      <c r="X37" s="31"/>
      <c r="Y37" s="31"/>
      <c r="Z37" s="31"/>
      <c r="AA37" s="31"/>
      <c r="AB37" s="31" t="s">
        <v>143</v>
      </c>
      <c r="AC37" s="31"/>
      <c r="AD37" s="31"/>
      <c r="AE37" s="31"/>
      <c r="AF37" s="31"/>
    </row>
    <row r="38" customFormat="false" ht="30" hidden="false" customHeight="true" outlineLevel="0" collapsed="false"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11" t="s">
        <v>144</v>
      </c>
      <c r="S38" s="11"/>
      <c r="T38" s="11"/>
      <c r="U38" s="11"/>
      <c r="V38" s="11"/>
      <c r="W38" s="11" t="s">
        <v>145</v>
      </c>
      <c r="X38" s="11"/>
      <c r="Y38" s="11"/>
      <c r="Z38" s="11"/>
      <c r="AA38" s="11"/>
      <c r="AB38" s="11" t="s">
        <v>146</v>
      </c>
      <c r="AC38" s="11"/>
      <c r="AD38" s="11"/>
      <c r="AE38" s="11"/>
      <c r="AF38" s="11"/>
    </row>
    <row r="39" customFormat="false" ht="17.25" hidden="false" customHeight="true" outlineLevel="0" collapsed="false">
      <c r="B39" s="41"/>
      <c r="C39" s="41"/>
      <c r="D39" s="41"/>
      <c r="E39" s="42" t="s">
        <v>147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</row>
    <row r="40" customFormat="false" ht="17.25" hidden="false" customHeight="true" outlineLevel="0" collapsed="false">
      <c r="B40" s="41"/>
      <c r="C40" s="41"/>
      <c r="D40" s="41"/>
      <c r="E40" s="25" t="s">
        <v>148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35"/>
      <c r="X40" s="35"/>
      <c r="Y40" s="35"/>
      <c r="Z40" s="35"/>
      <c r="AA40" s="36" t="str">
        <f aca="false">IF(W40="","",IFERROR(IF(ABS(ABS(W40)-ABS('Q11.9 Ans'!W40))&lt;0.5,"✓","✗"),"✗"))</f>
        <v/>
      </c>
    </row>
    <row r="41" customFormat="false" ht="17.25" hidden="false" customHeight="true" outlineLevel="0" collapsed="false">
      <c r="B41" s="41" t="s">
        <v>149</v>
      </c>
      <c r="C41" s="41"/>
      <c r="D41" s="41"/>
      <c r="E41" s="42" t="s">
        <v>150</v>
      </c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</row>
    <row r="42" customFormat="false" ht="17.25" hidden="false" customHeight="true" outlineLevel="0" collapsed="false">
      <c r="B42" s="41"/>
      <c r="C42" s="41"/>
      <c r="D42" s="41"/>
      <c r="E42" s="25" t="s">
        <v>151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W42" s="35"/>
      <c r="X42" s="35"/>
      <c r="Y42" s="35"/>
      <c r="Z42" s="35"/>
      <c r="AA42" s="36" t="str">
        <f aca="false">IF(W42="","",IFERROR(IF(ABS(ABS(W42)-ABS('Q11.9 Ans'!W42))&lt;0.5,"✓","✗"),"✗"))</f>
        <v/>
      </c>
    </row>
  </sheetData>
  <mergeCells count="97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E20:K20"/>
    <mergeCell ref="M20:O20"/>
    <mergeCell ref="R20:T20"/>
    <mergeCell ref="U20:AA20"/>
    <mergeCell ref="AC20:AE20"/>
    <mergeCell ref="B21:D21"/>
    <mergeCell ref="E21:K21"/>
    <mergeCell ref="M21:O21"/>
    <mergeCell ref="B22:D22"/>
    <mergeCell ref="E22:K22"/>
    <mergeCell ref="M22:O22"/>
    <mergeCell ref="B23:D23"/>
    <mergeCell ref="E23:K23"/>
    <mergeCell ref="M23:O23"/>
    <mergeCell ref="M24:O24"/>
    <mergeCell ref="AC24:AE24"/>
    <mergeCell ref="R25:T25"/>
    <mergeCell ref="U25:AA25"/>
    <mergeCell ref="AC25:AE25"/>
    <mergeCell ref="B27:AF27"/>
    <mergeCell ref="B28:D28"/>
    <mergeCell ref="E28:AC28"/>
    <mergeCell ref="AD28:AF28"/>
    <mergeCell ref="B29:D29"/>
    <mergeCell ref="E29:K29"/>
    <mergeCell ref="M29:P29"/>
    <mergeCell ref="R29:T29"/>
    <mergeCell ref="U29:AA29"/>
    <mergeCell ref="AC29:AF29"/>
    <mergeCell ref="B30:D30"/>
    <mergeCell ref="E30:K30"/>
    <mergeCell ref="M30:O30"/>
    <mergeCell ref="R30:T30"/>
    <mergeCell ref="U30:AA30"/>
    <mergeCell ref="AC30:AE30"/>
    <mergeCell ref="R31:T31"/>
    <mergeCell ref="U31:AA31"/>
    <mergeCell ref="AC31:AE31"/>
    <mergeCell ref="M32:O32"/>
    <mergeCell ref="AC32:AE32"/>
    <mergeCell ref="B33:D33"/>
    <mergeCell ref="E33:K33"/>
    <mergeCell ref="M33:O33"/>
    <mergeCell ref="B35:AF35"/>
    <mergeCell ref="B36:AF36"/>
    <mergeCell ref="B37:D37"/>
    <mergeCell ref="E37:Q37"/>
    <mergeCell ref="R37:V37"/>
    <mergeCell ref="W37:AA37"/>
    <mergeCell ref="AB37:AF37"/>
    <mergeCell ref="B38:D38"/>
    <mergeCell ref="E38:Q38"/>
    <mergeCell ref="R38:V38"/>
    <mergeCell ref="W38:AA38"/>
    <mergeCell ref="AB38:AF38"/>
    <mergeCell ref="B39:D39"/>
    <mergeCell ref="E39:Q39"/>
    <mergeCell ref="B40:D40"/>
    <mergeCell ref="E40:Q40"/>
    <mergeCell ref="W40:Z40"/>
    <mergeCell ref="B41:D41"/>
    <mergeCell ref="E41:Q41"/>
    <mergeCell ref="B42:D42"/>
    <mergeCell ref="E42:Q42"/>
    <mergeCell ref="W42:Z42"/>
  </mergeCells>
  <conditionalFormatting sqref="B4:AG4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104</v>
      </c>
      <c r="C3" s="17"/>
      <c r="D3" s="17"/>
      <c r="E3" s="17"/>
      <c r="F3" s="17"/>
      <c r="G3" s="17"/>
      <c r="H3" s="17" t="str">
        <f aca="false">COUNTIF(B4:AG41,"✓")&amp;"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153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154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155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0" t="s">
        <v>108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 t="s">
        <v>95</v>
      </c>
      <c r="Y8" s="31"/>
      <c r="Z8" s="31"/>
      <c r="AA8" s="31"/>
      <c r="AB8" s="31"/>
      <c r="AC8" s="31"/>
    </row>
    <row r="9" customFormat="false" ht="16.5" hidden="false" customHeight="true" outlineLevel="0" collapsed="false">
      <c r="B9" s="12" t="s">
        <v>109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600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156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7800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157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2100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158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350</v>
      </c>
      <c r="Y12" s="15"/>
      <c r="Z12" s="15"/>
      <c r="AA12" s="15"/>
      <c r="AB12" s="15"/>
      <c r="AC12" s="15"/>
    </row>
    <row r="15" customFormat="false" ht="18.75" hidden="false" customHeight="true" outlineLevel="0" collapsed="false">
      <c r="B15" s="3" t="s">
        <v>159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3" t="s">
        <v>160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5"/>
      <c r="Y16" s="35"/>
      <c r="Z16" s="35"/>
      <c r="AA16" s="35"/>
      <c r="AB16" s="35"/>
      <c r="AC16" s="36" t="str">
        <f aca="false">IF(X16="","",IFERROR(IF(ABS(ABS(X16)-ABS('Q11.10 Ans'!X16))&lt;0.5,"✓","✗"),"✗"))</f>
        <v/>
      </c>
    </row>
    <row r="17" customFormat="false" ht="17.25" hidden="false" customHeight="true" outlineLevel="0" collapsed="false">
      <c r="B17" s="33" t="s">
        <v>161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5"/>
      <c r="Y17" s="35"/>
      <c r="Z17" s="35"/>
      <c r="AA17" s="35"/>
      <c r="AB17" s="35"/>
      <c r="AC17" s="36" t="str">
        <f aca="false">IF(X17="","",IFERROR(IF(ABS(ABS(X17)-ABS('Q11.10 Ans'!X17))&lt;0.5,"✓","✗"),"✗"))</f>
        <v/>
      </c>
    </row>
    <row r="19" customFormat="false" ht="18.75" hidden="false" customHeight="true" outlineLevel="0" collapsed="false">
      <c r="B19" s="3" t="s">
        <v>162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7" t="s">
        <v>52</v>
      </c>
      <c r="C20" s="17"/>
      <c r="D20" s="17"/>
      <c r="E20" s="18" t="s">
        <v>163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9" t="s">
        <v>54</v>
      </c>
      <c r="AE20" s="19"/>
      <c r="AF20" s="19"/>
    </row>
    <row r="21" customFormat="false" ht="15" hidden="false" customHeight="false" outlineLevel="0" collapsed="false">
      <c r="B21" s="20" t="s">
        <v>55</v>
      </c>
      <c r="C21" s="20"/>
      <c r="D21" s="20"/>
      <c r="E21" s="20" t="s">
        <v>56</v>
      </c>
      <c r="F21" s="20"/>
      <c r="G21" s="20"/>
      <c r="H21" s="20"/>
      <c r="I21" s="20"/>
      <c r="J21" s="20"/>
      <c r="K21" s="20"/>
      <c r="L21" s="21" t="s">
        <v>57</v>
      </c>
      <c r="M21" s="22" t="s">
        <v>58</v>
      </c>
      <c r="N21" s="22"/>
      <c r="O21" s="22"/>
      <c r="P21" s="22"/>
      <c r="Q21" s="23"/>
      <c r="R21" s="24" t="s">
        <v>55</v>
      </c>
      <c r="S21" s="24"/>
      <c r="T21" s="24"/>
      <c r="U21" s="20" t="s">
        <v>56</v>
      </c>
      <c r="V21" s="20"/>
      <c r="W21" s="20"/>
      <c r="X21" s="20"/>
      <c r="Y21" s="20"/>
      <c r="Z21" s="20"/>
      <c r="AA21" s="20"/>
      <c r="AB21" s="21" t="s">
        <v>57</v>
      </c>
      <c r="AC21" s="22" t="s">
        <v>58</v>
      </c>
      <c r="AD21" s="22"/>
      <c r="AE21" s="22"/>
      <c r="AF21" s="22"/>
    </row>
    <row r="22" customFormat="false" ht="17.25" hidden="false" customHeight="true" outlineLevel="0" collapsed="false">
      <c r="B22" s="6" t="s">
        <v>134</v>
      </c>
      <c r="C22" s="6"/>
      <c r="D22" s="6"/>
      <c r="E22" s="25" t="s">
        <v>66</v>
      </c>
      <c r="F22" s="25"/>
      <c r="G22" s="25"/>
      <c r="H22" s="25"/>
      <c r="I22" s="25"/>
      <c r="J22" s="25"/>
      <c r="K22" s="25"/>
      <c r="L22" s="26" t="s">
        <v>67</v>
      </c>
      <c r="M22" s="35"/>
      <c r="N22" s="35"/>
      <c r="O22" s="35"/>
      <c r="P22" s="36" t="str">
        <f aca="false">IF(M22="","",IFERROR(IF(ABS(ABS(M22)-ABS('Q11.10 Ans'!M22))&lt;0.5,"✓","✗"),"✗"))</f>
        <v/>
      </c>
      <c r="R22" s="27" t="s">
        <v>62</v>
      </c>
      <c r="S22" s="27"/>
      <c r="T22" s="27"/>
      <c r="U22" s="25" t="s">
        <v>63</v>
      </c>
      <c r="V22" s="25"/>
      <c r="W22" s="25"/>
      <c r="X22" s="25"/>
      <c r="Y22" s="25"/>
      <c r="Z22" s="25"/>
      <c r="AA22" s="25"/>
      <c r="AB22" s="26" t="s">
        <v>64</v>
      </c>
      <c r="AC22" s="35"/>
      <c r="AD22" s="35"/>
      <c r="AE22" s="35"/>
      <c r="AF22" s="36" t="str">
        <f aca="false">IF(AC22="","",IFERROR(IF(ABS(ABS(AC22)-ABS('Q11.10 Ans'!AC22))&lt;0.5,"✓","✗"),"✗"))</f>
        <v/>
      </c>
    </row>
    <row r="23" customFormat="false" ht="17.25" hidden="false" customHeight="true" outlineLevel="0" collapsed="false">
      <c r="B23" s="6" t="s">
        <v>65</v>
      </c>
      <c r="C23" s="6"/>
      <c r="D23" s="6"/>
      <c r="E23" s="25" t="s">
        <v>137</v>
      </c>
      <c r="F23" s="25"/>
      <c r="G23" s="25"/>
      <c r="H23" s="25"/>
      <c r="I23" s="25"/>
      <c r="J23" s="25"/>
      <c r="K23" s="25"/>
      <c r="L23" s="26"/>
      <c r="M23" s="35"/>
      <c r="N23" s="35"/>
      <c r="O23" s="35"/>
      <c r="P23" s="36" t="str">
        <f aca="false">IF(M23="","",IFERROR(IF(ABS(ABS(M23)-ABS('Q11.10 Ans'!M23))&lt;0.5,"✓","✗"),"✗"))</f>
        <v/>
      </c>
      <c r="R23" s="29"/>
    </row>
    <row r="24" customFormat="false" ht="16.5" hidden="false" customHeight="true" outlineLevel="0" collapsed="false">
      <c r="M24" s="39"/>
      <c r="N24" s="39"/>
      <c r="O24" s="39"/>
      <c r="P24" s="36" t="str">
        <f aca="false">IF(M24="","",IFERROR(IF(ABS(ABS(M24)-ABS('Q11.10 Ans'!M24))&lt;0.5,"✓","✗"),"✗"))</f>
        <v/>
      </c>
      <c r="R24" s="29"/>
      <c r="AC24" s="39"/>
      <c r="AD24" s="39"/>
      <c r="AE24" s="39"/>
      <c r="AF24" s="36" t="str">
        <f aca="false">IF(AC24="","",IFERROR(IF(ABS(ABS(AC24)-ABS('Q11.10 Ans'!AC24))&lt;0.5,"✓","✗"),"✗"))</f>
        <v/>
      </c>
    </row>
    <row r="25" customFormat="false" ht="17.25" hidden="false" customHeight="true" outlineLevel="0" collapsed="false">
      <c r="R25" s="27" t="s">
        <v>70</v>
      </c>
      <c r="S25" s="27"/>
      <c r="T25" s="27"/>
      <c r="U25" s="25" t="s">
        <v>138</v>
      </c>
      <c r="V25" s="25"/>
      <c r="W25" s="25"/>
      <c r="X25" s="25"/>
      <c r="Y25" s="25"/>
      <c r="Z25" s="25"/>
      <c r="AA25" s="25"/>
      <c r="AB25" s="26"/>
      <c r="AC25" s="35"/>
      <c r="AD25" s="35"/>
      <c r="AE25" s="35"/>
      <c r="AF25" s="36" t="str">
        <f aca="false">IF(AC25="","",IFERROR(IF(ABS(ABS(AC25)-ABS('Q11.10 Ans'!AC25))&lt;0.5,"✓","✗"),"✗"))</f>
        <v/>
      </c>
    </row>
    <row r="27" customFormat="false" ht="18.75" hidden="false" customHeight="true" outlineLevel="0" collapsed="false">
      <c r="B27" s="3" t="s">
        <v>164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7.25" hidden="false" customHeight="true" outlineLevel="0" collapsed="false">
      <c r="B28" s="33" t="s">
        <v>165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5"/>
      <c r="Y28" s="35"/>
      <c r="Z28" s="35"/>
      <c r="AA28" s="35"/>
      <c r="AB28" s="35"/>
      <c r="AC28" s="36" t="str">
        <f aca="false">IF(X28="","",IFERROR(IF(ABS(ABS(X28)-ABS('Q11.10 Ans'!X28))&lt;0.5,"✓","✗"),"✗"))</f>
        <v/>
      </c>
    </row>
    <row r="30" customFormat="false" ht="18.75" hidden="false" customHeight="true" outlineLevel="0" collapsed="false">
      <c r="B30" s="3" t="s">
        <v>166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customFormat="false" ht="15" hidden="false" customHeight="false" outlineLevel="0" collapsed="false">
      <c r="B31" s="18" t="s">
        <v>142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customFormat="false" ht="15" hidden="false" customHeight="false" outlineLevel="0" collapsed="false">
      <c r="B32" s="40"/>
      <c r="C32" s="40"/>
      <c r="D32" s="40"/>
      <c r="E32" s="30" t="s">
        <v>56</v>
      </c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1" t="s">
        <v>143</v>
      </c>
      <c r="S32" s="31"/>
      <c r="T32" s="31"/>
      <c r="U32" s="31"/>
      <c r="V32" s="31"/>
      <c r="W32" s="31" t="s">
        <v>143</v>
      </c>
      <c r="X32" s="31"/>
      <c r="Y32" s="31"/>
      <c r="Z32" s="31"/>
      <c r="AA32" s="31"/>
      <c r="AB32" s="31" t="s">
        <v>143</v>
      </c>
      <c r="AC32" s="31"/>
      <c r="AD32" s="31"/>
      <c r="AE32" s="31"/>
      <c r="AF32" s="31"/>
    </row>
    <row r="33" customFormat="false" ht="30" hidden="false" customHeight="true" outlineLevel="0" collapsed="false"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11" t="s">
        <v>144</v>
      </c>
      <c r="S33" s="11"/>
      <c r="T33" s="11"/>
      <c r="U33" s="11"/>
      <c r="V33" s="11"/>
      <c r="W33" s="11" t="s">
        <v>145</v>
      </c>
      <c r="X33" s="11"/>
      <c r="Y33" s="11"/>
      <c r="Z33" s="11"/>
      <c r="AA33" s="11"/>
      <c r="AB33" s="11" t="s">
        <v>146</v>
      </c>
      <c r="AC33" s="11"/>
      <c r="AD33" s="11"/>
      <c r="AE33" s="11"/>
      <c r="AF33" s="11"/>
    </row>
    <row r="34" customFormat="false" ht="17.25" hidden="false" customHeight="true" outlineLevel="0" collapsed="false">
      <c r="B34" s="41"/>
      <c r="C34" s="41"/>
      <c r="D34" s="41"/>
      <c r="E34" s="42" t="s">
        <v>147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</row>
    <row r="35" customFormat="false" ht="17.25" hidden="false" customHeight="true" outlineLevel="0" collapsed="false">
      <c r="B35" s="41"/>
      <c r="C35" s="41"/>
      <c r="D35" s="41"/>
      <c r="E35" s="25" t="s">
        <v>167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W35" s="35"/>
      <c r="X35" s="35"/>
      <c r="Y35" s="35"/>
      <c r="Z35" s="35"/>
      <c r="AA35" s="36" t="str">
        <f aca="false">IF(W35="","",IFERROR(IF(ABS(ABS(W35)-ABS('Q11.10 Ans'!W35))&lt;0.5,"✓","✗"),"✗"))</f>
        <v/>
      </c>
    </row>
    <row r="36" customFormat="false" ht="17.25" hidden="false" customHeight="true" outlineLevel="0" collapsed="false">
      <c r="B36" s="41" t="s">
        <v>149</v>
      </c>
      <c r="C36" s="41"/>
      <c r="D36" s="41"/>
      <c r="E36" s="42" t="s">
        <v>150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</row>
    <row r="37" customFormat="false" ht="17.25" hidden="false" customHeight="true" outlineLevel="0" collapsed="false">
      <c r="B37" s="41"/>
      <c r="C37" s="41"/>
      <c r="D37" s="41"/>
      <c r="E37" s="25" t="s">
        <v>168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5"/>
      <c r="X37" s="35"/>
      <c r="Y37" s="35"/>
      <c r="Z37" s="35"/>
      <c r="AA37" s="36" t="str">
        <f aca="false">IF(W37="","",IFERROR(IF(ABS(ABS(W37)-ABS('Q11.10 Ans'!W37))&lt;0.5,"✓","✗"),"✗"))</f>
        <v/>
      </c>
    </row>
    <row r="39" customFormat="false" ht="18.75" hidden="false" customHeight="true" outlineLevel="0" collapsed="false">
      <c r="B39" s="3" t="s">
        <v>169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customFormat="false" ht="17.25" hidden="false" customHeight="true" outlineLevel="0" collapsed="false">
      <c r="B40" s="33" t="s">
        <v>170</v>
      </c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5"/>
      <c r="Y40" s="35"/>
      <c r="Z40" s="35"/>
      <c r="AA40" s="35"/>
      <c r="AB40" s="35"/>
      <c r="AC40" s="36" t="str">
        <f aca="false">IF(X40="","",IFERROR(IF(ABS(ABS(X40)-ABS('Q11.10 Ans'!X40))&lt;0.5,"✓","✗"),"✗"))</f>
        <v/>
      </c>
    </row>
  </sheetData>
  <mergeCells count="74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D20"/>
    <mergeCell ref="E20:AC20"/>
    <mergeCell ref="AD20:AF20"/>
    <mergeCell ref="B21:D21"/>
    <mergeCell ref="E21:K21"/>
    <mergeCell ref="M21:P21"/>
    <mergeCell ref="R21:T21"/>
    <mergeCell ref="U21:AA21"/>
    <mergeCell ref="AC21:AF21"/>
    <mergeCell ref="B22:D22"/>
    <mergeCell ref="E22:K22"/>
    <mergeCell ref="M22:O22"/>
    <mergeCell ref="R22:T22"/>
    <mergeCell ref="U22:AA22"/>
    <mergeCell ref="AC22:AE22"/>
    <mergeCell ref="B23:D23"/>
    <mergeCell ref="E23:K23"/>
    <mergeCell ref="M23:O23"/>
    <mergeCell ref="M24:O24"/>
    <mergeCell ref="AC24:AE24"/>
    <mergeCell ref="R25:T25"/>
    <mergeCell ref="U25:AA25"/>
    <mergeCell ref="AC25:AE25"/>
    <mergeCell ref="B27:AF27"/>
    <mergeCell ref="B28:W28"/>
    <mergeCell ref="X28:AB28"/>
    <mergeCell ref="B30:AF30"/>
    <mergeCell ref="B31:AF31"/>
    <mergeCell ref="B32:D32"/>
    <mergeCell ref="E32:Q32"/>
    <mergeCell ref="R32:V32"/>
    <mergeCell ref="W32:AA32"/>
    <mergeCell ref="AB32:AF32"/>
    <mergeCell ref="B33:D33"/>
    <mergeCell ref="E33:Q33"/>
    <mergeCell ref="R33:V33"/>
    <mergeCell ref="W33:AA33"/>
    <mergeCell ref="AB33:AF33"/>
    <mergeCell ref="B34:D34"/>
    <mergeCell ref="E34:Q34"/>
    <mergeCell ref="B35:D35"/>
    <mergeCell ref="E35:Q35"/>
    <mergeCell ref="W35:Z35"/>
    <mergeCell ref="B36:D36"/>
    <mergeCell ref="E36:Q36"/>
    <mergeCell ref="B37:D37"/>
    <mergeCell ref="E37:Q37"/>
    <mergeCell ref="W37:Z37"/>
    <mergeCell ref="B39:AF39"/>
    <mergeCell ref="B40:W40"/>
    <mergeCell ref="X40:AB40"/>
  </mergeCells>
  <conditionalFormatting sqref="B4:AG4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171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104</v>
      </c>
      <c r="C3" s="17"/>
      <c r="D3" s="17"/>
      <c r="E3" s="17"/>
      <c r="F3" s="17"/>
      <c r="G3" s="17"/>
      <c r="H3" s="17" t="str">
        <f aca="false">COUNTIF(B4:AG36,"✓")&amp;"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172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30" t="s">
        <v>108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1" t="s">
        <v>95</v>
      </c>
      <c r="Y6" s="31"/>
      <c r="Z6" s="31"/>
      <c r="AA6" s="31"/>
      <c r="AB6" s="31"/>
      <c r="AC6" s="31"/>
    </row>
    <row r="7" customFormat="false" ht="15" hidden="false" customHeight="false" outlineLevel="0" collapsed="false">
      <c r="B7" s="43" t="s">
        <v>173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</row>
    <row r="8" customFormat="false" ht="16.5" hidden="false" customHeight="true" outlineLevel="0" collapsed="false">
      <c r="B8" s="12" t="s">
        <v>174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5" t="n">
        <v>300</v>
      </c>
      <c r="Y8" s="15"/>
      <c r="Z8" s="15"/>
      <c r="AA8" s="15"/>
      <c r="AB8" s="15"/>
      <c r="AC8" s="15"/>
    </row>
    <row r="9" customFormat="false" ht="16.5" hidden="false" customHeight="true" outlineLevel="0" collapsed="false">
      <c r="B9" s="12" t="s">
        <v>175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18000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176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450</v>
      </c>
      <c r="Y10" s="15"/>
      <c r="Z10" s="15"/>
      <c r="AA10" s="15"/>
      <c r="AB10" s="15"/>
      <c r="AC10" s="15"/>
    </row>
    <row r="11" customFormat="false" ht="15" hidden="false" customHeight="false" outlineLevel="0" collapsed="false">
      <c r="B11" s="43" t="s">
        <v>177</v>
      </c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customFormat="false" ht="16.5" hidden="false" customHeight="true" outlineLevel="0" collapsed="false">
      <c r="B12" s="12" t="s">
        <v>178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200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175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1600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v>250</v>
      </c>
      <c r="Y14" s="15"/>
      <c r="Z14" s="15"/>
      <c r="AA14" s="15"/>
      <c r="AB14" s="15"/>
      <c r="AC14" s="15"/>
    </row>
    <row r="15" customFormat="false" ht="15" hidden="false" customHeight="false" outlineLevel="0" collapsed="false">
      <c r="B15" s="43" t="s">
        <v>180</v>
      </c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customFormat="false" ht="16.5" hidden="false" customHeight="true" outlineLevel="0" collapsed="false">
      <c r="B16" s="12" t="s">
        <v>181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v>3000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182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v>250</v>
      </c>
      <c r="Y17" s="15"/>
      <c r="Z17" s="15"/>
      <c r="AA17" s="15"/>
      <c r="AB17" s="15"/>
      <c r="AC17" s="15"/>
    </row>
    <row r="20" customFormat="false" ht="18.75" hidden="false" customHeight="true" outlineLevel="0" collapsed="false">
      <c r="B20" s="3" t="s">
        <v>183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3" t="s">
        <v>184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5"/>
      <c r="Y21" s="35"/>
      <c r="Z21" s="35"/>
      <c r="AA21" s="35"/>
      <c r="AB21" s="35"/>
      <c r="AC21" s="36" t="str">
        <f aca="false">IF(X21="","",IFERROR(IF(ABS(ABS(X21)-ABS('Q11.11 Ans'!X21))&lt;0.5,"✓","✗"),"✗"))</f>
        <v/>
      </c>
    </row>
    <row r="22" customFormat="false" ht="17.25" hidden="false" customHeight="true" outlineLevel="0" collapsed="false">
      <c r="B22" s="33" t="s">
        <v>185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5"/>
      <c r="Y22" s="35"/>
      <c r="Z22" s="35"/>
      <c r="AA22" s="35"/>
      <c r="AB22" s="35"/>
      <c r="AC22" s="36" t="str">
        <f aca="false">IF(X22="","",IFERROR(IF(ABS(ABS(X22)-ABS('Q11.11 Ans'!X22))&lt;0.5,"✓","✗"),"✗"))</f>
        <v/>
      </c>
    </row>
    <row r="23" customFormat="false" ht="17.25" hidden="false" customHeight="true" outlineLevel="0" collapsed="false">
      <c r="B23" s="33" t="s">
        <v>186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5"/>
      <c r="Y23" s="35"/>
      <c r="Z23" s="35"/>
      <c r="AA23" s="35"/>
      <c r="AB23" s="35"/>
      <c r="AC23" s="36" t="str">
        <f aca="false">IF(X23="","",IFERROR(IF(ABS(ABS(X23)-ABS('Q11.11 Ans'!X23))&lt;0.5,"✓","✗"),"✗"))</f>
        <v/>
      </c>
    </row>
    <row r="25" customFormat="false" ht="18.75" hidden="false" customHeight="true" outlineLevel="0" collapsed="false">
      <c r="B25" s="3" t="s">
        <v>187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52</v>
      </c>
      <c r="C26" s="17"/>
      <c r="D26" s="17"/>
      <c r="E26" s="18" t="s">
        <v>188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54</v>
      </c>
      <c r="AE26" s="19"/>
      <c r="AF26" s="19"/>
    </row>
    <row r="27" customFormat="false" ht="15" hidden="false" customHeight="false" outlineLevel="0" collapsed="false">
      <c r="B27" s="20" t="s">
        <v>55</v>
      </c>
      <c r="C27" s="20"/>
      <c r="D27" s="20"/>
      <c r="E27" s="20" t="s">
        <v>56</v>
      </c>
      <c r="F27" s="20"/>
      <c r="G27" s="20"/>
      <c r="H27" s="20"/>
      <c r="I27" s="20"/>
      <c r="J27" s="20"/>
      <c r="K27" s="20"/>
      <c r="L27" s="21" t="s">
        <v>57</v>
      </c>
      <c r="M27" s="22" t="s">
        <v>58</v>
      </c>
      <c r="N27" s="22"/>
      <c r="O27" s="22"/>
      <c r="P27" s="22"/>
      <c r="Q27" s="23"/>
      <c r="R27" s="24" t="s">
        <v>55</v>
      </c>
      <c r="S27" s="24"/>
      <c r="T27" s="24"/>
      <c r="U27" s="20" t="s">
        <v>56</v>
      </c>
      <c r="V27" s="20"/>
      <c r="W27" s="20"/>
      <c r="X27" s="20"/>
      <c r="Y27" s="20"/>
      <c r="Z27" s="20"/>
      <c r="AA27" s="20"/>
      <c r="AB27" s="21" t="s">
        <v>57</v>
      </c>
      <c r="AC27" s="22" t="s">
        <v>58</v>
      </c>
      <c r="AD27" s="22"/>
      <c r="AE27" s="22"/>
      <c r="AF27" s="22"/>
    </row>
    <row r="28" customFormat="false" ht="17.25" hidden="false" customHeight="true" outlineLevel="0" collapsed="false">
      <c r="B28" s="6" t="s">
        <v>189</v>
      </c>
      <c r="C28" s="6"/>
      <c r="D28" s="6"/>
      <c r="E28" s="25" t="s">
        <v>63</v>
      </c>
      <c r="F28" s="25"/>
      <c r="G28" s="25"/>
      <c r="H28" s="25"/>
      <c r="I28" s="25"/>
      <c r="J28" s="25"/>
      <c r="K28" s="25"/>
      <c r="L28" s="26" t="s">
        <v>64</v>
      </c>
      <c r="M28" s="35"/>
      <c r="N28" s="35"/>
      <c r="O28" s="35"/>
      <c r="P28" s="36" t="str">
        <f aca="false">IF(M28="","",IFERROR(IF(ABS(ABS(M28)-ABS('Q11.11 Ans'!M28))&lt;0.5,"✓","✗"),"✗"))</f>
        <v/>
      </c>
      <c r="R28" s="27" t="s">
        <v>190</v>
      </c>
      <c r="S28" s="27"/>
      <c r="T28" s="27"/>
      <c r="U28" s="25" t="s">
        <v>138</v>
      </c>
      <c r="V28" s="25"/>
      <c r="W28" s="25"/>
      <c r="X28" s="25"/>
      <c r="Y28" s="25"/>
      <c r="Z28" s="25"/>
      <c r="AA28" s="25"/>
      <c r="AB28" s="26"/>
      <c r="AC28" s="35"/>
      <c r="AD28" s="35"/>
      <c r="AE28" s="35"/>
      <c r="AF28" s="36" t="str">
        <f aca="false">IF(AC28="","",IFERROR(IF(ABS(ABS(AC28)-ABS('Q11.11 Ans'!AC28))&lt;0.5,"✓","✗"),"✗"))</f>
        <v/>
      </c>
    </row>
    <row r="29" customFormat="false" ht="17.25" hidden="false" customHeight="true" outlineLevel="0" collapsed="false">
      <c r="B29" s="6" t="s">
        <v>191</v>
      </c>
      <c r="C29" s="6"/>
      <c r="D29" s="6"/>
      <c r="E29" s="25" t="s">
        <v>137</v>
      </c>
      <c r="F29" s="25"/>
      <c r="G29" s="25"/>
      <c r="H29" s="25"/>
      <c r="I29" s="25"/>
      <c r="J29" s="25"/>
      <c r="K29" s="25"/>
      <c r="L29" s="26"/>
      <c r="M29" s="35"/>
      <c r="N29" s="35"/>
      <c r="O29" s="35"/>
      <c r="P29" s="36" t="str">
        <f aca="false">IF(M29="","",IFERROR(IF(ABS(ABS(M29)-ABS('Q11.11 Ans'!M29))&lt;0.5,"✓","✗"),"✗"))</f>
        <v/>
      </c>
      <c r="R29" s="27" t="s">
        <v>191</v>
      </c>
      <c r="S29" s="27"/>
      <c r="T29" s="27"/>
      <c r="U29" s="25" t="s">
        <v>66</v>
      </c>
      <c r="V29" s="25"/>
      <c r="W29" s="25"/>
      <c r="X29" s="25"/>
      <c r="Y29" s="25"/>
      <c r="Z29" s="25"/>
      <c r="AA29" s="25"/>
      <c r="AB29" s="26" t="s">
        <v>67</v>
      </c>
      <c r="AC29" s="35"/>
      <c r="AD29" s="35"/>
      <c r="AE29" s="35"/>
      <c r="AF29" s="36" t="str">
        <f aca="false">IF(AC29="","",IFERROR(IF(ABS(ABS(AC29)-ABS('Q11.11 Ans'!AC29))&lt;0.5,"✓","✗"),"✗"))</f>
        <v/>
      </c>
    </row>
    <row r="30" customFormat="false" ht="16.5" hidden="false" customHeight="true" outlineLevel="0" collapsed="false">
      <c r="M30" s="39"/>
      <c r="N30" s="39"/>
      <c r="O30" s="39"/>
      <c r="P30" s="36" t="str">
        <f aca="false">IF(M30="","",IFERROR(IF(ABS(ABS(M30)-ABS('Q11.11 Ans'!M30))&lt;0.5,"✓","✗"),"✗"))</f>
        <v/>
      </c>
      <c r="R30" s="29"/>
      <c r="AC30" s="39"/>
      <c r="AD30" s="39"/>
      <c r="AE30" s="39"/>
      <c r="AF30" s="36" t="str">
        <f aca="false">IF(AC30="","",IFERROR(IF(ABS(ABS(AC30)-ABS('Q11.11 Ans'!AC30))&lt;0.5,"✓","✗"),"✗"))</f>
        <v/>
      </c>
    </row>
    <row r="31" customFormat="false" ht="17.25" hidden="false" customHeight="true" outlineLevel="0" collapsed="false">
      <c r="R31" s="27" t="s">
        <v>192</v>
      </c>
      <c r="S31" s="27"/>
      <c r="T31" s="27"/>
      <c r="U31" s="25" t="s">
        <v>138</v>
      </c>
      <c r="V31" s="25"/>
      <c r="W31" s="25"/>
      <c r="X31" s="25"/>
      <c r="Y31" s="25"/>
      <c r="Z31" s="25"/>
      <c r="AA31" s="25"/>
      <c r="AB31" s="26"/>
      <c r="AC31" s="35"/>
      <c r="AD31" s="35"/>
      <c r="AE31" s="35"/>
      <c r="AF31" s="36" t="str">
        <f aca="false">IF(AC31="","",IFERROR(IF(ABS(ABS(AC31)-ABS('Q11.11 Ans'!AC31))&lt;0.5,"✓","✗"),"✗"))</f>
        <v/>
      </c>
    </row>
    <row r="33" customFormat="false" ht="18.75" hidden="false" customHeight="true" outlineLevel="0" collapsed="false">
      <c r="B33" s="3" t="s">
        <v>193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33" t="s">
        <v>194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5"/>
      <c r="Y34" s="35"/>
      <c r="Z34" s="35"/>
      <c r="AA34" s="35"/>
      <c r="AB34" s="35"/>
      <c r="AC34" s="36" t="str">
        <f aca="false">IF(X34="","",IFERROR(IF(ABS(ABS(X34)-ABS('Q11.11 Ans'!X34))&lt;0.5,"✓","✗"),"✗"))</f>
        <v/>
      </c>
    </row>
    <row r="35" customFormat="false" ht="17.25" hidden="false" customHeight="true" outlineLevel="0" collapsed="false">
      <c r="B35" s="33" t="s">
        <v>195</v>
      </c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5"/>
      <c r="Y35" s="35"/>
      <c r="Z35" s="35"/>
      <c r="AA35" s="35"/>
      <c r="AB35" s="35"/>
      <c r="AC35" s="36" t="str">
        <f aca="false">IF(X35="","",IFERROR(IF(ABS(ABS(X35)-ABS('Q11.11 Ans'!X35))&lt;0.5,"✓","✗"),"✗"))</f>
        <v/>
      </c>
    </row>
  </sheetData>
  <mergeCells count="65">
    <mergeCell ref="B1:AF1"/>
    <mergeCell ref="B2:AF2"/>
    <mergeCell ref="B3:G3"/>
    <mergeCell ref="H3:AF3"/>
    <mergeCell ref="B5:AF5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E28:K28"/>
    <mergeCell ref="M28:O28"/>
    <mergeCell ref="R28:T28"/>
    <mergeCell ref="U28:AA28"/>
    <mergeCell ref="AC28:AE28"/>
    <mergeCell ref="B29:D29"/>
    <mergeCell ref="E29:K29"/>
    <mergeCell ref="M29:O29"/>
    <mergeCell ref="R29:T29"/>
    <mergeCell ref="U29:AA29"/>
    <mergeCell ref="AC29:AE29"/>
    <mergeCell ref="M30:O30"/>
    <mergeCell ref="AC30:AE30"/>
    <mergeCell ref="R31:T31"/>
    <mergeCell ref="U31:AA31"/>
    <mergeCell ref="AC31:AE31"/>
    <mergeCell ref="B33:AF33"/>
    <mergeCell ref="B34:W34"/>
    <mergeCell ref="X34:AB34"/>
    <mergeCell ref="B35:W35"/>
    <mergeCell ref="X35:AB35"/>
  </mergeCells>
  <conditionalFormatting sqref="B4:AG3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104</v>
      </c>
      <c r="C3" s="17"/>
      <c r="D3" s="17"/>
      <c r="E3" s="17"/>
      <c r="F3" s="17"/>
      <c r="G3" s="17"/>
      <c r="H3" s="17" t="str">
        <f aca="false">COUNTIF(B4:AG56,"✓")&amp;" correct out of 20 answer cells"</f>
        <v>0 correct out of 20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197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198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30" hidden="false" customHeight="true" outlineLevel="0" collapsed="false">
      <c r="C7" s="4" t="s">
        <v>199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200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201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C10" s="4" t="s">
        <v>202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15" hidden="false" customHeight="false" outlineLevel="0" collapsed="false">
      <c r="B11" s="30" t="s">
        <v>108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1" t="s">
        <v>95</v>
      </c>
      <c r="Y11" s="31"/>
      <c r="Z11" s="31"/>
      <c r="AA11" s="31"/>
      <c r="AB11" s="31"/>
      <c r="AC11" s="31"/>
    </row>
    <row r="12" customFormat="false" ht="16.5" hidden="false" customHeight="true" outlineLevel="0" collapsed="false">
      <c r="B12" s="12" t="s">
        <v>203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32000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204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750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205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v>3600</v>
      </c>
      <c r="Y14" s="15"/>
      <c r="Z14" s="15"/>
      <c r="AA14" s="15"/>
      <c r="AB14" s="15"/>
      <c r="AC14" s="15"/>
    </row>
    <row r="15" customFormat="false" ht="16.5" hidden="false" customHeight="true" outlineLevel="0" collapsed="false">
      <c r="B15" s="12" t="s">
        <v>206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32" t="n">
        <v>9</v>
      </c>
      <c r="Y15" s="32"/>
      <c r="Z15" s="32"/>
      <c r="AA15" s="32"/>
      <c r="AB15" s="32"/>
      <c r="AC15" s="32"/>
    </row>
    <row r="16" customFormat="false" ht="16.5" hidden="false" customHeight="true" outlineLevel="0" collapsed="false">
      <c r="B16" s="12" t="s">
        <v>207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v>1000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208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v>1200</v>
      </c>
      <c r="Y17" s="15"/>
      <c r="Z17" s="15"/>
      <c r="AA17" s="15"/>
      <c r="AB17" s="15"/>
      <c r="AC17" s="15"/>
    </row>
    <row r="18" customFormat="false" ht="16.5" hidden="false" customHeight="true" outlineLevel="0" collapsed="false">
      <c r="B18" s="12" t="s">
        <v>209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5" t="n">
        <v>13000</v>
      </c>
      <c r="Y18" s="15"/>
      <c r="Z18" s="15"/>
      <c r="AA18" s="15"/>
      <c r="AB18" s="15"/>
      <c r="AC18" s="15"/>
    </row>
    <row r="19" customFormat="false" ht="16.5" hidden="false" customHeight="true" outlineLevel="0" collapsed="false">
      <c r="B19" s="12" t="s">
        <v>210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5" t="n">
        <v>21000</v>
      </c>
      <c r="Y19" s="15"/>
      <c r="Z19" s="15"/>
      <c r="AA19" s="15"/>
      <c r="AB19" s="15"/>
      <c r="AC19" s="15"/>
    </row>
    <row r="20" customFormat="false" ht="16.5" hidden="false" customHeight="true" outlineLevel="0" collapsed="false">
      <c r="B20" s="12" t="s">
        <v>211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5" t="n">
        <v>400</v>
      </c>
      <c r="Y20" s="15"/>
      <c r="Z20" s="15"/>
      <c r="AA20" s="15"/>
      <c r="AB20" s="15"/>
      <c r="AC20" s="15"/>
    </row>
    <row r="21" customFormat="false" ht="16.5" hidden="false" customHeight="true" outlineLevel="0" collapsed="false">
      <c r="B21" s="12" t="s">
        <v>212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5" t="n">
        <v>650</v>
      </c>
      <c r="Y21" s="15"/>
      <c r="Z21" s="15"/>
      <c r="AA21" s="15"/>
      <c r="AB21" s="15"/>
      <c r="AC21" s="15"/>
    </row>
    <row r="22" customFormat="false" ht="16.5" hidden="false" customHeight="true" outlineLevel="0" collapsed="false">
      <c r="B22" s="12" t="s">
        <v>213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5" t="n">
        <v>4500</v>
      </c>
      <c r="Y22" s="15"/>
      <c r="Z22" s="15"/>
      <c r="AA22" s="15"/>
      <c r="AB22" s="15"/>
      <c r="AC22" s="15"/>
    </row>
    <row r="23" customFormat="false" ht="16.5" hidden="false" customHeight="true" outlineLevel="0" collapsed="false">
      <c r="B23" s="12" t="s">
        <v>214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5" t="n">
        <v>300</v>
      </c>
      <c r="Y23" s="15"/>
      <c r="Z23" s="15"/>
      <c r="AA23" s="15"/>
      <c r="AB23" s="15"/>
      <c r="AC23" s="15"/>
    </row>
    <row r="24" customFormat="false" ht="16.5" hidden="false" customHeight="true" outlineLevel="0" collapsed="false">
      <c r="B24" s="12" t="s">
        <v>215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5" t="n">
        <v>500</v>
      </c>
      <c r="Y24" s="15"/>
      <c r="Z24" s="15"/>
      <c r="AA24" s="15"/>
      <c r="AB24" s="15"/>
      <c r="AC24" s="15"/>
    </row>
    <row r="25" customFormat="false" ht="16.5" hidden="false" customHeight="true" outlineLevel="0" collapsed="false">
      <c r="B25" s="12" t="s">
        <v>216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5" t="n">
        <v>120</v>
      </c>
      <c r="Y25" s="15"/>
      <c r="Z25" s="15"/>
      <c r="AA25" s="15"/>
      <c r="AB25" s="15"/>
      <c r="AC25" s="15"/>
    </row>
    <row r="28" customFormat="false" ht="18.75" hidden="false" customHeight="true" outlineLevel="0" collapsed="false">
      <c r="B28" s="3" t="s">
        <v>217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7.25" hidden="false" customHeight="true" outlineLevel="0" collapsed="false">
      <c r="B29" s="33" t="s">
        <v>218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5"/>
      <c r="Y29" s="35"/>
      <c r="Z29" s="35"/>
      <c r="AA29" s="35"/>
      <c r="AB29" s="35"/>
      <c r="AC29" s="36" t="str">
        <f aca="false">IF(X29="","",IFERROR(IF(ABS(ABS(X29)-ABS('Q11.12 Ans'!X29))&lt;0.5,"✓","✗"),"✗"))</f>
        <v/>
      </c>
    </row>
    <row r="30" customFormat="false" ht="17.25" hidden="false" customHeight="true" outlineLevel="0" collapsed="false">
      <c r="B30" s="33" t="s">
        <v>219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5"/>
      <c r="Y30" s="35"/>
      <c r="Z30" s="35"/>
      <c r="AA30" s="35"/>
      <c r="AB30" s="35"/>
      <c r="AC30" s="36" t="str">
        <f aca="false">IF(X30="","",IFERROR(IF(ABS(ABS(X30)-ABS('Q11.12 Ans'!X30))&lt;0.5,"✓","✗"),"✗"))</f>
        <v/>
      </c>
    </row>
    <row r="31" customFormat="false" ht="17.25" hidden="false" customHeight="true" outlineLevel="0" collapsed="false">
      <c r="B31" s="33" t="s">
        <v>184</v>
      </c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5"/>
      <c r="Y31" s="35"/>
      <c r="Z31" s="35"/>
      <c r="AA31" s="35"/>
      <c r="AB31" s="35"/>
      <c r="AC31" s="36" t="str">
        <f aca="false">IF(X31="","",IFERROR(IF(ABS(ABS(X31)-ABS('Q11.12 Ans'!X31))&lt;0.5,"✓","✗"),"✗"))</f>
        <v/>
      </c>
    </row>
    <row r="32" customFormat="false" ht="17.25" hidden="false" customHeight="true" outlineLevel="0" collapsed="false">
      <c r="B32" s="33" t="s">
        <v>220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5"/>
      <c r="Y32" s="35"/>
      <c r="Z32" s="35"/>
      <c r="AA32" s="35"/>
      <c r="AB32" s="35"/>
      <c r="AC32" s="36" t="str">
        <f aca="false">IF(X32="","",IFERROR(IF(ABS(ABS(X32)-ABS('Q11.12 Ans'!X32))&lt;0.5,"✓","✗"),"✗"))</f>
        <v/>
      </c>
    </row>
    <row r="34" customFormat="false" ht="18.75" hidden="false" customHeight="true" outlineLevel="0" collapsed="false">
      <c r="B34" s="3" t="s">
        <v>221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8" t="s">
        <v>222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customFormat="false" ht="15" hidden="false" customHeight="false" outlineLevel="0" collapsed="false">
      <c r="B36" s="40"/>
      <c r="C36" s="40"/>
      <c r="D36" s="40"/>
      <c r="E36" s="30" t="s">
        <v>56</v>
      </c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1" t="s">
        <v>143</v>
      </c>
      <c r="S36" s="31"/>
      <c r="T36" s="31"/>
      <c r="U36" s="31"/>
      <c r="V36" s="31"/>
      <c r="W36" s="31" t="s">
        <v>143</v>
      </c>
      <c r="X36" s="31"/>
      <c r="Y36" s="31"/>
      <c r="Z36" s="31"/>
      <c r="AA36" s="31"/>
      <c r="AB36" s="31" t="s">
        <v>143</v>
      </c>
      <c r="AC36" s="31"/>
      <c r="AD36" s="31"/>
      <c r="AE36" s="31"/>
      <c r="AF36" s="31"/>
    </row>
    <row r="37" customFormat="false" ht="17.25" hidden="false" customHeight="true" outlineLevel="0" collapsed="false">
      <c r="B37" s="41"/>
      <c r="C37" s="41"/>
      <c r="D37" s="41"/>
      <c r="E37" s="25" t="s">
        <v>223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AB37" s="35"/>
      <c r="AC37" s="35"/>
      <c r="AD37" s="35"/>
      <c r="AE37" s="35"/>
      <c r="AF37" s="36" t="str">
        <f aca="false">IF(AB37="","",IFERROR(IF(ABS(ABS(AB37)-ABS('Q11.12 Ans'!AB37))&lt;0.5,"✓","✗"),"✗"))</f>
        <v/>
      </c>
    </row>
    <row r="38" customFormat="false" ht="17.25" hidden="false" customHeight="true" outlineLevel="0" collapsed="false">
      <c r="B38" s="41" t="s">
        <v>224</v>
      </c>
      <c r="C38" s="41"/>
      <c r="D38" s="41"/>
      <c r="E38" s="25" t="s">
        <v>225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AB38" s="35"/>
      <c r="AC38" s="35"/>
      <c r="AD38" s="35"/>
      <c r="AE38" s="35"/>
      <c r="AF38" s="36" t="str">
        <f aca="false">IF(AB38="","",IFERROR(IF(ABS(ABS(AB38)-ABS('Q11.12 Ans'!AB38))&lt;0.5,"✓","✗"),"✗"))</f>
        <v/>
      </c>
    </row>
    <row r="39" customFormat="false" ht="17.25" hidden="false" customHeight="true" outlineLevel="0" collapsed="false">
      <c r="B39" s="41" t="s">
        <v>149</v>
      </c>
      <c r="C39" s="41"/>
      <c r="D39" s="41"/>
      <c r="E39" s="25" t="s">
        <v>226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35"/>
      <c r="AC39" s="35"/>
      <c r="AD39" s="35"/>
      <c r="AE39" s="35"/>
      <c r="AF39" s="36" t="str">
        <f aca="false">IF(AB39="","",IFERROR(IF(ABS(ABS(AB39)-ABS('Q11.12 Ans'!AB39))&lt;0.5,"✓","✗"),"✗"))</f>
        <v/>
      </c>
    </row>
    <row r="40" customFormat="false" ht="17.25" hidden="false" customHeight="true" outlineLevel="0" collapsed="false">
      <c r="B40" s="41" t="s">
        <v>149</v>
      </c>
      <c r="C40" s="41"/>
      <c r="D40" s="41"/>
      <c r="E40" s="25" t="s">
        <v>227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35"/>
      <c r="AC40" s="35"/>
      <c r="AD40" s="35"/>
      <c r="AE40" s="35"/>
      <c r="AF40" s="36" t="str">
        <f aca="false">IF(AB40="","",IFERROR(IF(ABS(ABS(AB40)-ABS('Q11.12 Ans'!AB40))&lt;0.5,"✓","✗"),"✗"))</f>
        <v/>
      </c>
    </row>
    <row r="41" customFormat="false" ht="17.25" hidden="false" customHeight="true" outlineLevel="0" collapsed="false">
      <c r="B41" s="41" t="s">
        <v>149</v>
      </c>
      <c r="C41" s="41"/>
      <c r="D41" s="41"/>
      <c r="E41" s="25" t="s">
        <v>228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AB41" s="35"/>
      <c r="AC41" s="35"/>
      <c r="AD41" s="35"/>
      <c r="AE41" s="35"/>
      <c r="AF41" s="36" t="str">
        <f aca="false">IF(AB41="","",IFERROR(IF(ABS(ABS(AB41)-ABS('Q11.12 Ans'!AB41))&lt;0.5,"✓","✗"),"✗"))</f>
        <v/>
      </c>
    </row>
    <row r="42" customFormat="false" ht="17.25" hidden="false" customHeight="true" outlineLevel="0" collapsed="false">
      <c r="B42" s="41" t="s">
        <v>224</v>
      </c>
      <c r="C42" s="41"/>
      <c r="D42" s="41"/>
      <c r="E42" s="25" t="s">
        <v>229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44"/>
      <c r="AC42" s="44"/>
      <c r="AD42" s="44"/>
      <c r="AE42" s="44"/>
      <c r="AF42" s="36" t="str">
        <f aca="false">IF(AB42="","",IFERROR(IF(ABS(ABS(AB42)-ABS('Q11.12 Ans'!AB42))&lt;0.5,"✓","✗"),"✗"))</f>
        <v/>
      </c>
    </row>
    <row r="43" customFormat="false" ht="17.25" hidden="false" customHeight="true" outlineLevel="0" collapsed="false">
      <c r="B43" s="41"/>
      <c r="C43" s="41"/>
      <c r="D43" s="41"/>
      <c r="E43" s="45" t="s">
        <v>230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AB43" s="39"/>
      <c r="AC43" s="39"/>
      <c r="AD43" s="39"/>
      <c r="AE43" s="39"/>
      <c r="AF43" s="36" t="str">
        <f aca="false">IF(AB43="","",IFERROR(IF(ABS(ABS(AB43)-ABS('Q11.12 Ans'!AB43))&lt;0.5,"✓","✗"),"✗"))</f>
        <v/>
      </c>
    </row>
    <row r="45" customFormat="false" ht="18.75" hidden="false" customHeight="true" outlineLevel="0" collapsed="false">
      <c r="B45" s="3" t="s">
        <v>231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customFormat="false" ht="17.25" hidden="false" customHeight="true" outlineLevel="0" collapsed="false">
      <c r="B46" s="33" t="s">
        <v>232</v>
      </c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5"/>
      <c r="Y46" s="35"/>
      <c r="Z46" s="35"/>
      <c r="AA46" s="35"/>
      <c r="AB46" s="35"/>
      <c r="AC46" s="36" t="str">
        <f aca="false">IF(X46="","",IFERROR(IF(ABS(ABS(X46)-ABS('Q11.12 Ans'!X46))&lt;0.5,"✓","✗"),"✗"))</f>
        <v/>
      </c>
    </row>
    <row r="47" customFormat="false" ht="17.25" hidden="false" customHeight="true" outlineLevel="0" collapsed="false">
      <c r="B47" s="33" t="s">
        <v>233</v>
      </c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5"/>
      <c r="Y47" s="35"/>
      <c r="Z47" s="35"/>
      <c r="AA47" s="35"/>
      <c r="AB47" s="35"/>
      <c r="AC47" s="36" t="str">
        <f aca="false">IF(X47="","",IFERROR(IF(ABS(ABS(X47)-ABS('Q11.12 Ans'!X47))&lt;0.5,"✓","✗"),"✗"))</f>
        <v/>
      </c>
    </row>
    <row r="49" customFormat="false" ht="18.75" hidden="false" customHeight="true" outlineLevel="0" collapsed="false">
      <c r="B49" s="3" t="s">
        <v>234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customFormat="false" ht="15" hidden="false" customHeight="false" outlineLevel="0" collapsed="false">
      <c r="B50" s="17" t="s">
        <v>52</v>
      </c>
      <c r="C50" s="17"/>
      <c r="D50" s="17"/>
      <c r="E50" s="18" t="s">
        <v>72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9" t="s">
        <v>54</v>
      </c>
      <c r="AE50" s="19"/>
      <c r="AF50" s="19"/>
    </row>
    <row r="51" customFormat="false" ht="15" hidden="false" customHeight="false" outlineLevel="0" collapsed="false">
      <c r="B51" s="20" t="s">
        <v>55</v>
      </c>
      <c r="C51" s="20"/>
      <c r="D51" s="20"/>
      <c r="E51" s="20" t="s">
        <v>56</v>
      </c>
      <c r="F51" s="20"/>
      <c r="G51" s="20"/>
      <c r="H51" s="20"/>
      <c r="I51" s="20"/>
      <c r="J51" s="20"/>
      <c r="K51" s="20"/>
      <c r="L51" s="21" t="s">
        <v>57</v>
      </c>
      <c r="M51" s="22" t="s">
        <v>58</v>
      </c>
      <c r="N51" s="22"/>
      <c r="O51" s="22"/>
      <c r="P51" s="22"/>
      <c r="Q51" s="23"/>
      <c r="R51" s="24" t="s">
        <v>55</v>
      </c>
      <c r="S51" s="24"/>
      <c r="T51" s="24"/>
      <c r="U51" s="20" t="s">
        <v>56</v>
      </c>
      <c r="V51" s="20"/>
      <c r="W51" s="20"/>
      <c r="X51" s="20"/>
      <c r="Y51" s="20"/>
      <c r="Z51" s="20"/>
      <c r="AA51" s="20"/>
      <c r="AB51" s="21" t="s">
        <v>57</v>
      </c>
      <c r="AC51" s="22" t="s">
        <v>58</v>
      </c>
      <c r="AD51" s="22"/>
      <c r="AE51" s="22"/>
      <c r="AF51" s="22"/>
    </row>
    <row r="52" customFormat="false" ht="17.25" hidden="false" customHeight="true" outlineLevel="0" collapsed="false">
      <c r="B52" s="6" t="s">
        <v>59</v>
      </c>
      <c r="C52" s="6"/>
      <c r="D52" s="6"/>
      <c r="E52" s="25" t="s">
        <v>138</v>
      </c>
      <c r="F52" s="25"/>
      <c r="G52" s="25"/>
      <c r="H52" s="25"/>
      <c r="I52" s="25"/>
      <c r="J52" s="25"/>
      <c r="K52" s="25"/>
      <c r="L52" s="26"/>
      <c r="M52" s="35"/>
      <c r="N52" s="35"/>
      <c r="O52" s="35"/>
      <c r="P52" s="36" t="str">
        <f aca="false">IF(M52="","",IFERROR(IF(ABS(ABS(M52)-ABS('Q11.12 Ans'!M52))&lt;0.5,"✓","✗"),"✗"))</f>
        <v/>
      </c>
      <c r="R52" s="27" t="s">
        <v>134</v>
      </c>
      <c r="S52" s="27"/>
      <c r="T52" s="27"/>
      <c r="U52" s="25" t="s">
        <v>66</v>
      </c>
      <c r="V52" s="25"/>
      <c r="W52" s="25"/>
      <c r="X52" s="25"/>
      <c r="Y52" s="25"/>
      <c r="Z52" s="25"/>
      <c r="AA52" s="25"/>
      <c r="AB52" s="26" t="s">
        <v>67</v>
      </c>
      <c r="AC52" s="35"/>
      <c r="AD52" s="35"/>
      <c r="AE52" s="35"/>
      <c r="AF52" s="36" t="str">
        <f aca="false">IF(AC52="","",IFERROR(IF(ABS(ABS(AC52)-ABS('Q11.12 Ans'!AC52))&lt;0.5,"✓","✗"),"✗"))</f>
        <v/>
      </c>
    </row>
    <row r="53" customFormat="false" ht="17.25" hidden="false" customHeight="true" outlineLevel="0" collapsed="false">
      <c r="B53" s="6" t="s">
        <v>235</v>
      </c>
      <c r="C53" s="6"/>
      <c r="D53" s="6"/>
      <c r="E53" s="25" t="s">
        <v>63</v>
      </c>
      <c r="F53" s="25"/>
      <c r="G53" s="25"/>
      <c r="H53" s="25"/>
      <c r="I53" s="25"/>
      <c r="J53" s="25"/>
      <c r="K53" s="25"/>
      <c r="L53" s="26" t="s">
        <v>64</v>
      </c>
      <c r="M53" s="35"/>
      <c r="N53" s="35"/>
      <c r="O53" s="35"/>
      <c r="P53" s="36" t="str">
        <f aca="false">IF(M53="","",IFERROR(IF(ABS(ABS(M53)-ABS('Q11.12 Ans'!M53))&lt;0.5,"✓","✗"),"✗"))</f>
        <v/>
      </c>
      <c r="R53" s="27" t="s">
        <v>65</v>
      </c>
      <c r="S53" s="27"/>
      <c r="T53" s="27"/>
      <c r="U53" s="25" t="s">
        <v>137</v>
      </c>
      <c r="V53" s="25"/>
      <c r="W53" s="25"/>
      <c r="X53" s="25"/>
      <c r="Y53" s="25"/>
      <c r="Z53" s="25"/>
      <c r="AA53" s="25"/>
      <c r="AB53" s="26"/>
      <c r="AC53" s="35"/>
      <c r="AD53" s="35"/>
      <c r="AE53" s="35"/>
      <c r="AF53" s="36" t="str">
        <f aca="false">IF(AC53="","",IFERROR(IF(ABS(ABS(AC53)-ABS('Q11.12 Ans'!AC53))&lt;0.5,"✓","✗"),"✗"))</f>
        <v/>
      </c>
    </row>
    <row r="54" customFormat="false" ht="16.5" hidden="false" customHeight="true" outlineLevel="0" collapsed="false">
      <c r="M54" s="39"/>
      <c r="N54" s="39"/>
      <c r="O54" s="39"/>
      <c r="P54" s="36" t="str">
        <f aca="false">IF(M54="","",IFERROR(IF(ABS(ABS(M54)-ABS('Q11.12 Ans'!M54))&lt;0.5,"✓","✗"),"✗"))</f>
        <v/>
      </c>
      <c r="R54" s="29"/>
      <c r="AC54" s="39"/>
      <c r="AD54" s="39"/>
      <c r="AE54" s="39"/>
      <c r="AF54" s="36" t="str">
        <f aca="false">IF(AC54="","",IFERROR(IF(ABS(ABS(AC54)-ABS('Q11.12 Ans'!AC54))&lt;0.5,"✓","✗"),"✗"))</f>
        <v/>
      </c>
    </row>
    <row r="55" customFormat="false" ht="17.25" hidden="false" customHeight="true" outlineLevel="0" collapsed="false">
      <c r="B55" s="6" t="s">
        <v>70</v>
      </c>
      <c r="C55" s="6"/>
      <c r="D55" s="6"/>
      <c r="E55" s="25" t="s">
        <v>138</v>
      </c>
      <c r="F55" s="25"/>
      <c r="G55" s="25"/>
      <c r="H55" s="25"/>
      <c r="I55" s="25"/>
      <c r="J55" s="25"/>
      <c r="K55" s="25"/>
      <c r="L55" s="26"/>
      <c r="M55" s="35"/>
      <c r="N55" s="35"/>
      <c r="O55" s="35"/>
      <c r="P55" s="36" t="str">
        <f aca="false">IF(M55="","",IFERROR(IF(ABS(ABS(M55)-ABS('Q11.12 Ans'!M55))&lt;0.5,"✓","✗"),"✗"))</f>
        <v/>
      </c>
      <c r="R55" s="29"/>
    </row>
  </sheetData>
  <mergeCells count="109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C10:AF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19:W19"/>
    <mergeCell ref="X19:AC19"/>
    <mergeCell ref="B20:W20"/>
    <mergeCell ref="X20:AC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5:W25"/>
    <mergeCell ref="X25:AC25"/>
    <mergeCell ref="B28:AF28"/>
    <mergeCell ref="B29:W29"/>
    <mergeCell ref="X29:AB29"/>
    <mergeCell ref="B30:W30"/>
    <mergeCell ref="X30:AB30"/>
    <mergeCell ref="B31:W31"/>
    <mergeCell ref="X31:AB31"/>
    <mergeCell ref="B32:W32"/>
    <mergeCell ref="X32:AB32"/>
    <mergeCell ref="B34:AF34"/>
    <mergeCell ref="B35:AF35"/>
    <mergeCell ref="B36:D36"/>
    <mergeCell ref="E36:Q36"/>
    <mergeCell ref="R36:V36"/>
    <mergeCell ref="W36:AA36"/>
    <mergeCell ref="AB36:AF36"/>
    <mergeCell ref="B37:D37"/>
    <mergeCell ref="E37:Q37"/>
    <mergeCell ref="AB37:AE37"/>
    <mergeCell ref="B38:D38"/>
    <mergeCell ref="E38:Q38"/>
    <mergeCell ref="AB38:AE38"/>
    <mergeCell ref="B39:D39"/>
    <mergeCell ref="E39:Q39"/>
    <mergeCell ref="AB39:AE39"/>
    <mergeCell ref="B40:D40"/>
    <mergeCell ref="E40:Q40"/>
    <mergeCell ref="AB40:AE40"/>
    <mergeCell ref="B41:D41"/>
    <mergeCell ref="E41:Q41"/>
    <mergeCell ref="AB41:AE41"/>
    <mergeCell ref="B42:D42"/>
    <mergeCell ref="E42:Q42"/>
    <mergeCell ref="AB42:AE42"/>
    <mergeCell ref="B43:D43"/>
    <mergeCell ref="E43:Q43"/>
    <mergeCell ref="AB43:AE43"/>
    <mergeCell ref="B45:AF45"/>
    <mergeCell ref="B46:W46"/>
    <mergeCell ref="X46:AB46"/>
    <mergeCell ref="B47:W47"/>
    <mergeCell ref="X47:AB47"/>
    <mergeCell ref="B49:AF49"/>
    <mergeCell ref="B50:D50"/>
    <mergeCell ref="E50:AC50"/>
    <mergeCell ref="AD50:AF50"/>
    <mergeCell ref="B51:D51"/>
    <mergeCell ref="E51:K51"/>
    <mergeCell ref="M51:P51"/>
    <mergeCell ref="R51:T51"/>
    <mergeCell ref="U51:AA51"/>
    <mergeCell ref="AC51:AF51"/>
    <mergeCell ref="B52:D52"/>
    <mergeCell ref="E52:K52"/>
    <mergeCell ref="M52:O52"/>
    <mergeCell ref="R52:T52"/>
    <mergeCell ref="U52:AA52"/>
    <mergeCell ref="AC52:AE52"/>
    <mergeCell ref="B53:D53"/>
    <mergeCell ref="E53:K53"/>
    <mergeCell ref="M53:O53"/>
    <mergeCell ref="R53:T53"/>
    <mergeCell ref="U53:AA53"/>
    <mergeCell ref="AC53:AE53"/>
    <mergeCell ref="M54:O54"/>
    <mergeCell ref="AC54:AE54"/>
    <mergeCell ref="B55:D55"/>
    <mergeCell ref="E55:K55"/>
    <mergeCell ref="M55:O55"/>
  </mergeCells>
  <conditionalFormatting sqref="B4:AG5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2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0" t="s">
        <v>108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 t="s">
        <v>95</v>
      </c>
      <c r="Y8" s="31"/>
      <c r="Z8" s="31"/>
      <c r="AA8" s="31"/>
      <c r="AB8" s="31"/>
      <c r="AC8" s="31"/>
    </row>
    <row r="9" customFormat="false" ht="16.5" hidden="false" customHeight="true" outlineLevel="0" collapsed="false">
      <c r="B9" s="12" t="s">
        <v>109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6" t="n">
        <f aca="false">'Q11.8'!X9</f>
        <v>800</v>
      </c>
      <c r="Y9" s="46"/>
      <c r="Z9" s="46"/>
      <c r="AA9" s="46"/>
      <c r="AB9" s="46"/>
      <c r="AC9" s="46"/>
    </row>
    <row r="10" customFormat="false" ht="16.5" hidden="false" customHeight="true" outlineLevel="0" collapsed="false">
      <c r="B10" s="12" t="s">
        <v>110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6" t="n">
        <f aca="false">'Q11.8'!X10</f>
        <v>8800</v>
      </c>
      <c r="Y10" s="46"/>
      <c r="Z10" s="46"/>
      <c r="AA10" s="46"/>
      <c r="AB10" s="46"/>
      <c r="AC10" s="46"/>
    </row>
    <row r="11" customFormat="false" ht="16.5" hidden="false" customHeight="true" outlineLevel="0" collapsed="false">
      <c r="B11" s="12" t="s">
        <v>111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6" t="n">
        <f aca="false">'Q11.8'!X11</f>
        <v>1800</v>
      </c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112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'Q11.8'!X12</f>
        <v>300</v>
      </c>
      <c r="Y12" s="46"/>
      <c r="Z12" s="46"/>
      <c r="AA12" s="46"/>
      <c r="AB12" s="46"/>
      <c r="AC12" s="46"/>
    </row>
    <row r="15" customFormat="false" ht="18.75" hidden="false" customHeight="true" outlineLevel="0" collapsed="false">
      <c r="B15" s="3" t="s">
        <v>113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3" t="s">
        <v>114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47" t="n">
        <f aca="false">12*$X$9</f>
        <v>9600</v>
      </c>
      <c r="Y16" s="47"/>
      <c r="Z16" s="47"/>
      <c r="AA16" s="47"/>
      <c r="AB16" s="47"/>
    </row>
    <row r="17" customFormat="false" ht="17.25" hidden="false" customHeight="true" outlineLevel="0" collapsed="false">
      <c r="B17" s="33" t="s">
        <v>115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47" t="n">
        <f aca="false">12*$X$9-$X$10</f>
        <v>800</v>
      </c>
      <c r="Y17" s="47"/>
      <c r="Z17" s="47"/>
      <c r="AA17" s="47"/>
      <c r="AB17" s="47"/>
    </row>
    <row r="19" customFormat="false" ht="18.75" hidden="false" customHeight="true" outlineLevel="0" collapsed="false">
      <c r="B19" s="3" t="s">
        <v>116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3" t="s">
        <v>117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47" t="n">
        <f aca="false">$X$11-$X$12</f>
        <v>1500</v>
      </c>
      <c r="Y20" s="47"/>
      <c r="Z20" s="47"/>
      <c r="AA20" s="47"/>
      <c r="AB20" s="47"/>
    </row>
    <row r="22" customFormat="false" ht="18.75" hidden="false" customHeight="true" outlineLevel="0" collapsed="false">
      <c r="B22" s="3" t="s">
        <v>118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33" t="s">
        <v>119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48" t="str">
        <f aca="false">"Current liabilities (other payables)"</f>
        <v>Current liabilities (other payables)</v>
      </c>
      <c r="U23" s="48"/>
      <c r="V23" s="48"/>
      <c r="W23" s="48"/>
      <c r="X23" s="48"/>
      <c r="Y23" s="48"/>
      <c r="Z23" s="48"/>
      <c r="AA23" s="48"/>
      <c r="AB23" s="48"/>
    </row>
    <row r="24" customFormat="false" ht="17.25" hidden="false" customHeight="true" outlineLevel="0" collapsed="false">
      <c r="B24" s="33" t="s">
        <v>120</v>
      </c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48" t="str">
        <f aca="false">"Current assets (other receivables)"</f>
        <v>Current assets (other receivables)</v>
      </c>
      <c r="U24" s="48"/>
      <c r="V24" s="48"/>
      <c r="W24" s="48"/>
      <c r="X24" s="48"/>
      <c r="Y24" s="48"/>
      <c r="Z24" s="48"/>
      <c r="AA24" s="48"/>
      <c r="AB24" s="48"/>
    </row>
    <row r="26" customFormat="false" ht="18.75" hidden="false" customHeight="true" outlineLevel="0" collapsed="false">
      <c r="B26" s="3" t="s">
        <v>121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33" t="s">
        <v>122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48" t="str">
        <f aca="false">"Accruals"</f>
        <v>Accruals</v>
      </c>
      <c r="U27" s="48"/>
      <c r="V27" s="48"/>
      <c r="W27" s="48"/>
      <c r="X27" s="48"/>
      <c r="Y27" s="48"/>
      <c r="Z27" s="48"/>
      <c r="AA27" s="48"/>
      <c r="AB27" s="48"/>
    </row>
  </sheetData>
  <mergeCells count="32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W20"/>
    <mergeCell ref="X20:AB20"/>
    <mergeCell ref="B22:AF22"/>
    <mergeCell ref="B23:S23"/>
    <mergeCell ref="T23:AB23"/>
    <mergeCell ref="B24:S24"/>
    <mergeCell ref="T24:AB24"/>
    <mergeCell ref="B26:AF26"/>
    <mergeCell ref="B27:S27"/>
    <mergeCell ref="T27:AB27"/>
  </mergeCells>
  <conditionalFormatting sqref="B1:AG2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124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125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0" t="s">
        <v>108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 t="s">
        <v>95</v>
      </c>
      <c r="Y8" s="31"/>
      <c r="Z8" s="31"/>
      <c r="AA8" s="31"/>
      <c r="AB8" s="31"/>
      <c r="AC8" s="31"/>
    </row>
    <row r="9" customFormat="false" ht="16.5" hidden="false" customHeight="true" outlineLevel="0" collapsed="false">
      <c r="B9" s="12" t="s">
        <v>126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6" t="n">
        <f aca="false">'Q11.9'!X9</f>
        <v>600</v>
      </c>
      <c r="Y9" s="46"/>
      <c r="Z9" s="46"/>
      <c r="AA9" s="46"/>
      <c r="AB9" s="46"/>
      <c r="AC9" s="46"/>
    </row>
    <row r="10" customFormat="false" ht="16.5" hidden="false" customHeight="true" outlineLevel="0" collapsed="false">
      <c r="B10" s="12" t="s">
        <v>127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6" t="n">
        <f aca="false">'Q11.9'!X10</f>
        <v>550</v>
      </c>
      <c r="Y10" s="46"/>
      <c r="Z10" s="46"/>
      <c r="AA10" s="46"/>
      <c r="AB10" s="46"/>
      <c r="AC10" s="46"/>
    </row>
    <row r="11" customFormat="false" ht="16.5" hidden="false" customHeight="true" outlineLevel="0" collapsed="false">
      <c r="B11" s="12" t="s">
        <v>128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6" t="n">
        <f aca="false">'Q11.9'!X11</f>
        <v>500</v>
      </c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129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'Q11.9'!X12</f>
        <v>580</v>
      </c>
      <c r="Y12" s="46"/>
      <c r="Z12" s="46"/>
      <c r="AA12" s="46"/>
      <c r="AB12" s="46"/>
      <c r="AC12" s="46"/>
    </row>
    <row r="13" customFormat="false" ht="16.5" hidden="false" customHeight="true" outlineLevel="0" collapsed="false">
      <c r="B13" s="12" t="s">
        <v>130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6" t="n">
        <f aca="false">'Q11.9'!X13</f>
        <v>2400</v>
      </c>
      <c r="Y13" s="46"/>
      <c r="Z13" s="46"/>
      <c r="AA13" s="46"/>
      <c r="AB13" s="46"/>
      <c r="AC13" s="46"/>
    </row>
    <row r="14" customFormat="false" ht="16.5" hidden="false" customHeight="true" outlineLevel="0" collapsed="false">
      <c r="B14" s="12" t="s">
        <v>131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9" t="n">
        <f aca="false">'Q11.9'!X14</f>
        <v>6</v>
      </c>
      <c r="Y14" s="49"/>
      <c r="Z14" s="49"/>
      <c r="AA14" s="49"/>
      <c r="AB14" s="49"/>
      <c r="AC14" s="49"/>
    </row>
    <row r="17" customFormat="false" ht="18.75" hidden="false" customHeight="true" outlineLevel="0" collapsed="false">
      <c r="B17" s="3" t="s">
        <v>132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7" t="s">
        <v>52</v>
      </c>
      <c r="C18" s="17"/>
      <c r="D18" s="17"/>
      <c r="E18" s="18" t="s">
        <v>74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9" t="s">
        <v>54</v>
      </c>
      <c r="AE18" s="19"/>
      <c r="AF18" s="19"/>
    </row>
    <row r="19" customFormat="false" ht="15" hidden="false" customHeight="false" outlineLevel="0" collapsed="false">
      <c r="B19" s="20" t="s">
        <v>55</v>
      </c>
      <c r="C19" s="20"/>
      <c r="D19" s="20"/>
      <c r="E19" s="20" t="s">
        <v>56</v>
      </c>
      <c r="F19" s="20"/>
      <c r="G19" s="20"/>
      <c r="H19" s="20"/>
      <c r="I19" s="20"/>
      <c r="J19" s="20"/>
      <c r="K19" s="20"/>
      <c r="L19" s="21" t="s">
        <v>57</v>
      </c>
      <c r="M19" s="22" t="s">
        <v>58</v>
      </c>
      <c r="N19" s="22"/>
      <c r="O19" s="22"/>
      <c r="P19" s="22"/>
      <c r="Q19" s="23"/>
      <c r="R19" s="24" t="s">
        <v>55</v>
      </c>
      <c r="S19" s="24"/>
      <c r="T19" s="24"/>
      <c r="U19" s="20" t="s">
        <v>56</v>
      </c>
      <c r="V19" s="20"/>
      <c r="W19" s="20"/>
      <c r="X19" s="20"/>
      <c r="Y19" s="20"/>
      <c r="Z19" s="20"/>
      <c r="AA19" s="20"/>
      <c r="AB19" s="21" t="s">
        <v>57</v>
      </c>
      <c r="AC19" s="22" t="s">
        <v>58</v>
      </c>
      <c r="AD19" s="22"/>
      <c r="AE19" s="22"/>
      <c r="AF19" s="22"/>
    </row>
    <row r="20" customFormat="false" ht="17.25" hidden="false" customHeight="true" outlineLevel="0" collapsed="false">
      <c r="B20" s="6" t="s">
        <v>133</v>
      </c>
      <c r="C20" s="6"/>
      <c r="D20" s="6"/>
      <c r="E20" s="25" t="s">
        <v>63</v>
      </c>
      <c r="F20" s="25"/>
      <c r="G20" s="25"/>
      <c r="H20" s="25"/>
      <c r="I20" s="25"/>
      <c r="J20" s="25"/>
      <c r="K20" s="25"/>
      <c r="L20" s="26" t="s">
        <v>64</v>
      </c>
      <c r="M20" s="47" t="n">
        <f aca="false">$X$9</f>
        <v>600</v>
      </c>
      <c r="N20" s="47"/>
      <c r="O20" s="47"/>
      <c r="R20" s="27" t="s">
        <v>134</v>
      </c>
      <c r="S20" s="27"/>
      <c r="T20" s="27"/>
      <c r="U20" s="25" t="s">
        <v>66</v>
      </c>
      <c r="V20" s="25"/>
      <c r="W20" s="25"/>
      <c r="X20" s="25"/>
      <c r="Y20" s="25"/>
      <c r="Z20" s="25"/>
      <c r="AA20" s="25"/>
      <c r="AB20" s="26" t="s">
        <v>67</v>
      </c>
      <c r="AC20" s="47" t="n">
        <f aca="false">$X$9+$X$10+$X$11+$X$12</f>
        <v>2230</v>
      </c>
      <c r="AD20" s="47"/>
      <c r="AE20" s="47"/>
    </row>
    <row r="21" customFormat="false" ht="17.25" hidden="false" customHeight="true" outlineLevel="0" collapsed="false">
      <c r="B21" s="6" t="s">
        <v>135</v>
      </c>
      <c r="C21" s="6"/>
      <c r="D21" s="6"/>
      <c r="E21" s="25" t="s">
        <v>63</v>
      </c>
      <c r="F21" s="25"/>
      <c r="G21" s="25"/>
      <c r="H21" s="25"/>
      <c r="I21" s="25"/>
      <c r="J21" s="25"/>
      <c r="K21" s="25"/>
      <c r="L21" s="26" t="s">
        <v>64</v>
      </c>
      <c r="M21" s="47" t="n">
        <f aca="false">$X$10</f>
        <v>550</v>
      </c>
      <c r="N21" s="47"/>
      <c r="O21" s="47"/>
      <c r="R21" s="29"/>
    </row>
    <row r="22" customFormat="false" ht="17.25" hidden="false" customHeight="true" outlineLevel="0" collapsed="false">
      <c r="B22" s="6" t="s">
        <v>136</v>
      </c>
      <c r="C22" s="6"/>
      <c r="D22" s="6"/>
      <c r="E22" s="25" t="s">
        <v>63</v>
      </c>
      <c r="F22" s="25"/>
      <c r="G22" s="25"/>
      <c r="H22" s="25"/>
      <c r="I22" s="25"/>
      <c r="J22" s="25"/>
      <c r="K22" s="25"/>
      <c r="L22" s="26" t="s">
        <v>64</v>
      </c>
      <c r="M22" s="47" t="n">
        <f aca="false">$X$11</f>
        <v>500</v>
      </c>
      <c r="N22" s="47"/>
      <c r="O22" s="47"/>
      <c r="R22" s="29"/>
    </row>
    <row r="23" customFormat="false" ht="17.25" hidden="false" customHeight="true" outlineLevel="0" collapsed="false">
      <c r="B23" s="6" t="s">
        <v>65</v>
      </c>
      <c r="C23" s="6"/>
      <c r="D23" s="6"/>
      <c r="E23" s="25" t="s">
        <v>137</v>
      </c>
      <c r="F23" s="25"/>
      <c r="G23" s="25"/>
      <c r="H23" s="25"/>
      <c r="I23" s="25"/>
      <c r="J23" s="25"/>
      <c r="K23" s="25"/>
      <c r="L23" s="26"/>
      <c r="M23" s="47" t="n">
        <f aca="false">$X$12</f>
        <v>580</v>
      </c>
      <c r="N23" s="47"/>
      <c r="O23" s="47"/>
      <c r="R23" s="29"/>
    </row>
    <row r="24" customFormat="false" ht="16.5" hidden="false" customHeight="true" outlineLevel="0" collapsed="false">
      <c r="M24" s="50" t="n">
        <f aca="false">SUM(M20:M23)</f>
        <v>2230</v>
      </c>
      <c r="N24" s="50"/>
      <c r="O24" s="50"/>
      <c r="R24" s="29"/>
      <c r="AC24" s="50" t="n">
        <f aca="false">SUM(AC20:AC23)</f>
        <v>2230</v>
      </c>
      <c r="AD24" s="50"/>
      <c r="AE24" s="50"/>
    </row>
    <row r="25" customFormat="false" ht="17.25" hidden="false" customHeight="true" outlineLevel="0" collapsed="false">
      <c r="R25" s="27" t="s">
        <v>70</v>
      </c>
      <c r="S25" s="27"/>
      <c r="T25" s="27"/>
      <c r="U25" s="25" t="s">
        <v>138</v>
      </c>
      <c r="V25" s="25"/>
      <c r="W25" s="25"/>
      <c r="X25" s="25"/>
      <c r="Y25" s="25"/>
      <c r="Z25" s="25"/>
      <c r="AA25" s="25"/>
      <c r="AB25" s="26"/>
      <c r="AC25" s="47" t="n">
        <f aca="false">$X$12</f>
        <v>580</v>
      </c>
      <c r="AD25" s="47"/>
      <c r="AE25" s="47"/>
    </row>
    <row r="27" customFormat="false" ht="18.75" hidden="false" customHeight="true" outlineLevel="0" collapsed="false">
      <c r="B27" s="3" t="s">
        <v>139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17" t="s">
        <v>52</v>
      </c>
      <c r="C28" s="17"/>
      <c r="D28" s="17"/>
      <c r="E28" s="18" t="s">
        <v>72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9" t="s">
        <v>54</v>
      </c>
      <c r="AE28" s="19"/>
      <c r="AF28" s="19"/>
    </row>
    <row r="29" customFormat="false" ht="15" hidden="false" customHeight="false" outlineLevel="0" collapsed="false">
      <c r="B29" s="20" t="s">
        <v>55</v>
      </c>
      <c r="C29" s="20"/>
      <c r="D29" s="20"/>
      <c r="E29" s="20" t="s">
        <v>56</v>
      </c>
      <c r="F29" s="20"/>
      <c r="G29" s="20"/>
      <c r="H29" s="20"/>
      <c r="I29" s="20"/>
      <c r="J29" s="20"/>
      <c r="K29" s="20"/>
      <c r="L29" s="21" t="s">
        <v>57</v>
      </c>
      <c r="M29" s="22" t="s">
        <v>58</v>
      </c>
      <c r="N29" s="22"/>
      <c r="O29" s="22"/>
      <c r="P29" s="22"/>
      <c r="Q29" s="23"/>
      <c r="R29" s="24" t="s">
        <v>55</v>
      </c>
      <c r="S29" s="24"/>
      <c r="T29" s="24"/>
      <c r="U29" s="20" t="s">
        <v>56</v>
      </c>
      <c r="V29" s="20"/>
      <c r="W29" s="20"/>
      <c r="X29" s="20"/>
      <c r="Y29" s="20"/>
      <c r="Z29" s="20"/>
      <c r="AA29" s="20"/>
      <c r="AB29" s="21" t="s">
        <v>57</v>
      </c>
      <c r="AC29" s="22" t="s">
        <v>58</v>
      </c>
      <c r="AD29" s="22"/>
      <c r="AE29" s="22"/>
      <c r="AF29" s="22"/>
    </row>
    <row r="30" customFormat="false" ht="17.25" hidden="false" customHeight="true" outlineLevel="0" collapsed="false">
      <c r="B30" s="6" t="s">
        <v>140</v>
      </c>
      <c r="C30" s="6"/>
      <c r="D30" s="6"/>
      <c r="E30" s="25" t="s">
        <v>63</v>
      </c>
      <c r="F30" s="25"/>
      <c r="G30" s="25"/>
      <c r="H30" s="25"/>
      <c r="I30" s="25"/>
      <c r="J30" s="25"/>
      <c r="K30" s="25"/>
      <c r="L30" s="26" t="s">
        <v>64</v>
      </c>
      <c r="M30" s="47" t="n">
        <f aca="false">$X$13</f>
        <v>2400</v>
      </c>
      <c r="N30" s="47"/>
      <c r="O30" s="47"/>
      <c r="R30" s="27" t="s">
        <v>134</v>
      </c>
      <c r="S30" s="27"/>
      <c r="T30" s="27"/>
      <c r="U30" s="25" t="s">
        <v>66</v>
      </c>
      <c r="V30" s="25"/>
      <c r="W30" s="25"/>
      <c r="X30" s="25"/>
      <c r="Y30" s="25"/>
      <c r="Z30" s="25"/>
      <c r="AA30" s="25"/>
      <c r="AB30" s="26" t="s">
        <v>67</v>
      </c>
      <c r="AC30" s="47" t="n">
        <f aca="false">$X$13/12*$X$14</f>
        <v>1200</v>
      </c>
      <c r="AD30" s="47"/>
      <c r="AE30" s="47"/>
    </row>
    <row r="31" customFormat="false" ht="17.25" hidden="false" customHeight="true" outlineLevel="0" collapsed="false">
      <c r="R31" s="27" t="s">
        <v>65</v>
      </c>
      <c r="S31" s="27"/>
      <c r="T31" s="27"/>
      <c r="U31" s="25" t="s">
        <v>137</v>
      </c>
      <c r="V31" s="25"/>
      <c r="W31" s="25"/>
      <c r="X31" s="25"/>
      <c r="Y31" s="25"/>
      <c r="Z31" s="25"/>
      <c r="AA31" s="25"/>
      <c r="AB31" s="26"/>
      <c r="AC31" s="47" t="n">
        <f aca="false">$X$13-$X$13/12*$X$14</f>
        <v>1200</v>
      </c>
      <c r="AD31" s="47"/>
      <c r="AE31" s="47"/>
    </row>
    <row r="32" customFormat="false" ht="16.5" hidden="false" customHeight="true" outlineLevel="0" collapsed="false">
      <c r="M32" s="50" t="n">
        <f aca="false">SUM(M30:M31)</f>
        <v>2400</v>
      </c>
      <c r="N32" s="50"/>
      <c r="O32" s="50"/>
      <c r="R32" s="29"/>
      <c r="AC32" s="50" t="n">
        <f aca="false">SUM(AC30:AC31)</f>
        <v>2400</v>
      </c>
      <c r="AD32" s="50"/>
      <c r="AE32" s="50"/>
    </row>
    <row r="33" customFormat="false" ht="17.25" hidden="false" customHeight="true" outlineLevel="0" collapsed="false">
      <c r="B33" s="6" t="s">
        <v>70</v>
      </c>
      <c r="C33" s="6"/>
      <c r="D33" s="6"/>
      <c r="E33" s="25" t="s">
        <v>138</v>
      </c>
      <c r="F33" s="25"/>
      <c r="G33" s="25"/>
      <c r="H33" s="25"/>
      <c r="I33" s="25"/>
      <c r="J33" s="25"/>
      <c r="K33" s="25"/>
      <c r="L33" s="26"/>
      <c r="M33" s="47" t="n">
        <f aca="false">$X$13-$X$13/12*$X$14</f>
        <v>1200</v>
      </c>
      <c r="N33" s="47"/>
      <c r="O33" s="47"/>
      <c r="R33" s="29"/>
    </row>
    <row r="35" customFormat="false" ht="18.75" hidden="false" customHeight="true" outlineLevel="0" collapsed="false">
      <c r="B35" s="3" t="s">
        <v>141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5" hidden="false" customHeight="false" outlineLevel="0" collapsed="false">
      <c r="B36" s="18" t="s">
        <v>142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customFormat="false" ht="15" hidden="false" customHeight="false" outlineLevel="0" collapsed="false">
      <c r="B37" s="40"/>
      <c r="C37" s="40"/>
      <c r="D37" s="40"/>
      <c r="E37" s="30" t="s">
        <v>56</v>
      </c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1" t="s">
        <v>143</v>
      </c>
      <c r="S37" s="31"/>
      <c r="T37" s="31"/>
      <c r="U37" s="31"/>
      <c r="V37" s="31"/>
      <c r="W37" s="31" t="s">
        <v>143</v>
      </c>
      <c r="X37" s="31"/>
      <c r="Y37" s="31"/>
      <c r="Z37" s="31"/>
      <c r="AA37" s="31"/>
      <c r="AB37" s="31" t="s">
        <v>143</v>
      </c>
      <c r="AC37" s="31"/>
      <c r="AD37" s="31"/>
      <c r="AE37" s="31"/>
      <c r="AF37" s="31"/>
    </row>
    <row r="38" customFormat="false" ht="30" hidden="false" customHeight="true" outlineLevel="0" collapsed="false"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11" t="s">
        <v>144</v>
      </c>
      <c r="S38" s="11"/>
      <c r="T38" s="11"/>
      <c r="U38" s="11"/>
      <c r="V38" s="11"/>
      <c r="W38" s="11" t="s">
        <v>145</v>
      </c>
      <c r="X38" s="11"/>
      <c r="Y38" s="11"/>
      <c r="Z38" s="11"/>
      <c r="AA38" s="11"/>
      <c r="AB38" s="11" t="s">
        <v>146</v>
      </c>
      <c r="AC38" s="11"/>
      <c r="AD38" s="11"/>
      <c r="AE38" s="11"/>
      <c r="AF38" s="11"/>
    </row>
    <row r="39" customFormat="false" ht="17.25" hidden="false" customHeight="true" outlineLevel="0" collapsed="false">
      <c r="B39" s="41"/>
      <c r="C39" s="41"/>
      <c r="D39" s="41"/>
      <c r="E39" s="42" t="s">
        <v>147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</row>
    <row r="40" customFormat="false" ht="17.25" hidden="false" customHeight="true" outlineLevel="0" collapsed="false">
      <c r="B40" s="41"/>
      <c r="C40" s="41"/>
      <c r="D40" s="41"/>
      <c r="E40" s="25" t="s">
        <v>148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47" t="n">
        <f aca="false">$X$13-$X$13/12*$X$14</f>
        <v>1200</v>
      </c>
      <c r="X40" s="47"/>
      <c r="Y40" s="47"/>
      <c r="Z40" s="47"/>
    </row>
    <row r="41" customFormat="false" ht="17.25" hidden="false" customHeight="true" outlineLevel="0" collapsed="false">
      <c r="B41" s="41" t="s">
        <v>149</v>
      </c>
      <c r="C41" s="41"/>
      <c r="D41" s="41"/>
      <c r="E41" s="42" t="s">
        <v>150</v>
      </c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</row>
    <row r="42" customFormat="false" ht="17.25" hidden="false" customHeight="true" outlineLevel="0" collapsed="false">
      <c r="B42" s="41"/>
      <c r="C42" s="41"/>
      <c r="D42" s="41"/>
      <c r="E42" s="25" t="s">
        <v>151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W42" s="47" t="n">
        <f aca="false">$X$12</f>
        <v>580</v>
      </c>
      <c r="X42" s="47"/>
      <c r="Y42" s="47"/>
      <c r="Z42" s="47"/>
    </row>
  </sheetData>
  <mergeCells count="96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E20:K20"/>
    <mergeCell ref="M20:O20"/>
    <mergeCell ref="R20:T20"/>
    <mergeCell ref="U20:AA20"/>
    <mergeCell ref="AC20:AE20"/>
    <mergeCell ref="B21:D21"/>
    <mergeCell ref="E21:K21"/>
    <mergeCell ref="M21:O21"/>
    <mergeCell ref="B22:D22"/>
    <mergeCell ref="E22:K22"/>
    <mergeCell ref="M22:O22"/>
    <mergeCell ref="B23:D23"/>
    <mergeCell ref="E23:K23"/>
    <mergeCell ref="M23:O23"/>
    <mergeCell ref="M24:O24"/>
    <mergeCell ref="AC24:AE24"/>
    <mergeCell ref="R25:T25"/>
    <mergeCell ref="U25:AA25"/>
    <mergeCell ref="AC25:AE25"/>
    <mergeCell ref="B27:AF27"/>
    <mergeCell ref="B28:D28"/>
    <mergeCell ref="E28:AC28"/>
    <mergeCell ref="AD28:AF28"/>
    <mergeCell ref="B29:D29"/>
    <mergeCell ref="E29:K29"/>
    <mergeCell ref="M29:P29"/>
    <mergeCell ref="R29:T29"/>
    <mergeCell ref="U29:AA29"/>
    <mergeCell ref="AC29:AF29"/>
    <mergeCell ref="B30:D30"/>
    <mergeCell ref="E30:K30"/>
    <mergeCell ref="M30:O30"/>
    <mergeCell ref="R30:T30"/>
    <mergeCell ref="U30:AA30"/>
    <mergeCell ref="AC30:AE30"/>
    <mergeCell ref="R31:T31"/>
    <mergeCell ref="U31:AA31"/>
    <mergeCell ref="AC31:AE31"/>
    <mergeCell ref="M32:O32"/>
    <mergeCell ref="AC32:AE32"/>
    <mergeCell ref="B33:D33"/>
    <mergeCell ref="E33:K33"/>
    <mergeCell ref="M33:O33"/>
    <mergeCell ref="B35:AF35"/>
    <mergeCell ref="B36:AF36"/>
    <mergeCell ref="B37:D37"/>
    <mergeCell ref="E37:Q37"/>
    <mergeCell ref="R37:V37"/>
    <mergeCell ref="W37:AA37"/>
    <mergeCell ref="AB37:AF37"/>
    <mergeCell ref="B38:D38"/>
    <mergeCell ref="E38:Q38"/>
    <mergeCell ref="R38:V38"/>
    <mergeCell ref="W38:AA38"/>
    <mergeCell ref="AB38:AF38"/>
    <mergeCell ref="B39:D39"/>
    <mergeCell ref="E39:Q39"/>
    <mergeCell ref="B40:D40"/>
    <mergeCell ref="E40:Q40"/>
    <mergeCell ref="W40:Z40"/>
    <mergeCell ref="B41:D41"/>
    <mergeCell ref="E41:Q41"/>
    <mergeCell ref="B42:D42"/>
    <mergeCell ref="E42:Q42"/>
    <mergeCell ref="W42:Z42"/>
  </mergeCells>
  <conditionalFormatting sqref="B1:AG4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153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154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155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0" t="s">
        <v>108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 t="s">
        <v>95</v>
      </c>
      <c r="Y8" s="31"/>
      <c r="Z8" s="31"/>
      <c r="AA8" s="31"/>
      <c r="AB8" s="31"/>
      <c r="AC8" s="31"/>
    </row>
    <row r="9" customFormat="false" ht="16.5" hidden="false" customHeight="true" outlineLevel="0" collapsed="false">
      <c r="B9" s="12" t="s">
        <v>109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6" t="n">
        <f aca="false">'Q11.10'!X9</f>
        <v>600</v>
      </c>
      <c r="Y9" s="46"/>
      <c r="Z9" s="46"/>
      <c r="AA9" s="46"/>
      <c r="AB9" s="46"/>
      <c r="AC9" s="46"/>
    </row>
    <row r="10" customFormat="false" ht="16.5" hidden="false" customHeight="true" outlineLevel="0" collapsed="false">
      <c r="B10" s="12" t="s">
        <v>156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6" t="n">
        <f aca="false">'Q11.10'!X10</f>
        <v>7800</v>
      </c>
      <c r="Y10" s="46"/>
      <c r="Z10" s="46"/>
      <c r="AA10" s="46"/>
      <c r="AB10" s="46"/>
      <c r="AC10" s="46"/>
    </row>
    <row r="11" customFormat="false" ht="16.5" hidden="false" customHeight="true" outlineLevel="0" collapsed="false">
      <c r="B11" s="12" t="s">
        <v>157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6" t="n">
        <f aca="false">'Q11.10'!X11</f>
        <v>2100</v>
      </c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158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'Q11.10'!X12</f>
        <v>350</v>
      </c>
      <c r="Y12" s="46"/>
      <c r="Z12" s="46"/>
      <c r="AA12" s="46"/>
      <c r="AB12" s="46"/>
      <c r="AC12" s="46"/>
    </row>
    <row r="15" customFormat="false" ht="18.75" hidden="false" customHeight="true" outlineLevel="0" collapsed="false">
      <c r="B15" s="3" t="s">
        <v>159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3" t="s">
        <v>160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47" t="n">
        <f aca="false">12*$X$9</f>
        <v>7200</v>
      </c>
      <c r="Y16" s="47"/>
      <c r="Z16" s="47"/>
      <c r="AA16" s="47"/>
      <c r="AB16" s="47"/>
    </row>
    <row r="17" customFormat="false" ht="17.25" hidden="false" customHeight="true" outlineLevel="0" collapsed="false">
      <c r="B17" s="33" t="s">
        <v>161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47" t="n">
        <f aca="false">$X$10-12*$X$9</f>
        <v>600</v>
      </c>
      <c r="Y17" s="47"/>
      <c r="Z17" s="47"/>
      <c r="AA17" s="47"/>
      <c r="AB17" s="47"/>
    </row>
    <row r="19" customFormat="false" ht="18.75" hidden="false" customHeight="true" outlineLevel="0" collapsed="false">
      <c r="B19" s="3" t="s">
        <v>162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7" t="s">
        <v>52</v>
      </c>
      <c r="C20" s="17"/>
      <c r="D20" s="17"/>
      <c r="E20" s="18" t="s">
        <v>163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9" t="s">
        <v>54</v>
      </c>
      <c r="AE20" s="19"/>
      <c r="AF20" s="19"/>
    </row>
    <row r="21" customFormat="false" ht="15" hidden="false" customHeight="false" outlineLevel="0" collapsed="false">
      <c r="B21" s="20" t="s">
        <v>55</v>
      </c>
      <c r="C21" s="20"/>
      <c r="D21" s="20"/>
      <c r="E21" s="20" t="s">
        <v>56</v>
      </c>
      <c r="F21" s="20"/>
      <c r="G21" s="20"/>
      <c r="H21" s="20"/>
      <c r="I21" s="20"/>
      <c r="J21" s="20"/>
      <c r="K21" s="20"/>
      <c r="L21" s="21" t="s">
        <v>57</v>
      </c>
      <c r="M21" s="22" t="s">
        <v>58</v>
      </c>
      <c r="N21" s="22"/>
      <c r="O21" s="22"/>
      <c r="P21" s="22"/>
      <c r="Q21" s="23"/>
      <c r="R21" s="24" t="s">
        <v>55</v>
      </c>
      <c r="S21" s="24"/>
      <c r="T21" s="24"/>
      <c r="U21" s="20" t="s">
        <v>56</v>
      </c>
      <c r="V21" s="20"/>
      <c r="W21" s="20"/>
      <c r="X21" s="20"/>
      <c r="Y21" s="20"/>
      <c r="Z21" s="20"/>
      <c r="AA21" s="20"/>
      <c r="AB21" s="21" t="s">
        <v>57</v>
      </c>
      <c r="AC21" s="22" t="s">
        <v>58</v>
      </c>
      <c r="AD21" s="22"/>
      <c r="AE21" s="22"/>
      <c r="AF21" s="22"/>
    </row>
    <row r="22" customFormat="false" ht="17.25" hidden="false" customHeight="true" outlineLevel="0" collapsed="false">
      <c r="B22" s="6" t="s">
        <v>134</v>
      </c>
      <c r="C22" s="6"/>
      <c r="D22" s="6"/>
      <c r="E22" s="25" t="s">
        <v>66</v>
      </c>
      <c r="F22" s="25"/>
      <c r="G22" s="25"/>
      <c r="H22" s="25"/>
      <c r="I22" s="25"/>
      <c r="J22" s="25"/>
      <c r="K22" s="25"/>
      <c r="L22" s="26" t="s">
        <v>67</v>
      </c>
      <c r="M22" s="47" t="n">
        <f aca="false">12*$X$9</f>
        <v>7200</v>
      </c>
      <c r="N22" s="47"/>
      <c r="O22" s="47"/>
      <c r="R22" s="27" t="s">
        <v>62</v>
      </c>
      <c r="S22" s="27"/>
      <c r="T22" s="27"/>
      <c r="U22" s="25" t="s">
        <v>63</v>
      </c>
      <c r="V22" s="25"/>
      <c r="W22" s="25"/>
      <c r="X22" s="25"/>
      <c r="Y22" s="25"/>
      <c r="Z22" s="25"/>
      <c r="AA22" s="25"/>
      <c r="AB22" s="26" t="s">
        <v>64</v>
      </c>
      <c r="AC22" s="47" t="n">
        <f aca="false">$X$10</f>
        <v>7800</v>
      </c>
      <c r="AD22" s="47"/>
      <c r="AE22" s="47"/>
    </row>
    <row r="23" customFormat="false" ht="17.25" hidden="false" customHeight="true" outlineLevel="0" collapsed="false">
      <c r="B23" s="6" t="s">
        <v>65</v>
      </c>
      <c r="C23" s="6"/>
      <c r="D23" s="6"/>
      <c r="E23" s="25" t="s">
        <v>137</v>
      </c>
      <c r="F23" s="25"/>
      <c r="G23" s="25"/>
      <c r="H23" s="25"/>
      <c r="I23" s="25"/>
      <c r="J23" s="25"/>
      <c r="K23" s="25"/>
      <c r="L23" s="26"/>
      <c r="M23" s="47" t="n">
        <f aca="false">$X$10-12*$X$9</f>
        <v>600</v>
      </c>
      <c r="N23" s="47"/>
      <c r="O23" s="47"/>
      <c r="R23" s="29"/>
    </row>
    <row r="24" customFormat="false" ht="16.5" hidden="false" customHeight="true" outlineLevel="0" collapsed="false">
      <c r="M24" s="50" t="n">
        <f aca="false">SUM(M22:M23)</f>
        <v>7800</v>
      </c>
      <c r="N24" s="50"/>
      <c r="O24" s="50"/>
      <c r="R24" s="29"/>
      <c r="AC24" s="50" t="n">
        <f aca="false">SUM(AC22:AC23)</f>
        <v>7800</v>
      </c>
      <c r="AD24" s="50"/>
      <c r="AE24" s="50"/>
    </row>
    <row r="25" customFormat="false" ht="17.25" hidden="false" customHeight="true" outlineLevel="0" collapsed="false">
      <c r="R25" s="27" t="s">
        <v>70</v>
      </c>
      <c r="S25" s="27"/>
      <c r="T25" s="27"/>
      <c r="U25" s="25" t="s">
        <v>138</v>
      </c>
      <c r="V25" s="25"/>
      <c r="W25" s="25"/>
      <c r="X25" s="25"/>
      <c r="Y25" s="25"/>
      <c r="Z25" s="25"/>
      <c r="AA25" s="25"/>
      <c r="AB25" s="26"/>
      <c r="AC25" s="47" t="n">
        <f aca="false">$X$10-12*$X$9</f>
        <v>600</v>
      </c>
      <c r="AD25" s="47"/>
      <c r="AE25" s="47"/>
    </row>
    <row r="27" customFormat="false" ht="18.75" hidden="false" customHeight="true" outlineLevel="0" collapsed="false">
      <c r="B27" s="3" t="s">
        <v>164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7.25" hidden="false" customHeight="true" outlineLevel="0" collapsed="false">
      <c r="B28" s="33" t="s">
        <v>165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47" t="n">
        <f aca="false">$X$11+$X$12</f>
        <v>2450</v>
      </c>
      <c r="Y28" s="47"/>
      <c r="Z28" s="47"/>
      <c r="AA28" s="47"/>
      <c r="AB28" s="47"/>
    </row>
    <row r="30" customFormat="false" ht="18.75" hidden="false" customHeight="true" outlineLevel="0" collapsed="false">
      <c r="B30" s="3" t="s">
        <v>166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customFormat="false" ht="15" hidden="false" customHeight="false" outlineLevel="0" collapsed="false">
      <c r="B31" s="18" t="s">
        <v>142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customFormat="false" ht="15" hidden="false" customHeight="false" outlineLevel="0" collapsed="false">
      <c r="B32" s="40"/>
      <c r="C32" s="40"/>
      <c r="D32" s="40"/>
      <c r="E32" s="30" t="s">
        <v>56</v>
      </c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1" t="s">
        <v>143</v>
      </c>
      <c r="S32" s="31"/>
      <c r="T32" s="31"/>
      <c r="U32" s="31"/>
      <c r="V32" s="31"/>
      <c r="W32" s="31" t="s">
        <v>143</v>
      </c>
      <c r="X32" s="31"/>
      <c r="Y32" s="31"/>
      <c r="Z32" s="31"/>
      <c r="AA32" s="31"/>
      <c r="AB32" s="31" t="s">
        <v>143</v>
      </c>
      <c r="AC32" s="31"/>
      <c r="AD32" s="31"/>
      <c r="AE32" s="31"/>
      <c r="AF32" s="31"/>
    </row>
    <row r="33" customFormat="false" ht="30" hidden="false" customHeight="true" outlineLevel="0" collapsed="false"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11" t="s">
        <v>144</v>
      </c>
      <c r="S33" s="11"/>
      <c r="T33" s="11"/>
      <c r="U33" s="11"/>
      <c r="V33" s="11"/>
      <c r="W33" s="11" t="s">
        <v>145</v>
      </c>
      <c r="X33" s="11"/>
      <c r="Y33" s="11"/>
      <c r="Z33" s="11"/>
      <c r="AA33" s="11"/>
      <c r="AB33" s="11" t="s">
        <v>146</v>
      </c>
      <c r="AC33" s="11"/>
      <c r="AD33" s="11"/>
      <c r="AE33" s="11"/>
      <c r="AF33" s="11"/>
    </row>
    <row r="34" customFormat="false" ht="17.25" hidden="false" customHeight="true" outlineLevel="0" collapsed="false">
      <c r="B34" s="41"/>
      <c r="C34" s="41"/>
      <c r="D34" s="41"/>
      <c r="E34" s="42" t="s">
        <v>147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</row>
    <row r="35" customFormat="false" ht="17.25" hidden="false" customHeight="true" outlineLevel="0" collapsed="false">
      <c r="B35" s="41"/>
      <c r="C35" s="41"/>
      <c r="D35" s="41"/>
      <c r="E35" s="25" t="s">
        <v>167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W35" s="47" t="n">
        <f aca="false">$X$12</f>
        <v>350</v>
      </c>
      <c r="X35" s="47"/>
      <c r="Y35" s="47"/>
      <c r="Z35" s="47"/>
    </row>
    <row r="36" customFormat="false" ht="17.25" hidden="false" customHeight="true" outlineLevel="0" collapsed="false">
      <c r="B36" s="41" t="s">
        <v>149</v>
      </c>
      <c r="C36" s="41"/>
      <c r="D36" s="41"/>
      <c r="E36" s="42" t="s">
        <v>150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</row>
    <row r="37" customFormat="false" ht="17.25" hidden="false" customHeight="true" outlineLevel="0" collapsed="false">
      <c r="B37" s="41"/>
      <c r="C37" s="41"/>
      <c r="D37" s="41"/>
      <c r="E37" s="25" t="s">
        <v>168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47" t="n">
        <f aca="false">$X$10-12*$X$9</f>
        <v>600</v>
      </c>
      <c r="X37" s="47"/>
      <c r="Y37" s="47"/>
      <c r="Z37" s="47"/>
    </row>
    <row r="39" customFormat="false" ht="18.75" hidden="false" customHeight="true" outlineLevel="0" collapsed="false">
      <c r="B39" s="3" t="s">
        <v>169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customFormat="false" ht="17.25" hidden="false" customHeight="true" outlineLevel="0" collapsed="false">
      <c r="B40" s="33" t="s">
        <v>170</v>
      </c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47" t="n">
        <f aca="false">$X$10-12*$X$9</f>
        <v>600</v>
      </c>
      <c r="Y40" s="47"/>
      <c r="Z40" s="47"/>
      <c r="AA40" s="47"/>
      <c r="AB40" s="47"/>
    </row>
  </sheetData>
  <mergeCells count="73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D20"/>
    <mergeCell ref="E20:AC20"/>
    <mergeCell ref="AD20:AF20"/>
    <mergeCell ref="B21:D21"/>
    <mergeCell ref="E21:K21"/>
    <mergeCell ref="M21:P21"/>
    <mergeCell ref="R21:T21"/>
    <mergeCell ref="U21:AA21"/>
    <mergeCell ref="AC21:AF21"/>
    <mergeCell ref="B22:D22"/>
    <mergeCell ref="E22:K22"/>
    <mergeCell ref="M22:O22"/>
    <mergeCell ref="R22:T22"/>
    <mergeCell ref="U22:AA22"/>
    <mergeCell ref="AC22:AE22"/>
    <mergeCell ref="B23:D23"/>
    <mergeCell ref="E23:K23"/>
    <mergeCell ref="M23:O23"/>
    <mergeCell ref="M24:O24"/>
    <mergeCell ref="AC24:AE24"/>
    <mergeCell ref="R25:T25"/>
    <mergeCell ref="U25:AA25"/>
    <mergeCell ref="AC25:AE25"/>
    <mergeCell ref="B27:AF27"/>
    <mergeCell ref="B28:W28"/>
    <mergeCell ref="X28:AB28"/>
    <mergeCell ref="B30:AF30"/>
    <mergeCell ref="B31:AF31"/>
    <mergeCell ref="B32:D32"/>
    <mergeCell ref="E32:Q32"/>
    <mergeCell ref="R32:V32"/>
    <mergeCell ref="W32:AA32"/>
    <mergeCell ref="AB32:AF32"/>
    <mergeCell ref="B33:D33"/>
    <mergeCell ref="E33:Q33"/>
    <mergeCell ref="R33:V33"/>
    <mergeCell ref="W33:AA33"/>
    <mergeCell ref="AB33:AF33"/>
    <mergeCell ref="B34:D34"/>
    <mergeCell ref="E34:Q34"/>
    <mergeCell ref="B35:D35"/>
    <mergeCell ref="E35:Q35"/>
    <mergeCell ref="W35:Z35"/>
    <mergeCell ref="B36:D36"/>
    <mergeCell ref="E36:Q36"/>
    <mergeCell ref="B37:D37"/>
    <mergeCell ref="E37:Q37"/>
    <mergeCell ref="W37:Z37"/>
    <mergeCell ref="B39:AF39"/>
    <mergeCell ref="B40:W40"/>
    <mergeCell ref="X40:AB40"/>
  </mergeCells>
  <conditionalFormatting sqref="B1:AG4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172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30" t="s">
        <v>108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1" t="s">
        <v>95</v>
      </c>
      <c r="Y6" s="31"/>
      <c r="Z6" s="31"/>
      <c r="AA6" s="31"/>
      <c r="AB6" s="31"/>
      <c r="AC6" s="31"/>
    </row>
    <row r="7" customFormat="false" ht="15" hidden="false" customHeight="false" outlineLevel="0" collapsed="false">
      <c r="B7" s="43" t="s">
        <v>173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</row>
    <row r="8" customFormat="false" ht="16.5" hidden="false" customHeight="true" outlineLevel="0" collapsed="false">
      <c r="B8" s="12" t="s">
        <v>174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46" t="n">
        <f aca="false">'Q11.11'!X8</f>
        <v>300</v>
      </c>
      <c r="Y8" s="46"/>
      <c r="Z8" s="46"/>
      <c r="AA8" s="46"/>
      <c r="AB8" s="46"/>
      <c r="AC8" s="46"/>
    </row>
    <row r="9" customFormat="false" ht="16.5" hidden="false" customHeight="true" outlineLevel="0" collapsed="false">
      <c r="B9" s="12" t="s">
        <v>175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6" t="n">
        <f aca="false">'Q11.11'!X9</f>
        <v>18000</v>
      </c>
      <c r="Y9" s="46"/>
      <c r="Z9" s="46"/>
      <c r="AA9" s="46"/>
      <c r="AB9" s="46"/>
      <c r="AC9" s="46"/>
    </row>
    <row r="10" customFormat="false" ht="16.5" hidden="false" customHeight="true" outlineLevel="0" collapsed="false">
      <c r="B10" s="12" t="s">
        <v>176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6" t="n">
        <f aca="false">'Q11.11'!X10</f>
        <v>450</v>
      </c>
      <c r="Y10" s="46"/>
      <c r="Z10" s="46"/>
      <c r="AA10" s="46"/>
      <c r="AB10" s="46"/>
      <c r="AC10" s="46"/>
    </row>
    <row r="11" customFormat="false" ht="15" hidden="false" customHeight="false" outlineLevel="0" collapsed="false">
      <c r="B11" s="43" t="s">
        <v>177</v>
      </c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customFormat="false" ht="16.5" hidden="false" customHeight="true" outlineLevel="0" collapsed="false">
      <c r="B12" s="12" t="s">
        <v>178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'Q11.11'!X12</f>
        <v>200</v>
      </c>
      <c r="Y12" s="46"/>
      <c r="Z12" s="46"/>
      <c r="AA12" s="46"/>
      <c r="AB12" s="46"/>
      <c r="AC12" s="46"/>
    </row>
    <row r="13" customFormat="false" ht="16.5" hidden="false" customHeight="true" outlineLevel="0" collapsed="false">
      <c r="B13" s="12" t="s">
        <v>175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6" t="n">
        <f aca="false">'Q11.11'!X13</f>
        <v>1600</v>
      </c>
      <c r="Y13" s="46"/>
      <c r="Z13" s="46"/>
      <c r="AA13" s="46"/>
      <c r="AB13" s="46"/>
      <c r="AC13" s="46"/>
    </row>
    <row r="14" customFormat="false" ht="16.5" hidden="false" customHeight="true" outlineLevel="0" collapsed="false">
      <c r="B14" s="12" t="s">
        <v>179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6" t="n">
        <f aca="false">'Q11.11'!X14</f>
        <v>250</v>
      </c>
      <c r="Y14" s="46"/>
      <c r="Z14" s="46"/>
      <c r="AA14" s="46"/>
      <c r="AB14" s="46"/>
      <c r="AC14" s="46"/>
    </row>
    <row r="15" customFormat="false" ht="15" hidden="false" customHeight="false" outlineLevel="0" collapsed="false">
      <c r="B15" s="43" t="s">
        <v>180</v>
      </c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customFormat="false" ht="16.5" hidden="false" customHeight="true" outlineLevel="0" collapsed="false">
      <c r="B16" s="12" t="s">
        <v>181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46" t="n">
        <f aca="false">'Q11.11'!X16</f>
        <v>3000</v>
      </c>
      <c r="Y16" s="46"/>
      <c r="Z16" s="46"/>
      <c r="AA16" s="46"/>
      <c r="AB16" s="46"/>
      <c r="AC16" s="46"/>
    </row>
    <row r="17" customFormat="false" ht="16.5" hidden="false" customHeight="true" outlineLevel="0" collapsed="false">
      <c r="B17" s="12" t="s">
        <v>182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46" t="n">
        <f aca="false">'Q11.11'!X17</f>
        <v>250</v>
      </c>
      <c r="Y17" s="46"/>
      <c r="Z17" s="46"/>
      <c r="AA17" s="46"/>
      <c r="AB17" s="46"/>
      <c r="AC17" s="46"/>
    </row>
    <row r="20" customFormat="false" ht="18.75" hidden="false" customHeight="true" outlineLevel="0" collapsed="false">
      <c r="B20" s="3" t="s">
        <v>183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3" t="s">
        <v>184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47" t="n">
        <f aca="false">$X$9-$X$8+$X$10</f>
        <v>18150</v>
      </c>
      <c r="Y21" s="47"/>
      <c r="Z21" s="47"/>
      <c r="AA21" s="47"/>
      <c r="AB21" s="47"/>
    </row>
    <row r="22" customFormat="false" ht="17.25" hidden="false" customHeight="true" outlineLevel="0" collapsed="false">
      <c r="B22" s="33" t="s">
        <v>185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47" t="n">
        <f aca="false">$X$13+$X$12-$X$14</f>
        <v>1550</v>
      </c>
      <c r="Y22" s="47"/>
      <c r="Z22" s="47"/>
      <c r="AA22" s="47"/>
      <c r="AB22" s="47"/>
    </row>
    <row r="23" customFormat="false" ht="17.25" hidden="false" customHeight="true" outlineLevel="0" collapsed="false">
      <c r="B23" s="33" t="s">
        <v>186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47" t="n">
        <f aca="false">$X$16+$X$17</f>
        <v>3250</v>
      </c>
      <c r="Y23" s="47"/>
      <c r="Z23" s="47"/>
      <c r="AA23" s="47"/>
      <c r="AB23" s="47"/>
    </row>
    <row r="25" customFormat="false" ht="18.75" hidden="false" customHeight="true" outlineLevel="0" collapsed="false">
      <c r="B25" s="3" t="s">
        <v>187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52</v>
      </c>
      <c r="C26" s="17"/>
      <c r="D26" s="17"/>
      <c r="E26" s="18" t="s">
        <v>188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54</v>
      </c>
      <c r="AE26" s="19"/>
      <c r="AF26" s="19"/>
    </row>
    <row r="27" customFormat="false" ht="15" hidden="false" customHeight="false" outlineLevel="0" collapsed="false">
      <c r="B27" s="20" t="s">
        <v>55</v>
      </c>
      <c r="C27" s="20"/>
      <c r="D27" s="20"/>
      <c r="E27" s="20" t="s">
        <v>56</v>
      </c>
      <c r="F27" s="20"/>
      <c r="G27" s="20"/>
      <c r="H27" s="20"/>
      <c r="I27" s="20"/>
      <c r="J27" s="20"/>
      <c r="K27" s="20"/>
      <c r="L27" s="21" t="s">
        <v>57</v>
      </c>
      <c r="M27" s="22" t="s">
        <v>58</v>
      </c>
      <c r="N27" s="22"/>
      <c r="O27" s="22"/>
      <c r="P27" s="22"/>
      <c r="Q27" s="23"/>
      <c r="R27" s="24" t="s">
        <v>55</v>
      </c>
      <c r="S27" s="24"/>
      <c r="T27" s="24"/>
      <c r="U27" s="20" t="s">
        <v>56</v>
      </c>
      <c r="V27" s="20"/>
      <c r="W27" s="20"/>
      <c r="X27" s="20"/>
      <c r="Y27" s="20"/>
      <c r="Z27" s="20"/>
      <c r="AA27" s="20"/>
      <c r="AB27" s="21" t="s">
        <v>57</v>
      </c>
      <c r="AC27" s="22" t="s">
        <v>58</v>
      </c>
      <c r="AD27" s="22"/>
      <c r="AE27" s="22"/>
      <c r="AF27" s="22"/>
    </row>
    <row r="28" customFormat="false" ht="17.25" hidden="false" customHeight="true" outlineLevel="0" collapsed="false">
      <c r="B28" s="6" t="s">
        <v>189</v>
      </c>
      <c r="C28" s="6"/>
      <c r="D28" s="6"/>
      <c r="E28" s="25" t="s">
        <v>63</v>
      </c>
      <c r="F28" s="25"/>
      <c r="G28" s="25"/>
      <c r="H28" s="25"/>
      <c r="I28" s="25"/>
      <c r="J28" s="25"/>
      <c r="K28" s="25"/>
      <c r="L28" s="26" t="s">
        <v>64</v>
      </c>
      <c r="M28" s="47" t="n">
        <f aca="false">$X$9</f>
        <v>18000</v>
      </c>
      <c r="N28" s="47"/>
      <c r="O28" s="47"/>
      <c r="R28" s="27" t="s">
        <v>190</v>
      </c>
      <c r="S28" s="27"/>
      <c r="T28" s="27"/>
      <c r="U28" s="25" t="s">
        <v>138</v>
      </c>
      <c r="V28" s="25"/>
      <c r="W28" s="25"/>
      <c r="X28" s="25"/>
      <c r="Y28" s="25"/>
      <c r="Z28" s="25"/>
      <c r="AA28" s="25"/>
      <c r="AB28" s="26"/>
      <c r="AC28" s="47" t="n">
        <f aca="false">$X$8</f>
        <v>300</v>
      </c>
      <c r="AD28" s="47"/>
      <c r="AE28" s="47"/>
    </row>
    <row r="29" customFormat="false" ht="17.25" hidden="false" customHeight="true" outlineLevel="0" collapsed="false">
      <c r="B29" s="6" t="s">
        <v>191</v>
      </c>
      <c r="C29" s="6"/>
      <c r="D29" s="6"/>
      <c r="E29" s="25" t="s">
        <v>137</v>
      </c>
      <c r="F29" s="25"/>
      <c r="G29" s="25"/>
      <c r="H29" s="25"/>
      <c r="I29" s="25"/>
      <c r="J29" s="25"/>
      <c r="K29" s="25"/>
      <c r="L29" s="26"/>
      <c r="M29" s="47" t="n">
        <f aca="false">$X$10</f>
        <v>450</v>
      </c>
      <c r="N29" s="47"/>
      <c r="O29" s="47"/>
      <c r="R29" s="27" t="s">
        <v>191</v>
      </c>
      <c r="S29" s="27"/>
      <c r="T29" s="27"/>
      <c r="U29" s="25" t="s">
        <v>66</v>
      </c>
      <c r="V29" s="25"/>
      <c r="W29" s="25"/>
      <c r="X29" s="25"/>
      <c r="Y29" s="25"/>
      <c r="Z29" s="25"/>
      <c r="AA29" s="25"/>
      <c r="AB29" s="26" t="s">
        <v>67</v>
      </c>
      <c r="AC29" s="47" t="n">
        <f aca="false">$X$9-$X$8+$X$10</f>
        <v>18150</v>
      </c>
      <c r="AD29" s="47"/>
      <c r="AE29" s="47"/>
    </row>
    <row r="30" customFormat="false" ht="16.5" hidden="false" customHeight="true" outlineLevel="0" collapsed="false">
      <c r="M30" s="50" t="n">
        <f aca="false">SUM(M28:M29)</f>
        <v>18450</v>
      </c>
      <c r="N30" s="50"/>
      <c r="O30" s="50"/>
      <c r="R30" s="29"/>
      <c r="AC30" s="50" t="n">
        <f aca="false">SUM(AC28:AC29)</f>
        <v>18450</v>
      </c>
      <c r="AD30" s="50"/>
      <c r="AE30" s="50"/>
    </row>
    <row r="31" customFormat="false" ht="17.25" hidden="false" customHeight="true" outlineLevel="0" collapsed="false">
      <c r="R31" s="27" t="s">
        <v>192</v>
      </c>
      <c r="S31" s="27"/>
      <c r="T31" s="27"/>
      <c r="U31" s="25" t="s">
        <v>138</v>
      </c>
      <c r="V31" s="25"/>
      <c r="W31" s="25"/>
      <c r="X31" s="25"/>
      <c r="Y31" s="25"/>
      <c r="Z31" s="25"/>
      <c r="AA31" s="25"/>
      <c r="AB31" s="26"/>
      <c r="AC31" s="47" t="n">
        <f aca="false">$X$10</f>
        <v>450</v>
      </c>
      <c r="AD31" s="47"/>
      <c r="AE31" s="47"/>
    </row>
    <row r="33" customFormat="false" ht="18.75" hidden="false" customHeight="true" outlineLevel="0" collapsed="false">
      <c r="B33" s="3" t="s">
        <v>193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33" t="s">
        <v>194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47" t="n">
        <f aca="false">$X$14+$X$17</f>
        <v>500</v>
      </c>
      <c r="Y34" s="47"/>
      <c r="Z34" s="47"/>
      <c r="AA34" s="47"/>
      <c r="AB34" s="47"/>
    </row>
    <row r="35" customFormat="false" ht="17.25" hidden="false" customHeight="true" outlineLevel="0" collapsed="false">
      <c r="B35" s="33" t="s">
        <v>195</v>
      </c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47" t="n">
        <f aca="false">$X$10</f>
        <v>450</v>
      </c>
      <c r="Y35" s="47"/>
      <c r="Z35" s="47"/>
      <c r="AA35" s="47"/>
      <c r="AB35" s="47"/>
    </row>
  </sheetData>
  <mergeCells count="64">
    <mergeCell ref="B1:AF1"/>
    <mergeCell ref="B2:AF2"/>
    <mergeCell ref="B3:AF3"/>
    <mergeCell ref="B5:AF5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E28:K28"/>
    <mergeCell ref="M28:O28"/>
    <mergeCell ref="R28:T28"/>
    <mergeCell ref="U28:AA28"/>
    <mergeCell ref="AC28:AE28"/>
    <mergeCell ref="B29:D29"/>
    <mergeCell ref="E29:K29"/>
    <mergeCell ref="M29:O29"/>
    <mergeCell ref="R29:T29"/>
    <mergeCell ref="U29:AA29"/>
    <mergeCell ref="AC29:AE29"/>
    <mergeCell ref="M30:O30"/>
    <mergeCell ref="AC30:AE30"/>
    <mergeCell ref="R31:T31"/>
    <mergeCell ref="U31:AA31"/>
    <mergeCell ref="AC31:AE31"/>
    <mergeCell ref="B33:AF33"/>
    <mergeCell ref="B34:W34"/>
    <mergeCell ref="X34:AB34"/>
    <mergeCell ref="B35:W35"/>
    <mergeCell ref="X35:AB35"/>
  </mergeCells>
  <conditionalFormatting sqref="B1:AG3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197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198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30" hidden="false" customHeight="true" outlineLevel="0" collapsed="false">
      <c r="C7" s="4" t="s">
        <v>199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200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201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C10" s="4" t="s">
        <v>202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15" hidden="false" customHeight="false" outlineLevel="0" collapsed="false">
      <c r="B11" s="30" t="s">
        <v>108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1" t="s">
        <v>95</v>
      </c>
      <c r="Y11" s="31"/>
      <c r="Z11" s="31"/>
      <c r="AA11" s="31"/>
      <c r="AB11" s="31"/>
      <c r="AC11" s="31"/>
    </row>
    <row r="12" customFormat="false" ht="16.5" hidden="false" customHeight="true" outlineLevel="0" collapsed="false">
      <c r="B12" s="12" t="s">
        <v>203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'Q11.12'!X12</f>
        <v>32000</v>
      </c>
      <c r="Y12" s="46"/>
      <c r="Z12" s="46"/>
      <c r="AA12" s="46"/>
      <c r="AB12" s="46"/>
      <c r="AC12" s="46"/>
    </row>
    <row r="13" customFormat="false" ht="16.5" hidden="false" customHeight="true" outlineLevel="0" collapsed="false">
      <c r="B13" s="12" t="s">
        <v>204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6" t="n">
        <f aca="false">'Q11.12'!X13</f>
        <v>750</v>
      </c>
      <c r="Y13" s="46"/>
      <c r="Z13" s="46"/>
      <c r="AA13" s="46"/>
      <c r="AB13" s="46"/>
      <c r="AC13" s="46"/>
    </row>
    <row r="14" customFormat="false" ht="16.5" hidden="false" customHeight="true" outlineLevel="0" collapsed="false">
      <c r="B14" s="12" t="s">
        <v>205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6" t="n">
        <f aca="false">'Q11.12'!X14</f>
        <v>3600</v>
      </c>
      <c r="Y14" s="46"/>
      <c r="Z14" s="46"/>
      <c r="AA14" s="46"/>
      <c r="AB14" s="46"/>
      <c r="AC14" s="46"/>
    </row>
    <row r="15" customFormat="false" ht="16.5" hidden="false" customHeight="true" outlineLevel="0" collapsed="false">
      <c r="B15" s="12" t="s">
        <v>206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49" t="n">
        <f aca="false">'Q11.12'!X15</f>
        <v>9</v>
      </c>
      <c r="Y15" s="49"/>
      <c r="Z15" s="49"/>
      <c r="AA15" s="49"/>
      <c r="AB15" s="49"/>
      <c r="AC15" s="49"/>
    </row>
    <row r="16" customFormat="false" ht="16.5" hidden="false" customHeight="true" outlineLevel="0" collapsed="false">
      <c r="B16" s="12" t="s">
        <v>207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46" t="n">
        <f aca="false">'Q11.12'!X16</f>
        <v>1000</v>
      </c>
      <c r="Y16" s="46"/>
      <c r="Z16" s="46"/>
      <c r="AA16" s="46"/>
      <c r="AB16" s="46"/>
      <c r="AC16" s="46"/>
    </row>
    <row r="17" customFormat="false" ht="16.5" hidden="false" customHeight="true" outlineLevel="0" collapsed="false">
      <c r="B17" s="12" t="s">
        <v>208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46" t="n">
        <f aca="false">'Q11.12'!X17</f>
        <v>1200</v>
      </c>
      <c r="Y17" s="46"/>
      <c r="Z17" s="46"/>
      <c r="AA17" s="46"/>
      <c r="AB17" s="46"/>
      <c r="AC17" s="46"/>
    </row>
    <row r="18" customFormat="false" ht="16.5" hidden="false" customHeight="true" outlineLevel="0" collapsed="false">
      <c r="B18" s="12" t="s">
        <v>209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46" t="n">
        <f aca="false">'Q11.12'!X18</f>
        <v>13000</v>
      </c>
      <c r="Y18" s="46"/>
      <c r="Z18" s="46"/>
      <c r="AA18" s="46"/>
      <c r="AB18" s="46"/>
      <c r="AC18" s="46"/>
    </row>
    <row r="19" customFormat="false" ht="16.5" hidden="false" customHeight="true" outlineLevel="0" collapsed="false">
      <c r="B19" s="12" t="s">
        <v>210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46" t="n">
        <f aca="false">'Q11.12'!X19</f>
        <v>21000</v>
      </c>
      <c r="Y19" s="46"/>
      <c r="Z19" s="46"/>
      <c r="AA19" s="46"/>
      <c r="AB19" s="46"/>
      <c r="AC19" s="46"/>
    </row>
    <row r="20" customFormat="false" ht="16.5" hidden="false" customHeight="true" outlineLevel="0" collapsed="false">
      <c r="B20" s="12" t="s">
        <v>211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46" t="n">
        <f aca="false">'Q11.12'!X20</f>
        <v>400</v>
      </c>
      <c r="Y20" s="46"/>
      <c r="Z20" s="46"/>
      <c r="AA20" s="46"/>
      <c r="AB20" s="46"/>
      <c r="AC20" s="46"/>
    </row>
    <row r="21" customFormat="false" ht="16.5" hidden="false" customHeight="true" outlineLevel="0" collapsed="false">
      <c r="B21" s="12" t="s">
        <v>212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46" t="n">
        <f aca="false">'Q11.12'!X21</f>
        <v>650</v>
      </c>
      <c r="Y21" s="46"/>
      <c r="Z21" s="46"/>
      <c r="AA21" s="46"/>
      <c r="AB21" s="46"/>
      <c r="AC21" s="46"/>
    </row>
    <row r="22" customFormat="false" ht="16.5" hidden="false" customHeight="true" outlineLevel="0" collapsed="false">
      <c r="B22" s="12" t="s">
        <v>213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46" t="n">
        <f aca="false">'Q11.12'!X22</f>
        <v>4500</v>
      </c>
      <c r="Y22" s="46"/>
      <c r="Z22" s="46"/>
      <c r="AA22" s="46"/>
      <c r="AB22" s="46"/>
      <c r="AC22" s="46"/>
    </row>
    <row r="23" customFormat="false" ht="16.5" hidden="false" customHeight="true" outlineLevel="0" collapsed="false">
      <c r="B23" s="12" t="s">
        <v>214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46" t="n">
        <f aca="false">'Q11.12'!X23</f>
        <v>300</v>
      </c>
      <c r="Y23" s="46"/>
      <c r="Z23" s="46"/>
      <c r="AA23" s="46"/>
      <c r="AB23" s="46"/>
      <c r="AC23" s="46"/>
    </row>
    <row r="24" customFormat="false" ht="16.5" hidden="false" customHeight="true" outlineLevel="0" collapsed="false">
      <c r="B24" s="12" t="s">
        <v>215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46" t="n">
        <f aca="false">'Q11.12'!X24</f>
        <v>500</v>
      </c>
      <c r="Y24" s="46"/>
      <c r="Z24" s="46"/>
      <c r="AA24" s="46"/>
      <c r="AB24" s="46"/>
      <c r="AC24" s="46"/>
    </row>
    <row r="25" customFormat="false" ht="16.5" hidden="false" customHeight="true" outlineLevel="0" collapsed="false">
      <c r="B25" s="12" t="s">
        <v>216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46" t="n">
        <f aca="false">'Q11.12'!X25</f>
        <v>120</v>
      </c>
      <c r="Y25" s="46"/>
      <c r="Z25" s="46"/>
      <c r="AA25" s="46"/>
      <c r="AB25" s="46"/>
      <c r="AC25" s="46"/>
    </row>
    <row r="28" customFormat="false" ht="18.75" hidden="false" customHeight="true" outlineLevel="0" collapsed="false">
      <c r="B28" s="3" t="s">
        <v>217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7.25" hidden="false" customHeight="true" outlineLevel="0" collapsed="false">
      <c r="B29" s="33" t="s">
        <v>218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47" t="n">
        <f aca="false">$X$13+$X$14*$X$15/12</f>
        <v>3450</v>
      </c>
      <c r="Y29" s="47"/>
      <c r="Z29" s="47"/>
      <c r="AA29" s="47"/>
      <c r="AB29" s="47"/>
    </row>
    <row r="30" customFormat="false" ht="17.25" hidden="false" customHeight="true" outlineLevel="0" collapsed="false">
      <c r="B30" s="33" t="s">
        <v>219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47" t="n">
        <f aca="false">6*$X$16+6*$X$17</f>
        <v>13200</v>
      </c>
      <c r="Y30" s="47"/>
      <c r="Z30" s="47"/>
      <c r="AA30" s="47"/>
      <c r="AB30" s="47"/>
    </row>
    <row r="31" customFormat="false" ht="17.25" hidden="false" customHeight="true" outlineLevel="0" collapsed="false">
      <c r="B31" s="33" t="s">
        <v>184</v>
      </c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47" t="n">
        <f aca="false">$X$19-$X$20+$X$21</f>
        <v>21250</v>
      </c>
      <c r="Y31" s="47"/>
      <c r="Z31" s="47"/>
      <c r="AA31" s="47"/>
      <c r="AB31" s="47"/>
    </row>
    <row r="32" customFormat="false" ht="17.25" hidden="false" customHeight="true" outlineLevel="0" collapsed="false">
      <c r="B32" s="33" t="s">
        <v>220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47" t="n">
        <f aca="false">$X$22-$X$23-$X$24</f>
        <v>3700</v>
      </c>
      <c r="Y32" s="47"/>
      <c r="Z32" s="47"/>
      <c r="AA32" s="47"/>
      <c r="AB32" s="47"/>
    </row>
    <row r="34" customFormat="false" ht="18.75" hidden="false" customHeight="true" outlineLevel="0" collapsed="false">
      <c r="B34" s="3" t="s">
        <v>221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8" t="s">
        <v>222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customFormat="false" ht="15" hidden="false" customHeight="false" outlineLevel="0" collapsed="false">
      <c r="B36" s="40"/>
      <c r="C36" s="40"/>
      <c r="D36" s="40"/>
      <c r="E36" s="30" t="s">
        <v>56</v>
      </c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1" t="s">
        <v>143</v>
      </c>
      <c r="S36" s="31"/>
      <c r="T36" s="31"/>
      <c r="U36" s="31"/>
      <c r="V36" s="31"/>
      <c r="W36" s="31" t="s">
        <v>143</v>
      </c>
      <c r="X36" s="31"/>
      <c r="Y36" s="31"/>
      <c r="Z36" s="31"/>
      <c r="AA36" s="31"/>
      <c r="AB36" s="31" t="s">
        <v>143</v>
      </c>
      <c r="AC36" s="31"/>
      <c r="AD36" s="31"/>
      <c r="AE36" s="31"/>
      <c r="AF36" s="31"/>
    </row>
    <row r="37" customFormat="false" ht="17.25" hidden="false" customHeight="true" outlineLevel="0" collapsed="false">
      <c r="B37" s="41"/>
      <c r="C37" s="41"/>
      <c r="D37" s="41"/>
      <c r="E37" s="25" t="s">
        <v>223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AB37" s="47" t="n">
        <f aca="false">$X$12</f>
        <v>32000</v>
      </c>
      <c r="AC37" s="47"/>
      <c r="AD37" s="47"/>
      <c r="AE37" s="47"/>
    </row>
    <row r="38" customFormat="false" ht="17.25" hidden="false" customHeight="true" outlineLevel="0" collapsed="false">
      <c r="B38" s="41" t="s">
        <v>224</v>
      </c>
      <c r="C38" s="41"/>
      <c r="D38" s="41"/>
      <c r="E38" s="25" t="s">
        <v>225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AB38" s="47" t="n">
        <f aca="false">$X$14-$X$29</f>
        <v>150</v>
      </c>
      <c r="AC38" s="47"/>
      <c r="AD38" s="47"/>
      <c r="AE38" s="47"/>
    </row>
    <row r="39" customFormat="false" ht="17.25" hidden="false" customHeight="true" outlineLevel="0" collapsed="false">
      <c r="B39" s="41" t="s">
        <v>149</v>
      </c>
      <c r="C39" s="41"/>
      <c r="D39" s="41"/>
      <c r="E39" s="25" t="s">
        <v>226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47" t="n">
        <f aca="false">-($X$30-$X$18)</f>
        <v>-200</v>
      </c>
      <c r="AC39" s="47"/>
      <c r="AD39" s="47"/>
      <c r="AE39" s="47"/>
    </row>
    <row r="40" customFormat="false" ht="17.25" hidden="false" customHeight="true" outlineLevel="0" collapsed="false">
      <c r="B40" s="41" t="s">
        <v>149</v>
      </c>
      <c r="C40" s="41"/>
      <c r="D40" s="41"/>
      <c r="E40" s="25" t="s">
        <v>227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47" t="n">
        <f aca="false">-($X$31-$X$19)</f>
        <v>-250</v>
      </c>
      <c r="AC40" s="47"/>
      <c r="AD40" s="47"/>
      <c r="AE40" s="47"/>
    </row>
    <row r="41" customFormat="false" ht="17.25" hidden="false" customHeight="true" outlineLevel="0" collapsed="false">
      <c r="B41" s="41" t="s">
        <v>149</v>
      </c>
      <c r="C41" s="41"/>
      <c r="D41" s="41"/>
      <c r="E41" s="25" t="s">
        <v>228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AB41" s="47" t="n">
        <f aca="false">-($X$22-$X$32)</f>
        <v>-800</v>
      </c>
      <c r="AC41" s="47"/>
      <c r="AD41" s="47"/>
      <c r="AE41" s="47"/>
    </row>
    <row r="42" customFormat="false" ht="17.25" hidden="false" customHeight="true" outlineLevel="0" collapsed="false">
      <c r="B42" s="41" t="s">
        <v>224</v>
      </c>
      <c r="C42" s="41"/>
      <c r="D42" s="41"/>
      <c r="E42" s="25" t="s">
        <v>229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51" t="n">
        <f aca="false">$X$25</f>
        <v>120</v>
      </c>
      <c r="AC42" s="51"/>
      <c r="AD42" s="51"/>
      <c r="AE42" s="51"/>
    </row>
    <row r="43" customFormat="false" ht="17.25" hidden="false" customHeight="true" outlineLevel="0" collapsed="false">
      <c r="B43" s="41"/>
      <c r="C43" s="41"/>
      <c r="D43" s="41"/>
      <c r="E43" s="45" t="s">
        <v>230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AB43" s="50" t="n">
        <f aca="false">$X$12+($X$14-$X$29)-($X$30-$X$18)-($X$31-$X$19)-($X$22-$X$32)+$X$25</f>
        <v>31020</v>
      </c>
      <c r="AC43" s="50"/>
      <c r="AD43" s="50"/>
      <c r="AE43" s="50"/>
    </row>
    <row r="45" customFormat="false" ht="18.75" hidden="false" customHeight="true" outlineLevel="0" collapsed="false">
      <c r="B45" s="3" t="s">
        <v>231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customFormat="false" ht="17.25" hidden="false" customHeight="true" outlineLevel="0" collapsed="false">
      <c r="B46" s="33" t="s">
        <v>232</v>
      </c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47" t="n">
        <f aca="false">$X$14*(12-$X$15)/12+$X$25</f>
        <v>1020</v>
      </c>
      <c r="Y46" s="47"/>
      <c r="Z46" s="47"/>
      <c r="AA46" s="47"/>
      <c r="AB46" s="47"/>
    </row>
    <row r="47" customFormat="false" ht="17.25" hidden="false" customHeight="true" outlineLevel="0" collapsed="false">
      <c r="B47" s="33" t="s">
        <v>233</v>
      </c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47" t="n">
        <f aca="false">($X$30-$X$18)+$X$21+$X$24</f>
        <v>1350</v>
      </c>
      <c r="Y47" s="47"/>
      <c r="Z47" s="47"/>
      <c r="AA47" s="47"/>
      <c r="AB47" s="47"/>
    </row>
    <row r="49" customFormat="false" ht="18.75" hidden="false" customHeight="true" outlineLevel="0" collapsed="false">
      <c r="B49" s="3" t="s">
        <v>234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customFormat="false" ht="15" hidden="false" customHeight="false" outlineLevel="0" collapsed="false">
      <c r="B50" s="17" t="s">
        <v>52</v>
      </c>
      <c r="C50" s="17"/>
      <c r="D50" s="17"/>
      <c r="E50" s="18" t="s">
        <v>72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9" t="s">
        <v>54</v>
      </c>
      <c r="AE50" s="19"/>
      <c r="AF50" s="19"/>
    </row>
    <row r="51" customFormat="false" ht="15" hidden="false" customHeight="false" outlineLevel="0" collapsed="false">
      <c r="B51" s="20" t="s">
        <v>55</v>
      </c>
      <c r="C51" s="20"/>
      <c r="D51" s="20"/>
      <c r="E51" s="20" t="s">
        <v>56</v>
      </c>
      <c r="F51" s="20"/>
      <c r="G51" s="20"/>
      <c r="H51" s="20"/>
      <c r="I51" s="20"/>
      <c r="J51" s="20"/>
      <c r="K51" s="20"/>
      <c r="L51" s="21" t="s">
        <v>57</v>
      </c>
      <c r="M51" s="22" t="s">
        <v>58</v>
      </c>
      <c r="N51" s="22"/>
      <c r="O51" s="22"/>
      <c r="P51" s="22"/>
      <c r="Q51" s="23"/>
      <c r="R51" s="24" t="s">
        <v>55</v>
      </c>
      <c r="S51" s="24"/>
      <c r="T51" s="24"/>
      <c r="U51" s="20" t="s">
        <v>56</v>
      </c>
      <c r="V51" s="20"/>
      <c r="W51" s="20"/>
      <c r="X51" s="20"/>
      <c r="Y51" s="20"/>
      <c r="Z51" s="20"/>
      <c r="AA51" s="20"/>
      <c r="AB51" s="21" t="s">
        <v>57</v>
      </c>
      <c r="AC51" s="22" t="s">
        <v>58</v>
      </c>
      <c r="AD51" s="22"/>
      <c r="AE51" s="22"/>
      <c r="AF51" s="22"/>
    </row>
    <row r="52" customFormat="false" ht="17.25" hidden="false" customHeight="true" outlineLevel="0" collapsed="false">
      <c r="B52" s="6" t="s">
        <v>59</v>
      </c>
      <c r="C52" s="6"/>
      <c r="D52" s="6"/>
      <c r="E52" s="25" t="s">
        <v>138</v>
      </c>
      <c r="F52" s="25"/>
      <c r="G52" s="25"/>
      <c r="H52" s="25"/>
      <c r="I52" s="25"/>
      <c r="J52" s="25"/>
      <c r="K52" s="25"/>
      <c r="L52" s="26"/>
      <c r="M52" s="47" t="n">
        <f aca="false">$X$13</f>
        <v>750</v>
      </c>
      <c r="N52" s="47"/>
      <c r="O52" s="47"/>
      <c r="R52" s="27" t="s">
        <v>134</v>
      </c>
      <c r="S52" s="27"/>
      <c r="T52" s="27"/>
      <c r="U52" s="25" t="s">
        <v>66</v>
      </c>
      <c r="V52" s="25"/>
      <c r="W52" s="25"/>
      <c r="X52" s="25"/>
      <c r="Y52" s="25"/>
      <c r="Z52" s="25"/>
      <c r="AA52" s="25"/>
      <c r="AB52" s="26" t="s">
        <v>67</v>
      </c>
      <c r="AC52" s="47" t="n">
        <f aca="false">$X$29</f>
        <v>3450</v>
      </c>
      <c r="AD52" s="47"/>
      <c r="AE52" s="47"/>
    </row>
    <row r="53" customFormat="false" ht="17.25" hidden="false" customHeight="true" outlineLevel="0" collapsed="false">
      <c r="B53" s="6" t="s">
        <v>235</v>
      </c>
      <c r="C53" s="6"/>
      <c r="D53" s="6"/>
      <c r="E53" s="25" t="s">
        <v>63</v>
      </c>
      <c r="F53" s="25"/>
      <c r="G53" s="25"/>
      <c r="H53" s="25"/>
      <c r="I53" s="25"/>
      <c r="J53" s="25"/>
      <c r="K53" s="25"/>
      <c r="L53" s="26" t="s">
        <v>64</v>
      </c>
      <c r="M53" s="47" t="n">
        <f aca="false">$X$14</f>
        <v>3600</v>
      </c>
      <c r="N53" s="47"/>
      <c r="O53" s="47"/>
      <c r="R53" s="27" t="s">
        <v>65</v>
      </c>
      <c r="S53" s="27"/>
      <c r="T53" s="27"/>
      <c r="U53" s="25" t="s">
        <v>137</v>
      </c>
      <c r="V53" s="25"/>
      <c r="W53" s="25"/>
      <c r="X53" s="25"/>
      <c r="Y53" s="25"/>
      <c r="Z53" s="25"/>
      <c r="AA53" s="25"/>
      <c r="AB53" s="26"/>
      <c r="AC53" s="47" t="n">
        <f aca="false">$X$14*(12-$X$15)/12</f>
        <v>900</v>
      </c>
      <c r="AD53" s="47"/>
      <c r="AE53" s="47"/>
    </row>
    <row r="54" customFormat="false" ht="16.5" hidden="false" customHeight="true" outlineLevel="0" collapsed="false">
      <c r="M54" s="50" t="n">
        <f aca="false">SUM(M52:M53)</f>
        <v>4350</v>
      </c>
      <c r="N54" s="50"/>
      <c r="O54" s="50"/>
      <c r="R54" s="29"/>
      <c r="AC54" s="50" t="n">
        <f aca="false">SUM(AC52:AC53)</f>
        <v>4350</v>
      </c>
      <c r="AD54" s="50"/>
      <c r="AE54" s="50"/>
    </row>
    <row r="55" customFormat="false" ht="17.25" hidden="false" customHeight="true" outlineLevel="0" collapsed="false">
      <c r="B55" s="6" t="s">
        <v>70</v>
      </c>
      <c r="C55" s="6"/>
      <c r="D55" s="6"/>
      <c r="E55" s="25" t="s">
        <v>138</v>
      </c>
      <c r="F55" s="25"/>
      <c r="G55" s="25"/>
      <c r="H55" s="25"/>
      <c r="I55" s="25"/>
      <c r="J55" s="25"/>
      <c r="K55" s="25"/>
      <c r="L55" s="26"/>
      <c r="M55" s="47" t="n">
        <f aca="false">$X$14*(12-$X$15)/12</f>
        <v>900</v>
      </c>
      <c r="N55" s="47"/>
      <c r="O55" s="47"/>
      <c r="R55" s="29"/>
    </row>
  </sheetData>
  <mergeCells count="108">
    <mergeCell ref="B1:AF1"/>
    <mergeCell ref="B2:AF2"/>
    <mergeCell ref="B3:AF3"/>
    <mergeCell ref="B5:AF5"/>
    <mergeCell ref="C6:AF6"/>
    <mergeCell ref="C7:AF7"/>
    <mergeCell ref="C8:AF8"/>
    <mergeCell ref="C9:AF9"/>
    <mergeCell ref="C10:AF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19:W19"/>
    <mergeCell ref="X19:AC19"/>
    <mergeCell ref="B20:W20"/>
    <mergeCell ref="X20:AC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5:W25"/>
    <mergeCell ref="X25:AC25"/>
    <mergeCell ref="B28:AF28"/>
    <mergeCell ref="B29:W29"/>
    <mergeCell ref="X29:AB29"/>
    <mergeCell ref="B30:W30"/>
    <mergeCell ref="X30:AB30"/>
    <mergeCell ref="B31:W31"/>
    <mergeCell ref="X31:AB31"/>
    <mergeCell ref="B32:W32"/>
    <mergeCell ref="X32:AB32"/>
    <mergeCell ref="B34:AF34"/>
    <mergeCell ref="B35:AF35"/>
    <mergeCell ref="B36:D36"/>
    <mergeCell ref="E36:Q36"/>
    <mergeCell ref="R36:V36"/>
    <mergeCell ref="W36:AA36"/>
    <mergeCell ref="AB36:AF36"/>
    <mergeCell ref="B37:D37"/>
    <mergeCell ref="E37:Q37"/>
    <mergeCell ref="AB37:AE37"/>
    <mergeCell ref="B38:D38"/>
    <mergeCell ref="E38:Q38"/>
    <mergeCell ref="AB38:AE38"/>
    <mergeCell ref="B39:D39"/>
    <mergeCell ref="E39:Q39"/>
    <mergeCell ref="AB39:AE39"/>
    <mergeCell ref="B40:D40"/>
    <mergeCell ref="E40:Q40"/>
    <mergeCell ref="AB40:AE40"/>
    <mergeCell ref="B41:D41"/>
    <mergeCell ref="E41:Q41"/>
    <mergeCell ref="AB41:AE41"/>
    <mergeCell ref="B42:D42"/>
    <mergeCell ref="E42:Q42"/>
    <mergeCell ref="AB42:AE42"/>
    <mergeCell ref="B43:D43"/>
    <mergeCell ref="E43:Q43"/>
    <mergeCell ref="AB43:AE43"/>
    <mergeCell ref="B45:AF45"/>
    <mergeCell ref="B46:W46"/>
    <mergeCell ref="X46:AB46"/>
    <mergeCell ref="B47:W47"/>
    <mergeCell ref="X47:AB47"/>
    <mergeCell ref="B49:AF49"/>
    <mergeCell ref="B50:D50"/>
    <mergeCell ref="E50:AC50"/>
    <mergeCell ref="AD50:AF50"/>
    <mergeCell ref="B51:D51"/>
    <mergeCell ref="E51:K51"/>
    <mergeCell ref="M51:P51"/>
    <mergeCell ref="R51:T51"/>
    <mergeCell ref="U51:AA51"/>
    <mergeCell ref="AC51:AF51"/>
    <mergeCell ref="B52:D52"/>
    <mergeCell ref="E52:K52"/>
    <mergeCell ref="M52:O52"/>
    <mergeCell ref="R52:T52"/>
    <mergeCell ref="U52:AA52"/>
    <mergeCell ref="AC52:AE52"/>
    <mergeCell ref="B53:D53"/>
    <mergeCell ref="E53:K53"/>
    <mergeCell ref="M53:O53"/>
    <mergeCell ref="R53:T53"/>
    <mergeCell ref="U53:AA53"/>
    <mergeCell ref="AC53:AE53"/>
    <mergeCell ref="M54:O54"/>
    <mergeCell ref="AC54:AE54"/>
    <mergeCell ref="B55:D55"/>
    <mergeCell ref="E55:K55"/>
    <mergeCell ref="M55:O55"/>
  </mergeCells>
  <conditionalFormatting sqref="B1:AG5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2026-09-30T09:44:54Z</dcterms:created>
  <dc:creator>openpyxl</dc:creator>
  <dc:description/>
  <dc:language>en-US</dc:language>
  <cp:lastModifiedBy/>
  <dcterms:modified xsi:type="dcterms:W3CDTF">2026-09-30T09:44:55Z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