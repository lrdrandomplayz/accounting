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cores" sheetId="2" state="visible" r:id="rId4"/>
    <sheet name="Mock A" sheetId="3" state="visible" r:id="rId5"/>
    <sheet name="Mock B1" sheetId="4" state="visible" r:id="rId6"/>
    <sheet name="Mock B2" sheetId="5" state="visible" r:id="rId7"/>
    <sheet name="Mock B3" sheetId="6" state="visible" r:id="rId8"/>
    <sheet name="Mock B4" sheetId="7" state="visible" r:id="rId9"/>
    <sheet name="Mock C" sheetId="8" state="visible" r:id="rId10"/>
    <sheet name="Mock A Ans" sheetId="9" state="visible" r:id="rId11"/>
    <sheet name="Mock B1 Ans" sheetId="10" state="visible" r:id="rId12"/>
    <sheet name="Mock B2 Ans" sheetId="11" state="visible" r:id="rId13"/>
    <sheet name="Mock B3 Ans" sheetId="12" state="visible" r:id="rId14"/>
    <sheet name="Mock B4 Ans" sheetId="13" state="visible" r:id="rId15"/>
    <sheet name="Mock C Ans" sheetId="14" state="visible" r:id="rId16"/>
  </sheets>
  <definedNames>
    <definedName function="false" hidden="false" localSheetId="2" name="_xlnm.Print_Area" vbProcedure="false">'Mock A'!$A$1:$AG$75</definedName>
    <definedName function="false" hidden="false" localSheetId="8" name="_xlnm.Print_Area" vbProcedure="false">'Mock A Ans'!$A$1:$AG$75</definedName>
    <definedName function="false" hidden="false" localSheetId="3" name="_xlnm.Print_Area" vbProcedure="false">'Mock B1'!$A$1:$AG$35</definedName>
    <definedName function="false" hidden="false" localSheetId="9" name="_xlnm.Print_Area" vbProcedure="false">'Mock B1 Ans'!$A$1:$AG$35</definedName>
    <definedName function="false" hidden="false" localSheetId="4" name="_xlnm.Print_Area" vbProcedure="false">'Mock B2'!$A$1:$AG$29</definedName>
    <definedName function="false" hidden="false" localSheetId="10" name="_xlnm.Print_Area" vbProcedure="false">'Mock B2 Ans'!$A$1:$AG$29</definedName>
    <definedName function="false" hidden="false" localSheetId="5" name="_xlnm.Print_Area" vbProcedure="false">'Mock B3'!$A$1:$AG$40</definedName>
    <definedName function="false" hidden="false" localSheetId="11" name="_xlnm.Print_Area" vbProcedure="false">'Mock B3 Ans'!$A$1:$AG$40</definedName>
    <definedName function="false" hidden="false" localSheetId="6" name="_xlnm.Print_Area" vbProcedure="false">'Mock B4'!$A$1:$AG$26</definedName>
    <definedName function="false" hidden="false" localSheetId="12" name="_xlnm.Print_Area" vbProcedure="false">'Mock B4 Ans'!$A$1:$AG$26</definedName>
    <definedName function="false" hidden="false" localSheetId="7" name="_xlnm.Print_Area" vbProcedure="false">'Mock C'!$A$1:$AG$117</definedName>
    <definedName function="false" hidden="false" localSheetId="13" name="_xlnm.Print_Area" vbProcedure="false">'Mock C Ans'!$A$1:$AG$117</definedName>
    <definedName function="false" hidden="false" localSheetId="0" name="_xlnm.Print_Area" vbProcedure="false">'Read Me'!$A$1:$AG$31</definedName>
    <definedName function="false" hidden="false" localSheetId="1" name="_xlnm.Print_Area" vbProcedure="false">Scores!$A$1:$AG$12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<sst xmlns="http://schemas.openxmlformats.org/spreadsheetml/2006/main" count="779" uniqueCount="284">
  <si>
    <t xml:space="preserve">Mock Test: Senior 1 Accounting (2 hours, 100 marks)</t>
  </si>
  <si>
    <t xml:space="preserve">Senior 1 Accounting. Free to use and share. Not for sale.</t>
  </si>
  <si>
    <t xml:space="preserve">How to use this workbook</t>
  </si>
  <si>
    <t xml:space="preserve">1. Sit the paper in 2 hours without notes. Section A: 10 marks. Section B: 40 marks. Section C: 50 marks.</t>
  </si>
  <si>
    <t xml:space="preserve">2. Type answers in the yellow cells on the blue Mock tabs. The Scores tab adds up your correct cells.</t>
  </si>
  <si>
    <t xml:space="preserve">3. The green Ans tabs are the mark scheme. Written answers are marked by comparing with the model answer.</t>
  </si>
  <si>
    <t xml:space="preserve">4. The printed paper is model-questions/Mock_Test.md (or pdf/Mock_Test.pdf).</t>
  </si>
  <si>
    <t xml:space="preserve">Colour key</t>
  </si>
  <si>
    <t xml:space="preserve">Blue figure: data from the question. Teachers may change it to make a new version.</t>
  </si>
  <si>
    <t xml:space="preserve">Black figure: a formula. Do not type over it.</t>
  </si>
  <si>
    <t xml:space="preserve">Yellow cell: type your answer here (numbers only; enter 0 for nil).</t>
  </si>
  <si>
    <t xml:space="preserve">Green cell: the correct answer (Ans tabs).</t>
  </si>
  <si>
    <t xml:space="preserve">Formats used</t>
  </si>
  <si>
    <t xml:space="preserve">Journal: Date | Particulars | Debit | Credit. The first row shows the year, with RM under Debit and Credit.</t>
  </si>
  <si>
    <t xml:space="preserve">Ledger account: Dr side and Cr side, each with Date | Particulars | Folio | Amount. The first row under the headings shows the year, with RM in the Amount column; entries then show the month and day. Folio: GJ = general journal, CB = cash book.</t>
  </si>
  <si>
    <t xml:space="preserve">Statement of Profit or Loss: marker (Add / Less) | Particulars | RM | RM | RM.</t>
  </si>
  <si>
    <t xml:space="preserve">Statement of Financial Position: the same, with Cost | Accumulated Depreciation | Carrying Amount under the RM headings.</t>
  </si>
  <si>
    <t xml:space="preserve">Sheets in this workbook</t>
  </si>
  <si>
    <t xml:space="preserve">Sheet</t>
  </si>
  <si>
    <t xml:space="preserve">What it is</t>
  </si>
  <si>
    <t xml:space="preserve">Scores</t>
  </si>
  <si>
    <t xml:space="preserve">Your marks for every section of the mock test.</t>
  </si>
  <si>
    <t xml:space="preserve">Mock A</t>
  </si>
  <si>
    <t xml:space="preserve">Section A: multiple choice, 10 marks. Answers: Mock A Ans (green tab).</t>
  </si>
  <si>
    <t xml:space="preserve">Mock B1</t>
  </si>
  <si>
    <t xml:space="preserve">Section B, Chapter 8: 10 marks. Answers: Mock B1 Ans (green tab).</t>
  </si>
  <si>
    <t xml:space="preserve">Mock B2</t>
  </si>
  <si>
    <t xml:space="preserve">Section B, Chapter 10: 10 marks. Answers: Mock B2 Ans (green tab).</t>
  </si>
  <si>
    <t xml:space="preserve">Mock B3</t>
  </si>
  <si>
    <t xml:space="preserve">Section B, Chapter 11: 10 marks. Answers: Mock B3 Ans (green tab).</t>
  </si>
  <si>
    <t xml:space="preserve">Mock B4</t>
  </si>
  <si>
    <t xml:space="preserve">Section B, Chapter 12: 10 marks. Answers: Mock B4 Ans (green tab).</t>
  </si>
  <si>
    <t xml:space="preserve">Mock C</t>
  </si>
  <si>
    <t xml:space="preserve">Section C, financial statements: 50 marks. Answers: Mock C Ans (green tab).</t>
  </si>
  <si>
    <t xml:space="preserve">Mock test: your scores</t>
  </si>
  <si>
    <t xml:space="preserve">Marks come from the ✓ cells on each blue Mock tab.</t>
  </si>
  <si>
    <t xml:space="preserve">Section</t>
  </si>
  <si>
    <t xml:space="preserve">Answer cells correct</t>
  </si>
  <si>
    <t xml:space="preserve">Answer cells in total</t>
  </si>
  <si>
    <t xml:space="preserve">Section A: multiple choice, 10 marks</t>
  </si>
  <si>
    <t xml:space="preserve">10</t>
  </si>
  <si>
    <t xml:space="preserve">Section B, Chapter 8: 10 marks</t>
  </si>
  <si>
    <t xml:space="preserve">Section B, Chapter 10: 10 marks</t>
  </si>
  <si>
    <t xml:space="preserve">11</t>
  </si>
  <si>
    <t xml:space="preserve">Section B, Chapter 11: 10 marks</t>
  </si>
  <si>
    <t xml:space="preserve">13</t>
  </si>
  <si>
    <t xml:space="preserve">Section B, Chapter 12: 10 marks</t>
  </si>
  <si>
    <t xml:space="preserve">7</t>
  </si>
  <si>
    <t xml:space="preserve">Section C, financial statements: 50 marks</t>
  </si>
  <si>
    <t xml:space="preserve">61</t>
  </si>
  <si>
    <t xml:space="preserve">Total</t>
  </si>
  <si>
    <t xml:space="preserve">112</t>
  </si>
  <si>
    <t xml:space="preserve">Each answer cell is worth roughly one mark in Sections A and B. Section C has more cells than marks, so use the Ans tabs as the mark scheme for the final mark out of 100.</t>
  </si>
  <si>
    <t xml:space="preserve">Type your answers in the yellow cells. Numbers only: no RM, no commas. Enter 0 where the answer is nil. ✓ = correct, ✗ = try again.</t>
  </si>
  <si>
    <t xml:space="preserve">Your score:</t>
  </si>
  <si>
    <t xml:space="preserve">Section A: multiple choice. 1 mark each. Choose A, B, C or D.</t>
  </si>
  <si>
    <t xml:space="preserve">1. Which double entry writes off an irrecoverable debt?</t>
  </si>
  <si>
    <t xml:space="preserve">A.  Debit irrecoverable debts, credit trade receivable</t>
  </si>
  <si>
    <t xml:space="preserve">B.  Debit trade receivable, credit irrecoverable debts</t>
  </si>
  <si>
    <t xml:space="preserve">C.  Debit bank, credit irrecoverable debts</t>
  </si>
  <si>
    <t xml:space="preserve">D.  Debit allowance for irrecoverable debts, credit bank</t>
  </si>
  <si>
    <t xml:space="preserve">Your answer</t>
  </si>
  <si>
    <t xml:space="preserve">2. Trade receivables are RM40,000. The allowance is to be 5%. The allowance brought forward is RM2,500. What is the effect on the Statement of Profit or Loss?</t>
  </si>
  <si>
    <t xml:space="preserve">A.  Expense of RM2,000</t>
  </si>
  <si>
    <t xml:space="preserve">B.  Income of RM500</t>
  </si>
  <si>
    <t xml:space="preserve">C.  Expense of RM500</t>
  </si>
  <si>
    <t xml:space="preserve">D.  Income of RM2,000</t>
  </si>
  <si>
    <t xml:space="preserve">3. A machine costs RM30,000, has a residual value of RM3,000 and a useful life of 6 years. What is the annual straight line depreciation?</t>
  </si>
  <si>
    <t xml:space="preserve">A.  RM5,000</t>
  </si>
  <si>
    <t xml:space="preserve">B.  RM3,000</t>
  </si>
  <si>
    <t xml:space="preserve">C.  RM4,500</t>
  </si>
  <si>
    <t xml:space="preserve">D.  RM5,500</t>
  </si>
  <si>
    <t xml:space="preserve">4. Equipment costs RM25,000 and is depreciated at 20% per year, reducing balance. What is the depreciation charge in Year 2?</t>
  </si>
  <si>
    <t xml:space="preserve">B.  RM3,200</t>
  </si>
  <si>
    <t xml:space="preserve">C.  RM20,000</t>
  </si>
  <si>
    <t xml:space="preserve">D.  RM4,000</t>
  </si>
  <si>
    <t xml:space="preserve">5. A vehicle cost RM20,000. Accumulated depreciation is RM12,000. It is sold for RM9,500. What is the result?</t>
  </si>
  <si>
    <t xml:space="preserve">A.  Profit of RM1,500</t>
  </si>
  <si>
    <t xml:space="preserve">B.  Loss of RM1,500</t>
  </si>
  <si>
    <t xml:space="preserve">C.  Profit of RM9,500</t>
  </si>
  <si>
    <t xml:space="preserve">D.  Loss of RM8,000</t>
  </si>
  <si>
    <t xml:space="preserve">6. Rent paid during the year was RM7,200. At the year end RM600 was owing. What is the rent expense?</t>
  </si>
  <si>
    <t xml:space="preserve">A.  RM6,600</t>
  </si>
  <si>
    <t xml:space="preserve">B.  RM7,200</t>
  </si>
  <si>
    <t xml:space="preserve">C.  RM7,800</t>
  </si>
  <si>
    <t xml:space="preserve">D.  RM8,400</t>
  </si>
  <si>
    <t xml:space="preserve">7. How is income received in advance shown in the Statement of Financial Position?</t>
  </si>
  <si>
    <t xml:space="preserve">A.  Current asset</t>
  </si>
  <si>
    <t xml:space="preserve">B.  Current liability</t>
  </si>
  <si>
    <t xml:space="preserve">C.  Other income</t>
  </si>
  <si>
    <t xml:space="preserve">D.  Non-current liability</t>
  </si>
  <si>
    <t xml:space="preserve">8. A RM10 stapler is recorded as an expense, not a non-current asset. Which concept applies?</t>
  </si>
  <si>
    <t xml:space="preserve">A.  Prudence</t>
  </si>
  <si>
    <t xml:space="preserve">B.  Consistency</t>
  </si>
  <si>
    <t xml:space="preserve">C.  Going concern</t>
  </si>
  <si>
    <t xml:space="preserve">D.  Materiality</t>
  </si>
  <si>
    <t xml:space="preserve">9. Where is carriage inwards shown?</t>
  </si>
  <si>
    <t xml:space="preserve">A.  Expenses in the Statement of Profit or Loss</t>
  </si>
  <si>
    <t xml:space="preserve">B.  Cost of sales</t>
  </si>
  <si>
    <t xml:space="preserve">C.  Current liabilities</t>
  </si>
  <si>
    <t xml:space="preserve">D.  Other income</t>
  </si>
  <si>
    <t xml:space="preserve">10. Current assets are RM25,000, current liabilities RM9,000 and a long-term loan RM10,000. What is the working capital?</t>
  </si>
  <si>
    <t xml:space="preserve">A.  RM6,000</t>
  </si>
  <si>
    <t xml:space="preserve">B.  RM34,000</t>
  </si>
  <si>
    <t xml:space="preserve">C.  RM16,000</t>
  </si>
  <si>
    <t xml:space="preserve">D.  RM26,000</t>
  </si>
  <si>
    <t xml:space="preserve">Lim's year ends on 31 December 2025. Trade receivables are RM45,600 before writing off a debt of RM1,600 owed by Tan, who is bankrupt. The allowance for irrecoverable debts brought forward is RM1,500. It is to be 4% of the remaining trade receivables.</t>
  </si>
  <si>
    <t xml:space="preserve">Figures from the question</t>
  </si>
  <si>
    <t xml:space="preserve">Figure</t>
  </si>
  <si>
    <t xml:space="preserve">Trade receivables before writing off Tan (RM)</t>
  </si>
  <si>
    <t xml:space="preserve">Tan's debt (RM)</t>
  </si>
  <si>
    <t xml:space="preserve">Allowance brought forward (RM)</t>
  </si>
  <si>
    <t xml:space="preserve">Allowance rate</t>
  </si>
  <si>
    <t xml:space="preserve">a) Calculate trade receivables after the write-off, the new allowance and the change in the allowance. (3)</t>
  </si>
  <si>
    <t xml:space="preserve">Trade receivables after the write-off (RM)</t>
  </si>
  <si>
    <t xml:space="preserve">New allowance (RM)</t>
  </si>
  <si>
    <t xml:space="preserve">Increase in the allowance (RM)</t>
  </si>
  <si>
    <t xml:space="preserve">b) Prepare the journal entries to write off Tan's debt and to record the change in the allowance. (4)</t>
  </si>
  <si>
    <t xml:space="preserve">Date</t>
  </si>
  <si>
    <t xml:space="preserve">Particulars</t>
  </si>
  <si>
    <t xml:space="preserve">Debit</t>
  </si>
  <si>
    <t xml:space="preserve">Credit</t>
  </si>
  <si>
    <t xml:space="preserve">2025</t>
  </si>
  <si>
    <t xml:space="preserve">RM</t>
  </si>
  <si>
    <t xml:space="preserve">Dec 31</t>
  </si>
  <si>
    <t xml:space="preserve">Irrecoverable debts</t>
  </si>
  <si>
    <t xml:space="preserve">Tan</t>
  </si>
  <si>
    <t xml:space="preserve">(Being debt written off: customer bankrupt)</t>
  </si>
  <si>
    <t xml:space="preserve">Income statement</t>
  </si>
  <si>
    <t xml:space="preserve">Allowance for irrecoverable debts</t>
  </si>
  <si>
    <t xml:space="preserve">(Being increase in the allowance)</t>
  </si>
  <si>
    <t xml:space="preserve">c) Show the Statement of Financial Position extract for trade receivables. (3)</t>
  </si>
  <si>
    <t xml:space="preserve">Statement of Financial Position (extract) at 31 December 2025</t>
  </si>
  <si>
    <t xml:space="preserve">Cost</t>
  </si>
  <si>
    <t xml:space="preserve">Accumulated Depreciation</t>
  </si>
  <si>
    <t xml:space="preserve">Carrying Amount</t>
  </si>
  <si>
    <t xml:space="preserve">Current assets</t>
  </si>
  <si>
    <t xml:space="preserve">Trade receivables</t>
  </si>
  <si>
    <t xml:space="preserve">Less:</t>
  </si>
  <si>
    <t xml:space="preserve">On 1 January 2024 a business bought a van for RM48,000. It is depreciated at 25% per year, reducing balance. The year ends on 31 December. On 1 January 2026 the van was sold for RM25,000 by cheque.</t>
  </si>
  <si>
    <t xml:space="preserve">Cost of van (RM)</t>
  </si>
  <si>
    <t xml:space="preserve">Reducing balance rate</t>
  </si>
  <si>
    <t xml:space="preserve">Sale proceeds (RM)</t>
  </si>
  <si>
    <t xml:space="preserve">a) Calculate the depreciation for 2024 and 2025 and the carrying amount at 31 December 2025. (3)</t>
  </si>
  <si>
    <t xml:space="preserve">Depreciation for 2024 (RM)</t>
  </si>
  <si>
    <t xml:space="preserve">Depreciation for 2025 (RM)</t>
  </si>
  <si>
    <t xml:space="preserve">Carrying amount at 31 December 2025 (RM)</t>
  </si>
  <si>
    <t xml:space="preserve">b) Prepare the Disposal of van account. (5)</t>
  </si>
  <si>
    <t xml:space="preserve">Dr</t>
  </si>
  <si>
    <t xml:space="preserve">Disposal of Van Account</t>
  </si>
  <si>
    <t xml:space="preserve">Cr</t>
  </si>
  <si>
    <t xml:space="preserve">Folio</t>
  </si>
  <si>
    <t xml:space="preserve">Amount</t>
  </si>
  <si>
    <t xml:space="preserve">2026</t>
  </si>
  <si>
    <t xml:space="preserve">Jan 1</t>
  </si>
  <si>
    <t xml:space="preserve">Van</t>
  </si>
  <si>
    <t xml:space="preserve">GJ1</t>
  </si>
  <si>
    <t xml:space="preserve">Provision for depreciation</t>
  </si>
  <si>
    <t xml:space="preserve">Bank</t>
  </si>
  <si>
    <t xml:space="preserve">CB1</t>
  </si>
  <si>
    <t xml:space="preserve">Income statement (loss on disposal)</t>
  </si>
  <si>
    <t xml:space="preserve">GJ2</t>
  </si>
  <si>
    <t xml:space="preserve">c) State where the loss appears, and name the concept that requires depreciation. (2)</t>
  </si>
  <si>
    <t xml:space="preserve">The loss on disposal is shown as</t>
  </si>
  <si>
    <t xml:space="preserve">Concept that requires depreciation</t>
  </si>
  <si>
    <t xml:space="preserve">Wong's year ends on 31 December 2025.</t>
  </si>
  <si>
    <t xml:space="preserve">•  Rent is RM900 per month. RM9,900 was paid during the year.</t>
  </si>
  <si>
    <t xml:space="preserve">•  Insurance of RM400 was prepaid at 1 January 2025. On 1 April 2025 RM3,000 was paid for 12 months.</t>
  </si>
  <si>
    <t xml:space="preserve">Rent per month (RM)</t>
  </si>
  <si>
    <t xml:space="preserve">Rent paid in 2025 (RM)</t>
  </si>
  <si>
    <t xml:space="preserve">Insurance prepaid at 1 January 2025 (RM)</t>
  </si>
  <si>
    <t xml:space="preserve">Insurance paid on 1 April 2025 (RM)</t>
  </si>
  <si>
    <t xml:space="preserve">Months of that policy used in 2025</t>
  </si>
  <si>
    <t xml:space="preserve">a) Calculate the rent expense, the rent owing, the insurance expense and the insurance prepaid. (4)</t>
  </si>
  <si>
    <t xml:space="preserve">Rent expense (RM)</t>
  </si>
  <si>
    <t xml:space="preserve">Rent owing (RM)</t>
  </si>
  <si>
    <t xml:space="preserve">Insurance expense (RM)</t>
  </si>
  <si>
    <t xml:space="preserve">Insurance prepaid (RM)</t>
  </si>
  <si>
    <t xml:space="preserve">b) Prepare the Insurance account for the year. (4)</t>
  </si>
  <si>
    <t xml:space="preserve">Insurance Account</t>
  </si>
  <si>
    <t xml:space="preserve">Balance b/d</t>
  </si>
  <si>
    <t xml:space="preserve">Profit or loss</t>
  </si>
  <si>
    <t xml:space="preserve">Apr 1</t>
  </si>
  <si>
    <t xml:space="preserve">Balance c/d</t>
  </si>
  <si>
    <t xml:space="preserve">c) Show where the rent owing and the insurance prepaid appear. (2)</t>
  </si>
  <si>
    <t xml:space="preserve">Other receivables (insurance prepaid)</t>
  </si>
  <si>
    <t xml:space="preserve">Current liabilities</t>
  </si>
  <si>
    <t xml:space="preserve">Other payables (rent owing)</t>
  </si>
  <si>
    <t xml:space="preserve">a) Name the concept that applies to each situation. (4)</t>
  </si>
  <si>
    <t xml:space="preserve">Goods taken by the owner are recorded as drawings.</t>
  </si>
  <si>
    <t xml:space="preserve">A credit sale on 30 December is revenue of that year.</t>
  </si>
  <si>
    <t xml:space="preserve">The same inventory valuation method is used every year.</t>
  </si>
  <si>
    <t xml:space="preserve">Staff loyalty is not recorded in the accounts.</t>
  </si>
  <si>
    <t xml:space="preserve">b) Goods cost RM3,000. They can be sold for RM2,600 after repairs of RM400. Calculate the net realisable value and the value for inventory, and name the concept. (3)</t>
  </si>
  <si>
    <t xml:space="preserve">Cost (RM)</t>
  </si>
  <si>
    <t xml:space="preserve">Selling price (RM)</t>
  </si>
  <si>
    <t xml:space="preserve">Repairs needed (RM)</t>
  </si>
  <si>
    <t xml:space="preserve">Net realisable value (RM)</t>
  </si>
  <si>
    <t xml:space="preserve">Value for inventory (RM)</t>
  </si>
  <si>
    <t xml:space="preserve">Concept</t>
  </si>
  <si>
    <t xml:space="preserve">c) Explain the going concern concept and how asset values would change if a business were closing. (3)</t>
  </si>
  <si>
    <t xml:space="preserve">Siti Enterprise. Trial balance at 31 December 2025 and additional information.</t>
  </si>
  <si>
    <t xml:space="preserve">Siti Enterprise: Trial Balance at 31 December 2025</t>
  </si>
  <si>
    <t xml:space="preserve">Debit (RM)</t>
  </si>
  <si>
    <t xml:space="preserve">Credit (RM)</t>
  </si>
  <si>
    <t xml:space="preserve">Revenue</t>
  </si>
  <si>
    <t xml:space="preserve">Purchases</t>
  </si>
  <si>
    <t xml:space="preserve">Sales returns</t>
  </si>
  <si>
    <t xml:space="preserve">Purchases returns</t>
  </si>
  <si>
    <t xml:space="preserve">Carriage inwards</t>
  </si>
  <si>
    <t xml:space="preserve">Carriage outwards</t>
  </si>
  <si>
    <t xml:space="preserve">Inventory at 1 January 2025</t>
  </si>
  <si>
    <t xml:space="preserve">Wages</t>
  </si>
  <si>
    <t xml:space="preserve">Rent</t>
  </si>
  <si>
    <t xml:space="preserve">Insurance</t>
  </si>
  <si>
    <t xml:space="preserve">Electricity</t>
  </si>
  <si>
    <t xml:space="preserve">Discount allowed</t>
  </si>
  <si>
    <t xml:space="preserve">Discount received</t>
  </si>
  <si>
    <t xml:space="preserve">Rent received</t>
  </si>
  <si>
    <t xml:space="preserve">Premises at cost</t>
  </si>
  <si>
    <t xml:space="preserve">Fixtures at cost</t>
  </si>
  <si>
    <t xml:space="preserve">Provision for depreciation: fixtures</t>
  </si>
  <si>
    <t xml:space="preserve">Motor vehicle at cost</t>
  </si>
  <si>
    <t xml:space="preserve">Provision for depreciation: motor vehicle</t>
  </si>
  <si>
    <t xml:space="preserve">Trade payables</t>
  </si>
  <si>
    <t xml:space="preserve">Bank overdraft</t>
  </si>
  <si>
    <t xml:space="preserve">Cash</t>
  </si>
  <si>
    <t xml:space="preserve">Loan (repayable 2030)</t>
  </si>
  <si>
    <t xml:space="preserve">Capital</t>
  </si>
  <si>
    <t xml:space="preserve">Drawings</t>
  </si>
  <si>
    <t xml:space="preserve">Additional information at 31 December 2025</t>
  </si>
  <si>
    <t xml:space="preserve">1. Closing inventory (RM)</t>
  </si>
  <si>
    <t xml:space="preserve">2. Rent owing (RM)</t>
  </si>
  <si>
    <t xml:space="preserve">3. Insurance prepaid (RM)</t>
  </si>
  <si>
    <t xml:space="preserve">4. Rent received in advance (RM)</t>
  </si>
  <si>
    <t xml:space="preserve">5. Further irrecoverable debt to write off (RM)</t>
  </si>
  <si>
    <t xml:space="preserve">6. Allowance: % of remaining trade receivables</t>
  </si>
  <si>
    <t xml:space="preserve">7. Fixtures: % of cost per year (straight line)</t>
  </si>
  <si>
    <t xml:space="preserve">7. Motor vehicle: reducing balance rate</t>
  </si>
  <si>
    <t xml:space="preserve">8. Loan interest per year (unpaid)</t>
  </si>
  <si>
    <t xml:space="preserve">Premises are not depreciated.</t>
  </si>
  <si>
    <t xml:space="preserve">a) Prepare the Statement of Profit or Loss for the year ended 31 December 2025. (25)</t>
  </si>
  <si>
    <t xml:space="preserve">Siti Enterprise</t>
  </si>
  <si>
    <t xml:space="preserve">Statement of Profit or Loss for the year ended 31 December 2025</t>
  </si>
  <si>
    <t xml:space="preserve">Net revenue</t>
  </si>
  <si>
    <t xml:space="preserve">Cost of sales</t>
  </si>
  <si>
    <t xml:space="preserve">Opening inventory</t>
  </si>
  <si>
    <t xml:space="preserve">Add:</t>
  </si>
  <si>
    <t xml:space="preserve">Cost of goods available for sale</t>
  </si>
  <si>
    <t xml:space="preserve">Closing inventory</t>
  </si>
  <si>
    <t xml:space="preserve">Gross profit</t>
  </si>
  <si>
    <t xml:space="preserve">Other income</t>
  </si>
  <si>
    <t xml:space="preserve">Expenses</t>
  </si>
  <si>
    <t xml:space="preserve">Increase in allowance for irrecoverable debts</t>
  </si>
  <si>
    <t xml:space="preserve">Depreciation: fixtures</t>
  </si>
  <si>
    <t xml:space="preserve">Depreciation: motor vehicle</t>
  </si>
  <si>
    <t xml:space="preserve">Loan interest</t>
  </si>
  <si>
    <t xml:space="preserve">Profit for the year</t>
  </si>
  <si>
    <t xml:space="preserve">b) Prepare the Statement of Financial Position at 31 December 2025. (25)</t>
  </si>
  <si>
    <t xml:space="preserve">Statement of Financial Position at 31 December 2025</t>
  </si>
  <si>
    <t xml:space="preserve">Non-current assets</t>
  </si>
  <si>
    <t xml:space="preserve">Premises</t>
  </si>
  <si>
    <t xml:space="preserve">Fixtures</t>
  </si>
  <si>
    <t xml:space="preserve">Motor vehicle</t>
  </si>
  <si>
    <t xml:space="preserve">Total non-current assets</t>
  </si>
  <si>
    <t xml:space="preserve">Inventory</t>
  </si>
  <si>
    <t xml:space="preserve">Total current assets</t>
  </si>
  <si>
    <t xml:space="preserve">Other payables (rent + rent received in advance + interest)</t>
  </si>
  <si>
    <t xml:space="preserve">Total current liabilities</t>
  </si>
  <si>
    <t xml:space="preserve">Net current assets (working capital)</t>
  </si>
  <si>
    <t xml:space="preserve">Non-current liabilities</t>
  </si>
  <si>
    <t xml:space="preserve">Net assets</t>
  </si>
  <si>
    <t xml:space="preserve">Financed by:</t>
  </si>
  <si>
    <t xml:space="preserve">Capital at start of year</t>
  </si>
  <si>
    <t xml:space="preserve">Capital at end of year</t>
  </si>
  <si>
    <t xml:space="preserve">Section A: multiple choice, 10 marks: Answers</t>
  </si>
  <si>
    <t xml:space="preserve">Answer sheet. Green cells hold the correct answers. Each figure is a formula linked to the question sheet, so the answers follow any change to the blue figures.</t>
  </si>
  <si>
    <t xml:space="preserve">Written answers are model answers: other wording that makes the same points also earns the marks.</t>
  </si>
  <si>
    <t xml:space="preserve">Section B, Chapter 8: 10 marks: Answers</t>
  </si>
  <si>
    <t xml:space="preserve">Section B, Chapter 10: 10 marks: Answers</t>
  </si>
  <si>
    <t xml:space="preserve">Section B, Chapter 11: 10 marks: Answers</t>
  </si>
  <si>
    <t xml:space="preserve">Section B, Chapter 12: 10 marks: Answers</t>
  </si>
  <si>
    <t xml:space="preserve">Going concern assumes the business will continue trading for the foreseeable future, so assets are shown at cost less depreciation. If the business were closing, assets would be shown at what they would raise if sold now, which is often much lower.</t>
  </si>
  <si>
    <t xml:space="preserve">Section C, financial statements: 50 marks: Answers</t>
  </si>
</sst>
</file>

<file path=xl/styles.xml><?xml version="1.0" encoding="utf-8"?>
<styleSheet xmlns="http://schemas.openxmlformats.org/spreadsheetml/2006/main">
  <numFmts count="4">
    <numFmt numFmtId="164" formatCode="General"/>
    <numFmt numFmtId="165" formatCode="#,##0;\(#,##0\);\-"/>
    <numFmt numFmtId="166" formatCode="0"/>
    <numFmt numFmtId="167" formatCode="0.0%"/>
  </numFmts>
  <fonts count="14">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10"/>
      <color rgb="FF595959"/>
      <name val="Arial"/>
      <family val="0"/>
      <charset val="1"/>
    </font>
    <font>
      <b val="true"/>
      <sz val="10"/>
      <color rgb="FF1F3864"/>
      <name val="Arial"/>
      <family val="0"/>
      <charset val="1"/>
    </font>
    <font>
      <sz val="10"/>
      <color rgb="FF000000"/>
      <name val="Arial"/>
      <family val="0"/>
      <charset val="1"/>
    </font>
    <font>
      <sz val="10"/>
      <color rgb="FF0000FF"/>
      <name val="Arial"/>
      <family val="0"/>
      <charset val="1"/>
    </font>
    <font>
      <b val="true"/>
      <sz val="10"/>
      <color rgb="FF000000"/>
      <name val="Arial"/>
      <family val="0"/>
      <charset val="1"/>
    </font>
    <font>
      <i val="true"/>
      <sz val="10"/>
      <color rgb="FF000000"/>
      <name val="Arial"/>
      <family val="0"/>
      <charset val="1"/>
    </font>
    <font>
      <b val="true"/>
      <sz val="9"/>
      <color rgb="FF000000"/>
      <name val="Arial"/>
      <family val="0"/>
      <charset val="1"/>
    </font>
    <font>
      <sz val="9"/>
      <color rgb="FF595959"/>
      <name val="Arial"/>
      <family val="0"/>
      <charset val="1"/>
    </font>
    <font>
      <sz val="10"/>
      <color rgb="FF00800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DDEBF7"/>
        <bgColor rgb="FFD9E1F2"/>
      </patternFill>
    </fill>
    <fill>
      <patternFill patternType="solid">
        <fgColor rgb="FFF2F2F2"/>
        <bgColor rgb="FFEEF6E8"/>
      </patternFill>
    </fill>
    <fill>
      <patternFill patternType="solid">
        <fgColor rgb="FFFFF59D"/>
        <bgColor rgb="FFE2EFDA"/>
      </patternFill>
    </fill>
    <fill>
      <patternFill patternType="solid">
        <fgColor rgb="FFE2EFDA"/>
        <bgColor rgb="FFEEF6E8"/>
      </patternFill>
    </fill>
    <fill>
      <patternFill patternType="solid">
        <fgColor rgb="FFD9E1F2"/>
        <bgColor rgb="FFDDEBF7"/>
      </patternFill>
    </fill>
    <fill>
      <patternFill patternType="solid">
        <fgColor rgb="FFEEF6E8"/>
        <bgColor rgb="FFF2F2F2"/>
      </patternFill>
    </fill>
  </fills>
  <borders count="8">
    <border diagonalUp="false" diagonalDown="false">
      <left/>
      <right/>
      <top/>
      <bottom/>
      <diagonal/>
    </border>
    <border diagonalUp="false" diagonalDown="false">
      <left style="medium">
        <color rgb="FF1F3864"/>
      </left>
      <right/>
      <top/>
      <bottom/>
      <diagonal/>
    </border>
    <border diagonalUp="false" diagonalDown="false">
      <left style="thin">
        <color rgb="FFB4C6E7"/>
      </left>
      <right style="thin">
        <color rgb="FFB4C6E7"/>
      </right>
      <top style="thin">
        <color rgb="FFB4C6E7"/>
      </top>
      <bottom style="thin">
        <color rgb="FFB4C6E7"/>
      </bottom>
      <diagonal/>
    </border>
    <border diagonalUp="false" diagonalDown="false">
      <left style="thin">
        <color rgb="FFB4C6E7"/>
      </left>
      <right style="thin">
        <color rgb="FFB4C6E7"/>
      </right>
      <top style="thin"/>
      <bottom style="double"/>
      <diagonal/>
    </border>
    <border diagonalUp="false" diagonalDown="false">
      <left/>
      <right/>
      <top/>
      <bottom style="thin">
        <color rgb="FFB4C6E7"/>
      </bottom>
      <diagonal/>
    </border>
    <border diagonalUp="false" diagonalDown="false">
      <left style="thin">
        <color rgb="FFB4C6E7"/>
      </left>
      <right style="thin">
        <color rgb="FFB4C6E7"/>
      </right>
      <top style="thin">
        <color rgb="FFB4C6E7"/>
      </top>
      <bottom style="thin"/>
      <diagonal/>
    </border>
    <border diagonalUp="false" diagonalDown="false">
      <left/>
      <right/>
      <top/>
      <bottom style="medium">
        <color rgb="FF1F3864"/>
      </bottom>
      <diagonal/>
    </border>
    <border diagonalUp="false" diagonalDown="false">
      <left style="medium">
        <color rgb="FF1F3864"/>
      </left>
      <right/>
      <top/>
      <bottom style="medium">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5" fontId="8" fillId="4" borderId="0" xfId="0" applyFont="true" applyBorder="true" applyAlignment="true" applyProtection="false">
      <alignment horizontal="righ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false" indent="0" shrinkToFit="false"/>
      <protection locked="true" hidden="false"/>
    </xf>
    <xf numFmtId="165" fontId="7" fillId="0" borderId="0" xfId="0" applyFont="true" applyBorder="true" applyAlignment="true" applyProtection="false">
      <alignment horizontal="right" vertical="center" textRotation="0" wrapText="false" indent="0" shrinkToFit="false"/>
      <protection locked="true" hidden="false"/>
    </xf>
    <xf numFmtId="164" fontId="7" fillId="5" borderId="0" xfId="0" applyFont="true" applyBorder="true" applyAlignment="true" applyProtection="false">
      <alignment horizontal="left" vertical="center" textRotation="0" wrapText="false" indent="0" shrinkToFit="false"/>
      <protection locked="true" hidden="false"/>
    </xf>
    <xf numFmtId="165" fontId="9" fillId="6" borderId="0" xfId="0" applyFont="true" applyBorder="true" applyAlignment="true" applyProtection="false">
      <alignment horizontal="right" vertical="center" textRotation="0" wrapText="false" indent="0" shrinkToFit="false"/>
      <protection locked="true" hidden="false"/>
    </xf>
    <xf numFmtId="164" fontId="9" fillId="7" borderId="2" xfId="0" applyFont="true" applyBorder="true" applyAlignment="true" applyProtection="false">
      <alignment horizontal="left" vertical="top" textRotation="0" wrapText="true" indent="0" shrinkToFit="false"/>
      <protection locked="true" hidden="false"/>
    </xf>
    <xf numFmtId="164" fontId="9" fillId="7" borderId="2" xfId="0" applyFont="true" applyBorder="true" applyAlignment="true" applyProtection="false">
      <alignment horizontal="center"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center" vertical="top" textRotation="0" wrapText="true" indent="0" shrinkToFit="false"/>
      <protection locked="true" hidden="false"/>
    </xf>
    <xf numFmtId="166" fontId="7" fillId="0" borderId="2" xfId="0" applyFont="true" applyBorder="true" applyAlignment="true" applyProtection="false">
      <alignment horizontal="right" vertical="center" textRotation="0" wrapText="fals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6" fontId="7" fillId="0" borderId="3"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7" fillId="0" borderId="4" xfId="0" applyFont="true" applyBorder="true" applyAlignment="true" applyProtection="false">
      <alignment horizontal="left" vertical="center" textRotation="0" wrapText="true" indent="0" shrinkToFit="false"/>
      <protection locked="true" hidden="false"/>
    </xf>
    <xf numFmtId="164" fontId="7" fillId="5" borderId="2"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9" fillId="7" borderId="2" xfId="0" applyFont="true" applyBorder="true" applyAlignment="true" applyProtection="false">
      <alignment horizontal="left" vertical="center" textRotation="0" wrapText="false" indent="0" shrinkToFit="false"/>
      <protection locked="true" hidden="false"/>
    </xf>
    <xf numFmtId="164" fontId="9" fillId="7" borderId="2" xfId="0" applyFont="true" applyBorder="true" applyAlignment="true" applyProtection="false">
      <alignment horizontal="center" vertical="center" textRotation="0" wrapText="false" indent="0" shrinkToFit="false"/>
      <protection locked="true" hidden="false"/>
    </xf>
    <xf numFmtId="165" fontId="8" fillId="4" borderId="2" xfId="0" applyFont="true" applyBorder="true" applyAlignment="true" applyProtection="false">
      <alignment horizontal="right" vertical="center" textRotation="0" wrapText="false" indent="0" shrinkToFit="false"/>
      <protection locked="true" hidden="false"/>
    </xf>
    <xf numFmtId="167" fontId="8" fillId="4" borderId="2" xfId="0" applyFont="true" applyBorder="true" applyAlignment="true" applyProtection="false">
      <alignment horizontal="right" vertical="center" textRotation="0" wrapText="false" indent="0" shrinkToFit="false"/>
      <protection locked="true" hidden="false"/>
    </xf>
    <xf numFmtId="165" fontId="7" fillId="5" borderId="2"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4" fontId="7" fillId="0" borderId="2" xfId="0" applyFont="true" applyBorder="true" applyAlignment="true" applyProtection="false">
      <alignment horizontal="left"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left" vertical="center" textRotation="0" wrapText="false" indent="3"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7" borderId="2"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5" fontId="7" fillId="5" borderId="5" xfId="0" applyFont="true" applyBorder="true" applyAlignment="true" applyProtection="false">
      <alignment horizontal="right" vertical="center" textRotation="0" wrapText="false" indent="0" shrinkToFit="false"/>
      <protection locked="true" hidden="false"/>
    </xf>
    <xf numFmtId="164" fontId="6" fillId="0" borderId="0" xfId="0" applyFont="true" applyBorder="true" applyAlignment="true" applyProtection="false">
      <alignment horizontal="right" vertical="center" textRotation="0" wrapText="false" indent="0" shrinkToFit="false"/>
      <protection locked="true" hidden="false"/>
    </xf>
    <xf numFmtId="164" fontId="9" fillId="7" borderId="6" xfId="0" applyFont="true" applyBorder="true" applyAlignment="true" applyProtection="false">
      <alignment horizontal="left" vertical="center" textRotation="0" wrapText="false" indent="0" shrinkToFit="false"/>
      <protection locked="true" hidden="false"/>
    </xf>
    <xf numFmtId="164" fontId="11" fillId="7" borderId="6" xfId="0" applyFont="true" applyBorder="true" applyAlignment="true" applyProtection="false">
      <alignment horizontal="center" vertical="center" textRotation="0" wrapText="false" indent="0" shrinkToFit="false"/>
      <protection locked="true" hidden="false"/>
    </xf>
    <xf numFmtId="164" fontId="9" fillId="7" borderId="6" xfId="0" applyFont="true" applyBorder="true" applyAlignment="true" applyProtection="false">
      <alignment horizontal="center" vertical="center" textRotation="0" wrapText="false" indent="0" shrinkToFit="false"/>
      <protection locked="true" hidden="false"/>
    </xf>
    <xf numFmtId="164" fontId="7" fillId="0" borderId="6" xfId="0" applyFont="true" applyBorder="true" applyAlignment="true" applyProtection="false">
      <alignment horizontal="left" vertical="center" textRotation="0" wrapText="false" indent="0" shrinkToFit="false"/>
      <protection locked="true" hidden="false"/>
    </xf>
    <xf numFmtId="164" fontId="9" fillId="7" borderId="7"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5" borderId="3" xfId="0" applyFont="true" applyBorder="true" applyAlignment="true" applyProtection="false">
      <alignment horizontal="right"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8" fillId="4" borderId="2" xfId="0" applyFont="true" applyBorder="true" applyAlignment="true" applyProtection="false">
      <alignment horizontal="right" vertical="center" textRotation="0" wrapText="false" indent="0" shrinkToFit="false"/>
      <protection locked="true" hidden="false"/>
    </xf>
    <xf numFmtId="164" fontId="7" fillId="5" borderId="2" xfId="0" applyFont="true" applyBorder="true" applyAlignment="true" applyProtection="false">
      <alignment horizontal="left" vertical="top" textRotation="0" wrapText="true" indent="0" shrinkToFit="false"/>
      <protection locked="true" hidden="false"/>
    </xf>
    <xf numFmtId="165" fontId="9" fillId="0" borderId="3"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9" fillId="6" borderId="2" xfId="0" applyFont="true" applyBorder="true" applyAlignment="true" applyProtection="false">
      <alignment horizontal="center" vertical="top" textRotation="0" wrapText="true" indent="0" shrinkToFit="false"/>
      <protection locked="true" hidden="false"/>
    </xf>
    <xf numFmtId="165" fontId="13" fillId="4" borderId="2" xfId="0" applyFont="true" applyBorder="true" applyAlignment="true" applyProtection="false">
      <alignment horizontal="right" vertical="center" textRotation="0" wrapText="false" indent="0" shrinkToFit="false"/>
      <protection locked="true" hidden="false"/>
    </xf>
    <xf numFmtId="167" fontId="13" fillId="4" borderId="2" xfId="0" applyFont="true" applyBorder="true" applyAlignment="true" applyProtection="false">
      <alignment horizontal="right" vertical="center" textRotation="0" wrapText="false" indent="0" shrinkToFit="false"/>
      <protection locked="true" hidden="false"/>
    </xf>
    <xf numFmtId="165" fontId="9" fillId="6" borderId="2" xfId="0" applyFont="true" applyBorder="true" applyAlignment="true" applyProtection="false">
      <alignment horizontal="right" vertical="center" textRotation="0" wrapText="false" indent="0" shrinkToFit="false"/>
      <protection locked="true" hidden="false"/>
    </xf>
    <xf numFmtId="165" fontId="9" fillId="6" borderId="5" xfId="0" applyFont="true" applyBorder="true" applyAlignment="true" applyProtection="false">
      <alignment horizontal="right" vertical="center" textRotation="0" wrapText="false" indent="0" shrinkToFit="false"/>
      <protection locked="true" hidden="false"/>
    </xf>
    <xf numFmtId="165" fontId="9" fillId="6" borderId="3" xfId="0" applyFont="true" applyBorder="true" applyAlignment="true" applyProtection="false">
      <alignment horizontal="right" vertical="center" textRotation="0" wrapText="false" indent="0" shrinkToFit="false"/>
      <protection locked="true" hidden="false"/>
    </xf>
    <xf numFmtId="166" fontId="13" fillId="4" borderId="2" xfId="0" applyFont="true" applyBorder="true" applyAlignment="true" applyProtection="false">
      <alignment horizontal="right" vertical="center" textRotation="0" wrapText="false" indent="0" shrinkToFit="false"/>
      <protection locked="true" hidden="false"/>
    </xf>
    <xf numFmtId="164" fontId="7" fillId="8"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00B050"/>
      </font>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4C6E7"/>
      <rgbColor rgb="FF808080"/>
      <rgbColor rgb="FF9999FF"/>
      <rgbColor rgb="FF993366"/>
      <rgbColor rgb="FFEEF6E8"/>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F2F2"/>
      <rgbColor rgb="FFE2EFDA"/>
      <rgbColor rgb="FFFFF59D"/>
      <rgbColor rgb="FF99CCFF"/>
      <rgbColor rgb="FFFF99CC"/>
      <rgbColor rgb="FFCC99FF"/>
      <rgbColor rgb="FFFFCC99"/>
      <rgbColor rgb="FF3366FF"/>
      <rgbColor rgb="FF33CCCC"/>
      <rgbColor rgb="FF99CC00"/>
      <rgbColor rgb="FFFFCC00"/>
      <rgbColor rgb="FFFF9900"/>
      <rgbColor rgb="FFFF6600"/>
      <rgbColor rgb="FF595959"/>
      <rgbColor rgb="FF70AD47"/>
      <rgbColor rgb="FF1F3864"/>
      <rgbColor rgb="FF00B050"/>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AF30"/>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6.5" hidden="false" customHeight="true" outlineLevel="0" collapsed="false">
      <c r="B2" s="2" t="s">
        <v>1</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4" customFormat="false" ht="18.75" hidden="false" customHeight="true" outlineLevel="0" collapsed="false">
      <c r="B4" s="3" t="s">
        <v>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ustomFormat="false" ht="16.5" hidden="false" customHeight="true" outlineLevel="0" collapsed="false">
      <c r="B5" s="4" t="s">
        <v>3</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6.5" hidden="false" customHeight="true" outlineLevel="0" collapsed="false">
      <c r="B6" s="4" t="s">
        <v>4</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ustomFormat="false" ht="16.5" hidden="false" customHeight="true" outlineLevel="0" collapsed="false">
      <c r="B7" s="4" t="s">
        <v>5</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ustomFormat="false" ht="16.5" hidden="false" customHeight="true" outlineLevel="0" collapsed="false">
      <c r="B8" s="4" t="s">
        <v>6</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10" customFormat="false" ht="18.75" hidden="false" customHeight="true" outlineLevel="0" collapsed="false">
      <c r="B10" s="3" t="s">
        <v>7</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ustomFormat="false" ht="15" hidden="false" customHeight="false" outlineLevel="0" collapsed="false">
      <c r="B11" s="5" t="n">
        <v>1000</v>
      </c>
      <c r="C11" s="5"/>
      <c r="D11" s="5"/>
      <c r="E11" s="5"/>
      <c r="F11" s="5"/>
      <c r="H11" s="6" t="s">
        <v>8</v>
      </c>
      <c r="I11" s="6"/>
      <c r="J11" s="6"/>
      <c r="K11" s="6"/>
      <c r="L11" s="6"/>
      <c r="M11" s="6"/>
      <c r="N11" s="6"/>
      <c r="O11" s="6"/>
      <c r="P11" s="6"/>
      <c r="Q11" s="6"/>
      <c r="R11" s="6"/>
      <c r="S11" s="6"/>
      <c r="T11" s="6"/>
      <c r="U11" s="6"/>
      <c r="V11" s="6"/>
      <c r="W11" s="6"/>
      <c r="X11" s="6"/>
      <c r="Y11" s="6"/>
      <c r="Z11" s="6"/>
      <c r="AA11" s="6"/>
      <c r="AB11" s="6"/>
      <c r="AC11" s="6"/>
      <c r="AD11" s="6"/>
      <c r="AE11" s="6"/>
      <c r="AF11" s="6"/>
    </row>
    <row r="12" customFormat="false" ht="15" hidden="false" customHeight="false" outlineLevel="0" collapsed="false">
      <c r="B12" s="7" t="n">
        <v>1000</v>
      </c>
      <c r="C12" s="7"/>
      <c r="D12" s="7"/>
      <c r="E12" s="7"/>
      <c r="F12" s="7"/>
      <c r="H12" s="6" t="s">
        <v>9</v>
      </c>
      <c r="I12" s="6"/>
      <c r="J12" s="6"/>
      <c r="K12" s="6"/>
      <c r="L12" s="6"/>
      <c r="M12" s="6"/>
      <c r="N12" s="6"/>
      <c r="O12" s="6"/>
      <c r="P12" s="6"/>
      <c r="Q12" s="6"/>
      <c r="R12" s="6"/>
      <c r="S12" s="6"/>
      <c r="T12" s="6"/>
      <c r="U12" s="6"/>
      <c r="V12" s="6"/>
      <c r="W12" s="6"/>
      <c r="X12" s="6"/>
      <c r="Y12" s="6"/>
      <c r="Z12" s="6"/>
      <c r="AA12" s="6"/>
      <c r="AB12" s="6"/>
      <c r="AC12" s="6"/>
      <c r="AD12" s="6"/>
      <c r="AE12" s="6"/>
      <c r="AF12" s="6"/>
    </row>
    <row r="13" customFormat="false" ht="15" hidden="false" customHeight="false" outlineLevel="0" collapsed="false">
      <c r="B13" s="8"/>
      <c r="C13" s="8"/>
      <c r="D13" s="8"/>
      <c r="E13" s="8"/>
      <c r="F13" s="8"/>
      <c r="H13" s="6" t="s">
        <v>10</v>
      </c>
      <c r="I13" s="6"/>
      <c r="J13" s="6"/>
      <c r="K13" s="6"/>
      <c r="L13" s="6"/>
      <c r="M13" s="6"/>
      <c r="N13" s="6"/>
      <c r="O13" s="6"/>
      <c r="P13" s="6"/>
      <c r="Q13" s="6"/>
      <c r="R13" s="6"/>
      <c r="S13" s="6"/>
      <c r="T13" s="6"/>
      <c r="U13" s="6"/>
      <c r="V13" s="6"/>
      <c r="W13" s="6"/>
      <c r="X13" s="6"/>
      <c r="Y13" s="6"/>
      <c r="Z13" s="6"/>
      <c r="AA13" s="6"/>
      <c r="AB13" s="6"/>
      <c r="AC13" s="6"/>
      <c r="AD13" s="6"/>
      <c r="AE13" s="6"/>
      <c r="AF13" s="6"/>
    </row>
    <row r="14" customFormat="false" ht="15" hidden="false" customHeight="false" outlineLevel="0" collapsed="false">
      <c r="B14" s="9" t="n">
        <v>1000</v>
      </c>
      <c r="C14" s="9"/>
      <c r="D14" s="9"/>
      <c r="E14" s="9"/>
      <c r="F14" s="9"/>
      <c r="H14" s="6" t="s">
        <v>11</v>
      </c>
      <c r="I14" s="6"/>
      <c r="J14" s="6"/>
      <c r="K14" s="6"/>
      <c r="L14" s="6"/>
      <c r="M14" s="6"/>
      <c r="N14" s="6"/>
      <c r="O14" s="6"/>
      <c r="P14" s="6"/>
      <c r="Q14" s="6"/>
      <c r="R14" s="6"/>
      <c r="S14" s="6"/>
      <c r="T14" s="6"/>
      <c r="U14" s="6"/>
      <c r="V14" s="6"/>
      <c r="W14" s="6"/>
      <c r="X14" s="6"/>
      <c r="Y14" s="6"/>
      <c r="Z14" s="6"/>
      <c r="AA14" s="6"/>
      <c r="AB14" s="6"/>
      <c r="AC14" s="6"/>
      <c r="AD14" s="6"/>
      <c r="AE14" s="6"/>
      <c r="AF14" s="6"/>
    </row>
    <row r="16" customFormat="false" ht="18.75" hidden="false" customHeight="true" outlineLevel="0" collapsed="false">
      <c r="B16" s="3" t="s">
        <v>12</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16.5" hidden="false" customHeight="true" outlineLevel="0" collapsed="false">
      <c r="B17" s="4" t="s">
        <v>13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ustomFormat="false" ht="30" hidden="false" customHeight="true" outlineLevel="0" collapsed="false">
      <c r="B18" s="4" t="s">
        <v>14</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customFormat="false" ht="16.5" hidden="false" customHeight="true" outlineLevel="0" collapsed="false">
      <c r="B19" s="4" t="s">
        <v>15</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customFormat="false" ht="16.5" hidden="false" customHeight="true" outlineLevel="0" collapsed="false">
      <c r="B20" s="4" t="s">
        <v>16</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2" customFormat="false" ht="18.75" hidden="false" customHeight="true" outlineLevel="0" collapsed="false">
      <c r="B22" s="3" t="s">
        <v>17</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7.25" hidden="false" customHeight="true" outlineLevel="0" collapsed="false">
      <c r="B23" s="10" t="s">
        <v>18</v>
      </c>
      <c r="C23" s="10"/>
      <c r="D23" s="10"/>
      <c r="E23" s="10"/>
      <c r="F23" s="10"/>
      <c r="G23" s="10"/>
      <c r="H23" s="10"/>
      <c r="I23" s="11" t="s">
        <v>19</v>
      </c>
      <c r="J23" s="11"/>
      <c r="K23" s="11"/>
      <c r="L23" s="11"/>
      <c r="M23" s="11"/>
      <c r="N23" s="11"/>
      <c r="O23" s="11"/>
      <c r="P23" s="11"/>
      <c r="Q23" s="11"/>
      <c r="R23" s="11"/>
      <c r="S23" s="11"/>
      <c r="T23" s="11"/>
      <c r="U23" s="11"/>
      <c r="V23" s="11"/>
      <c r="W23" s="11"/>
      <c r="X23" s="11"/>
      <c r="Y23" s="11"/>
      <c r="Z23" s="11"/>
      <c r="AA23" s="11"/>
      <c r="AB23" s="11"/>
      <c r="AC23" s="11"/>
      <c r="AD23" s="11"/>
      <c r="AE23" s="11"/>
      <c r="AF23" s="11"/>
    </row>
    <row r="24" customFormat="false" ht="17.25" hidden="false" customHeight="true" outlineLevel="0" collapsed="false">
      <c r="B24" s="12" t="s">
        <v>20</v>
      </c>
      <c r="C24" s="12"/>
      <c r="D24" s="12"/>
      <c r="E24" s="12"/>
      <c r="F24" s="12"/>
      <c r="G24" s="12"/>
      <c r="H24" s="12"/>
      <c r="I24" s="13" t="s">
        <v>21</v>
      </c>
      <c r="J24" s="13"/>
      <c r="K24" s="13"/>
      <c r="L24" s="13"/>
      <c r="M24" s="13"/>
      <c r="N24" s="13"/>
      <c r="O24" s="13"/>
      <c r="P24" s="13"/>
      <c r="Q24" s="13"/>
      <c r="R24" s="13"/>
      <c r="S24" s="13"/>
      <c r="T24" s="13"/>
      <c r="U24" s="13"/>
      <c r="V24" s="13"/>
      <c r="W24" s="13"/>
      <c r="X24" s="13"/>
      <c r="Y24" s="13"/>
      <c r="Z24" s="13"/>
      <c r="AA24" s="13"/>
      <c r="AB24" s="13"/>
      <c r="AC24" s="13"/>
      <c r="AD24" s="13"/>
      <c r="AE24" s="13"/>
      <c r="AF24" s="13"/>
    </row>
    <row r="25" customFormat="false" ht="17.25" hidden="false" customHeight="true" outlineLevel="0" collapsed="false">
      <c r="B25" s="12" t="s">
        <v>22</v>
      </c>
      <c r="C25" s="12"/>
      <c r="D25" s="12"/>
      <c r="E25" s="12"/>
      <c r="F25" s="12"/>
      <c r="G25" s="12"/>
      <c r="H25" s="12"/>
      <c r="I25" s="13" t="s">
        <v>23</v>
      </c>
      <c r="J25" s="13"/>
      <c r="K25" s="13"/>
      <c r="L25" s="13"/>
      <c r="M25" s="13"/>
      <c r="N25" s="13"/>
      <c r="O25" s="13"/>
      <c r="P25" s="13"/>
      <c r="Q25" s="13"/>
      <c r="R25" s="13"/>
      <c r="S25" s="13"/>
      <c r="T25" s="13"/>
      <c r="U25" s="13"/>
      <c r="V25" s="13"/>
      <c r="W25" s="13"/>
      <c r="X25" s="13"/>
      <c r="Y25" s="13"/>
      <c r="Z25" s="13"/>
      <c r="AA25" s="13"/>
      <c r="AB25" s="13"/>
      <c r="AC25" s="13"/>
      <c r="AD25" s="13"/>
      <c r="AE25" s="13"/>
      <c r="AF25" s="13"/>
    </row>
    <row r="26" customFormat="false" ht="17.25" hidden="false" customHeight="true" outlineLevel="0" collapsed="false">
      <c r="B26" s="12" t="s">
        <v>24</v>
      </c>
      <c r="C26" s="12"/>
      <c r="D26" s="12"/>
      <c r="E26" s="12"/>
      <c r="F26" s="12"/>
      <c r="G26" s="12"/>
      <c r="H26" s="12"/>
      <c r="I26" s="13" t="s">
        <v>25</v>
      </c>
      <c r="J26" s="13"/>
      <c r="K26" s="13"/>
      <c r="L26" s="13"/>
      <c r="M26" s="13"/>
      <c r="N26" s="13"/>
      <c r="O26" s="13"/>
      <c r="P26" s="13"/>
      <c r="Q26" s="13"/>
      <c r="R26" s="13"/>
      <c r="S26" s="13"/>
      <c r="T26" s="13"/>
      <c r="U26" s="13"/>
      <c r="V26" s="13"/>
      <c r="W26" s="13"/>
      <c r="X26" s="13"/>
      <c r="Y26" s="13"/>
      <c r="Z26" s="13"/>
      <c r="AA26" s="13"/>
      <c r="AB26" s="13"/>
      <c r="AC26" s="13"/>
      <c r="AD26" s="13"/>
      <c r="AE26" s="13"/>
      <c r="AF26" s="13"/>
    </row>
    <row r="27" customFormat="false" ht="17.25" hidden="false" customHeight="true" outlineLevel="0" collapsed="false">
      <c r="B27" s="12" t="s">
        <v>26</v>
      </c>
      <c r="C27" s="12"/>
      <c r="D27" s="12"/>
      <c r="E27" s="12"/>
      <c r="F27" s="12"/>
      <c r="G27" s="12"/>
      <c r="H27" s="12"/>
      <c r="I27" s="13" t="s">
        <v>27</v>
      </c>
      <c r="J27" s="13"/>
      <c r="K27" s="13"/>
      <c r="L27" s="13"/>
      <c r="M27" s="13"/>
      <c r="N27" s="13"/>
      <c r="O27" s="13"/>
      <c r="P27" s="13"/>
      <c r="Q27" s="13"/>
      <c r="R27" s="13"/>
      <c r="S27" s="13"/>
      <c r="T27" s="13"/>
      <c r="U27" s="13"/>
      <c r="V27" s="13"/>
      <c r="W27" s="13"/>
      <c r="X27" s="13"/>
      <c r="Y27" s="13"/>
      <c r="Z27" s="13"/>
      <c r="AA27" s="13"/>
      <c r="AB27" s="13"/>
      <c r="AC27" s="13"/>
      <c r="AD27" s="13"/>
      <c r="AE27" s="13"/>
      <c r="AF27" s="13"/>
    </row>
    <row r="28" customFormat="false" ht="17.25" hidden="false" customHeight="true" outlineLevel="0" collapsed="false">
      <c r="B28" s="12" t="s">
        <v>28</v>
      </c>
      <c r="C28" s="12"/>
      <c r="D28" s="12"/>
      <c r="E28" s="12"/>
      <c r="F28" s="12"/>
      <c r="G28" s="12"/>
      <c r="H28" s="12"/>
      <c r="I28" s="13" t="s">
        <v>29</v>
      </c>
      <c r="J28" s="13"/>
      <c r="K28" s="13"/>
      <c r="L28" s="13"/>
      <c r="M28" s="13"/>
      <c r="N28" s="13"/>
      <c r="O28" s="13"/>
      <c r="P28" s="13"/>
      <c r="Q28" s="13"/>
      <c r="R28" s="13"/>
      <c r="S28" s="13"/>
      <c r="T28" s="13"/>
      <c r="U28" s="13"/>
      <c r="V28" s="13"/>
      <c r="W28" s="13"/>
      <c r="X28" s="13"/>
      <c r="Y28" s="13"/>
      <c r="Z28" s="13"/>
      <c r="AA28" s="13"/>
      <c r="AB28" s="13"/>
      <c r="AC28" s="13"/>
      <c r="AD28" s="13"/>
      <c r="AE28" s="13"/>
      <c r="AF28" s="13"/>
    </row>
    <row r="29" customFormat="false" ht="17.25" hidden="false" customHeight="true" outlineLevel="0" collapsed="false">
      <c r="B29" s="12" t="s">
        <v>30</v>
      </c>
      <c r="C29" s="12"/>
      <c r="D29" s="12"/>
      <c r="E29" s="12"/>
      <c r="F29" s="12"/>
      <c r="G29" s="12"/>
      <c r="H29" s="12"/>
      <c r="I29" s="13" t="s">
        <v>31</v>
      </c>
      <c r="J29" s="13"/>
      <c r="K29" s="13"/>
      <c r="L29" s="13"/>
      <c r="M29" s="13"/>
      <c r="N29" s="13"/>
      <c r="O29" s="13"/>
      <c r="P29" s="13"/>
      <c r="Q29" s="13"/>
      <c r="R29" s="13"/>
      <c r="S29" s="13"/>
      <c r="T29" s="13"/>
      <c r="U29" s="13"/>
      <c r="V29" s="13"/>
      <c r="W29" s="13"/>
      <c r="X29" s="13"/>
      <c r="Y29" s="13"/>
      <c r="Z29" s="13"/>
      <c r="AA29" s="13"/>
      <c r="AB29" s="13"/>
      <c r="AC29" s="13"/>
      <c r="AD29" s="13"/>
      <c r="AE29" s="13"/>
      <c r="AF29" s="13"/>
    </row>
    <row r="30" customFormat="false" ht="17.25" hidden="false" customHeight="true" outlineLevel="0" collapsed="false">
      <c r="B30" s="12" t="s">
        <v>32</v>
      </c>
      <c r="C30" s="12"/>
      <c r="D30" s="12"/>
      <c r="E30" s="12"/>
      <c r="F30" s="12"/>
      <c r="G30" s="12"/>
      <c r="H30" s="12"/>
      <c r="I30" s="13" t="s">
        <v>33</v>
      </c>
      <c r="J30" s="13"/>
      <c r="K30" s="13"/>
      <c r="L30" s="13"/>
      <c r="M30" s="13"/>
      <c r="N30" s="13"/>
      <c r="O30" s="13"/>
      <c r="P30" s="13"/>
      <c r="Q30" s="13"/>
      <c r="R30" s="13"/>
      <c r="S30" s="13"/>
      <c r="T30" s="13"/>
      <c r="U30" s="13"/>
      <c r="V30" s="13"/>
      <c r="W30" s="13"/>
      <c r="X30" s="13"/>
      <c r="Y30" s="13"/>
      <c r="Z30" s="13"/>
      <c r="AA30" s="13"/>
      <c r="AB30" s="13"/>
      <c r="AC30" s="13"/>
      <c r="AD30" s="13"/>
      <c r="AE30" s="13"/>
      <c r="AF30" s="13"/>
    </row>
  </sheetData>
  <mergeCells count="38">
    <mergeCell ref="B1:AF1"/>
    <mergeCell ref="B2:AF2"/>
    <mergeCell ref="B4:AF4"/>
    <mergeCell ref="B5:AF5"/>
    <mergeCell ref="B6:AF6"/>
    <mergeCell ref="B7:AF7"/>
    <mergeCell ref="B8:AF8"/>
    <mergeCell ref="B10:AF10"/>
    <mergeCell ref="B11:F11"/>
    <mergeCell ref="H11:AF11"/>
    <mergeCell ref="B12:F12"/>
    <mergeCell ref="H12:AF12"/>
    <mergeCell ref="B13:F13"/>
    <mergeCell ref="H13:AF13"/>
    <mergeCell ref="B14:F14"/>
    <mergeCell ref="H14:AF14"/>
    <mergeCell ref="B16:AF16"/>
    <mergeCell ref="B17:AF17"/>
    <mergeCell ref="B18:AF18"/>
    <mergeCell ref="B19:AF19"/>
    <mergeCell ref="B20:AF20"/>
    <mergeCell ref="B22:AF22"/>
    <mergeCell ref="B23:H23"/>
    <mergeCell ref="I23:AF23"/>
    <mergeCell ref="B24:H24"/>
    <mergeCell ref="I24:AF24"/>
    <mergeCell ref="B25:H25"/>
    <mergeCell ref="I25:AF25"/>
    <mergeCell ref="B26:H26"/>
    <mergeCell ref="I26:AF26"/>
    <mergeCell ref="B27:H27"/>
    <mergeCell ref="I27:AF27"/>
    <mergeCell ref="B28:H28"/>
    <mergeCell ref="I28:AF28"/>
    <mergeCell ref="B29:H29"/>
    <mergeCell ref="I29:AF29"/>
    <mergeCell ref="B30:H30"/>
    <mergeCell ref="I30:AF30"/>
  </mergeCells>
  <conditionalFormatting sqref="B1:AG31">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AF11"/>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34</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6.5" hidden="false" customHeight="true" outlineLevel="0" collapsed="false">
      <c r="B2" s="2" t="s">
        <v>35</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customFormat="false" ht="17.25" hidden="false" customHeight="true" outlineLevel="0" collapsed="false">
      <c r="B3" s="10" t="s">
        <v>36</v>
      </c>
      <c r="C3" s="10"/>
      <c r="D3" s="10"/>
      <c r="E3" s="10"/>
      <c r="F3" s="10"/>
      <c r="G3" s="10"/>
      <c r="H3" s="10"/>
      <c r="I3" s="10"/>
      <c r="J3" s="10"/>
      <c r="K3" s="10"/>
      <c r="L3" s="10"/>
      <c r="M3" s="10"/>
      <c r="N3" s="10"/>
      <c r="O3" s="11" t="s">
        <v>37</v>
      </c>
      <c r="P3" s="11"/>
      <c r="Q3" s="11"/>
      <c r="R3" s="11"/>
      <c r="S3" s="11"/>
      <c r="T3" s="11"/>
      <c r="U3" s="11"/>
      <c r="V3" s="11"/>
      <c r="W3" s="11"/>
      <c r="X3" s="11" t="s">
        <v>38</v>
      </c>
      <c r="Y3" s="11"/>
      <c r="Z3" s="11"/>
      <c r="AA3" s="11"/>
      <c r="AB3" s="11"/>
      <c r="AC3" s="11"/>
      <c r="AD3" s="11"/>
      <c r="AE3" s="11"/>
      <c r="AF3" s="11"/>
    </row>
    <row r="4" customFormat="false" ht="17.25" hidden="false" customHeight="true" outlineLevel="0" collapsed="false">
      <c r="B4" s="12" t="s">
        <v>39</v>
      </c>
      <c r="C4" s="12"/>
      <c r="D4" s="12"/>
      <c r="E4" s="12"/>
      <c r="F4" s="12"/>
      <c r="G4" s="12"/>
      <c r="H4" s="12"/>
      <c r="I4" s="12"/>
      <c r="J4" s="12"/>
      <c r="K4" s="12"/>
      <c r="L4" s="12"/>
      <c r="M4" s="12"/>
      <c r="N4" s="12"/>
      <c r="O4" s="14" t="n">
        <f aca="false">COUNTIF('Mock A'!B1:AH400,"✓")</f>
        <v>0</v>
      </c>
      <c r="P4" s="14"/>
      <c r="Q4" s="14"/>
      <c r="R4" s="14"/>
      <c r="S4" s="14"/>
      <c r="T4" s="14"/>
      <c r="U4" s="14"/>
      <c r="V4" s="14"/>
      <c r="W4" s="14"/>
      <c r="X4" s="13" t="s">
        <v>40</v>
      </c>
      <c r="Y4" s="13"/>
      <c r="Z4" s="13"/>
      <c r="AA4" s="13"/>
      <c r="AB4" s="13"/>
      <c r="AC4" s="13"/>
      <c r="AD4" s="13"/>
      <c r="AE4" s="13"/>
      <c r="AF4" s="13"/>
    </row>
    <row r="5" customFormat="false" ht="17.25" hidden="false" customHeight="true" outlineLevel="0" collapsed="false">
      <c r="B5" s="12" t="s">
        <v>41</v>
      </c>
      <c r="C5" s="12"/>
      <c r="D5" s="12"/>
      <c r="E5" s="12"/>
      <c r="F5" s="12"/>
      <c r="G5" s="12"/>
      <c r="H5" s="12"/>
      <c r="I5" s="12"/>
      <c r="J5" s="12"/>
      <c r="K5" s="12"/>
      <c r="L5" s="12"/>
      <c r="M5" s="12"/>
      <c r="N5" s="12"/>
      <c r="O5" s="14" t="n">
        <f aca="false">COUNTIF('Mock B1'!B1:AH400,"✓")</f>
        <v>0</v>
      </c>
      <c r="P5" s="14"/>
      <c r="Q5" s="14"/>
      <c r="R5" s="14"/>
      <c r="S5" s="14"/>
      <c r="T5" s="14"/>
      <c r="U5" s="14"/>
      <c r="V5" s="14"/>
      <c r="W5" s="14"/>
      <c r="X5" s="13" t="s">
        <v>40</v>
      </c>
      <c r="Y5" s="13"/>
      <c r="Z5" s="13"/>
      <c r="AA5" s="13"/>
      <c r="AB5" s="13"/>
      <c r="AC5" s="13"/>
      <c r="AD5" s="13"/>
      <c r="AE5" s="13"/>
      <c r="AF5" s="13"/>
    </row>
    <row r="6" customFormat="false" ht="17.25" hidden="false" customHeight="true" outlineLevel="0" collapsed="false">
      <c r="B6" s="12" t="s">
        <v>42</v>
      </c>
      <c r="C6" s="12"/>
      <c r="D6" s="12"/>
      <c r="E6" s="12"/>
      <c r="F6" s="12"/>
      <c r="G6" s="12"/>
      <c r="H6" s="12"/>
      <c r="I6" s="12"/>
      <c r="J6" s="12"/>
      <c r="K6" s="12"/>
      <c r="L6" s="12"/>
      <c r="M6" s="12"/>
      <c r="N6" s="12"/>
      <c r="O6" s="14" t="n">
        <f aca="false">COUNTIF('Mock B2'!B1:AH400,"✓")</f>
        <v>0</v>
      </c>
      <c r="P6" s="14"/>
      <c r="Q6" s="14"/>
      <c r="R6" s="14"/>
      <c r="S6" s="14"/>
      <c r="T6" s="14"/>
      <c r="U6" s="14"/>
      <c r="V6" s="14"/>
      <c r="W6" s="14"/>
      <c r="X6" s="13" t="s">
        <v>43</v>
      </c>
      <c r="Y6" s="13"/>
      <c r="Z6" s="13"/>
      <c r="AA6" s="13"/>
      <c r="AB6" s="13"/>
      <c r="AC6" s="13"/>
      <c r="AD6" s="13"/>
      <c r="AE6" s="13"/>
      <c r="AF6" s="13"/>
    </row>
    <row r="7" customFormat="false" ht="17.25" hidden="false" customHeight="true" outlineLevel="0" collapsed="false">
      <c r="B7" s="12" t="s">
        <v>44</v>
      </c>
      <c r="C7" s="12"/>
      <c r="D7" s="12"/>
      <c r="E7" s="12"/>
      <c r="F7" s="12"/>
      <c r="G7" s="12"/>
      <c r="H7" s="12"/>
      <c r="I7" s="12"/>
      <c r="J7" s="12"/>
      <c r="K7" s="12"/>
      <c r="L7" s="12"/>
      <c r="M7" s="12"/>
      <c r="N7" s="12"/>
      <c r="O7" s="14" t="n">
        <f aca="false">COUNTIF('Mock B3'!B1:AH400,"✓")</f>
        <v>0</v>
      </c>
      <c r="P7" s="14"/>
      <c r="Q7" s="14"/>
      <c r="R7" s="14"/>
      <c r="S7" s="14"/>
      <c r="T7" s="14"/>
      <c r="U7" s="14"/>
      <c r="V7" s="14"/>
      <c r="W7" s="14"/>
      <c r="X7" s="13" t="s">
        <v>45</v>
      </c>
      <c r="Y7" s="13"/>
      <c r="Z7" s="13"/>
      <c r="AA7" s="13"/>
      <c r="AB7" s="13"/>
      <c r="AC7" s="13"/>
      <c r="AD7" s="13"/>
      <c r="AE7" s="13"/>
      <c r="AF7" s="13"/>
    </row>
    <row r="8" customFormat="false" ht="17.25" hidden="false" customHeight="true" outlineLevel="0" collapsed="false">
      <c r="B8" s="12" t="s">
        <v>46</v>
      </c>
      <c r="C8" s="12"/>
      <c r="D8" s="12"/>
      <c r="E8" s="12"/>
      <c r="F8" s="12"/>
      <c r="G8" s="12"/>
      <c r="H8" s="12"/>
      <c r="I8" s="12"/>
      <c r="J8" s="12"/>
      <c r="K8" s="12"/>
      <c r="L8" s="12"/>
      <c r="M8" s="12"/>
      <c r="N8" s="12"/>
      <c r="O8" s="14" t="n">
        <f aca="false">COUNTIF('Mock B4'!B1:AH400,"✓")</f>
        <v>0</v>
      </c>
      <c r="P8" s="14"/>
      <c r="Q8" s="14"/>
      <c r="R8" s="14"/>
      <c r="S8" s="14"/>
      <c r="T8" s="14"/>
      <c r="U8" s="14"/>
      <c r="V8" s="14"/>
      <c r="W8" s="14"/>
      <c r="X8" s="13" t="s">
        <v>47</v>
      </c>
      <c r="Y8" s="13"/>
      <c r="Z8" s="13"/>
      <c r="AA8" s="13"/>
      <c r="AB8" s="13"/>
      <c r="AC8" s="13"/>
      <c r="AD8" s="13"/>
      <c r="AE8" s="13"/>
      <c r="AF8" s="13"/>
    </row>
    <row r="9" customFormat="false" ht="17.25" hidden="false" customHeight="true" outlineLevel="0" collapsed="false">
      <c r="B9" s="12" t="s">
        <v>48</v>
      </c>
      <c r="C9" s="12"/>
      <c r="D9" s="12"/>
      <c r="E9" s="12"/>
      <c r="F9" s="12"/>
      <c r="G9" s="12"/>
      <c r="H9" s="12"/>
      <c r="I9" s="12"/>
      <c r="J9" s="12"/>
      <c r="K9" s="12"/>
      <c r="L9" s="12"/>
      <c r="M9" s="12"/>
      <c r="N9" s="12"/>
      <c r="O9" s="14" t="n">
        <f aca="false">COUNTIF('Mock C'!B1:AH400,"✓")</f>
        <v>0</v>
      </c>
      <c r="P9" s="14"/>
      <c r="Q9" s="14"/>
      <c r="R9" s="14"/>
      <c r="S9" s="14"/>
      <c r="T9" s="14"/>
      <c r="U9" s="14"/>
      <c r="V9" s="14"/>
      <c r="W9" s="14"/>
      <c r="X9" s="13" t="s">
        <v>49</v>
      </c>
      <c r="Y9" s="13"/>
      <c r="Z9" s="13"/>
      <c r="AA9" s="13"/>
      <c r="AB9" s="13"/>
      <c r="AC9" s="13"/>
      <c r="AD9" s="13"/>
      <c r="AE9" s="13"/>
      <c r="AF9" s="13"/>
    </row>
    <row r="10" customFormat="false" ht="17.25" hidden="false" customHeight="true" outlineLevel="0" collapsed="false">
      <c r="B10" s="15" t="s">
        <v>50</v>
      </c>
      <c r="C10" s="15"/>
      <c r="D10" s="15"/>
      <c r="E10" s="15"/>
      <c r="F10" s="15"/>
      <c r="G10" s="15"/>
      <c r="H10" s="15"/>
      <c r="I10" s="15"/>
      <c r="J10" s="15"/>
      <c r="K10" s="15"/>
      <c r="L10" s="15"/>
      <c r="M10" s="15"/>
      <c r="N10" s="15"/>
      <c r="O10" s="16" t="n">
        <f aca="false">$O$4+$O$5+$O$6+$O$7+$O$8+$O$9</f>
        <v>0</v>
      </c>
      <c r="P10" s="16"/>
      <c r="Q10" s="16"/>
      <c r="R10" s="16"/>
      <c r="S10" s="16"/>
      <c r="T10" s="16"/>
      <c r="U10" s="16"/>
      <c r="V10" s="16"/>
      <c r="W10" s="16"/>
      <c r="X10" s="13" t="s">
        <v>51</v>
      </c>
      <c r="Y10" s="13"/>
      <c r="Z10" s="13"/>
      <c r="AA10" s="13"/>
      <c r="AB10" s="13"/>
      <c r="AC10" s="13"/>
      <c r="AD10" s="13"/>
      <c r="AE10" s="13"/>
      <c r="AF10" s="13"/>
    </row>
    <row r="11" customFormat="false" ht="30" hidden="false" customHeight="true" outlineLevel="0" collapsed="false">
      <c r="B11" s="2" t="s">
        <v>52</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row>
  </sheetData>
  <mergeCells count="27">
    <mergeCell ref="B1:AF1"/>
    <mergeCell ref="B2:AF2"/>
    <mergeCell ref="B3:N3"/>
    <mergeCell ref="O3:W3"/>
    <mergeCell ref="X3:AF3"/>
    <mergeCell ref="B4:N4"/>
    <mergeCell ref="O4:W4"/>
    <mergeCell ref="X4:AF4"/>
    <mergeCell ref="B5:N5"/>
    <mergeCell ref="O5:W5"/>
    <mergeCell ref="X5:AF5"/>
    <mergeCell ref="B6:N6"/>
    <mergeCell ref="O6:W6"/>
    <mergeCell ref="X6:AF6"/>
    <mergeCell ref="B7:N7"/>
    <mergeCell ref="O7:W7"/>
    <mergeCell ref="X7:AF7"/>
    <mergeCell ref="B8:N8"/>
    <mergeCell ref="O8:W8"/>
    <mergeCell ref="X8:AF8"/>
    <mergeCell ref="B9:N9"/>
    <mergeCell ref="O9:W9"/>
    <mergeCell ref="X9:AF9"/>
    <mergeCell ref="B10:N10"/>
    <mergeCell ref="O10:W10"/>
    <mergeCell ref="X10:AF10"/>
    <mergeCell ref="B11:AF11"/>
  </mergeCells>
  <conditionalFormatting sqref="B1:AG12">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B1:AF74"/>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39</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7" t="s">
        <v>53</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row>
    <row r="3" customFormat="false" ht="15" hidden="false" customHeight="false" outlineLevel="0" collapsed="false">
      <c r="B3" s="18" t="s">
        <v>54</v>
      </c>
      <c r="C3" s="18"/>
      <c r="D3" s="18"/>
      <c r="E3" s="18"/>
      <c r="F3" s="18"/>
      <c r="G3" s="18"/>
      <c r="H3" s="18" t="str">
        <f aca="false">COUNTIF(B4:AG75,"✓")&amp;" correct out of 10 answer cells"</f>
        <v>0 correct out of 10 answer cells</v>
      </c>
      <c r="I3" s="18"/>
      <c r="J3" s="18"/>
      <c r="K3" s="18"/>
      <c r="L3" s="18"/>
      <c r="M3" s="18"/>
      <c r="N3" s="18"/>
      <c r="O3" s="18"/>
      <c r="P3" s="18"/>
      <c r="Q3" s="18"/>
      <c r="R3" s="18"/>
      <c r="S3" s="18"/>
      <c r="T3" s="18"/>
      <c r="U3" s="18"/>
      <c r="V3" s="18"/>
      <c r="W3" s="18"/>
      <c r="X3" s="18"/>
      <c r="Y3" s="18"/>
      <c r="Z3" s="18"/>
      <c r="AA3" s="18"/>
      <c r="AB3" s="18"/>
      <c r="AC3" s="18"/>
      <c r="AD3" s="18"/>
      <c r="AE3" s="18"/>
      <c r="AF3" s="18"/>
    </row>
    <row r="5" customFormat="false" ht="16.5" hidden="false" customHeight="true" outlineLevel="0" collapsed="false">
      <c r="B5" s="4" t="s">
        <v>55</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7.25" hidden="false" customHeight="true" outlineLevel="0" collapsed="false">
      <c r="B6" s="19" t="s">
        <v>56</v>
      </c>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row>
    <row r="7" customFormat="false" ht="16.5" hidden="false" customHeight="true" outlineLevel="0" collapsed="false">
      <c r="C7" s="4" t="s">
        <v>57</v>
      </c>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ustomFormat="false" ht="16.5" hidden="false" customHeight="true" outlineLevel="0" collapsed="false">
      <c r="C8" s="4" t="s">
        <v>58</v>
      </c>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ustomFormat="false" ht="16.5" hidden="false" customHeight="true" outlineLevel="0" collapsed="false">
      <c r="C9" s="4" t="s">
        <v>59</v>
      </c>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ustomFormat="false" ht="16.5" hidden="false" customHeight="true" outlineLevel="0" collapsed="false">
      <c r="C10" s="4" t="s">
        <v>60</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customFormat="false" ht="17.25" hidden="false" customHeight="true" outlineLevel="0" collapsed="false">
      <c r="B11" s="20" t="s">
        <v>61</v>
      </c>
      <c r="C11" s="20"/>
      <c r="D11" s="20"/>
      <c r="E11" s="20"/>
      <c r="F11" s="20"/>
      <c r="G11" s="20"/>
      <c r="H11" s="20"/>
      <c r="I11" s="20"/>
      <c r="J11" s="20"/>
      <c r="K11" s="20"/>
      <c r="L11" s="20"/>
      <c r="M11" s="20"/>
      <c r="N11" s="20"/>
      <c r="O11" s="20"/>
      <c r="P11" s="20"/>
      <c r="Q11" s="20"/>
      <c r="R11" s="20"/>
      <c r="S11" s="20"/>
      <c r="T11" s="21"/>
      <c r="U11" s="21"/>
      <c r="V11" s="21"/>
      <c r="W11" s="21"/>
      <c r="X11" s="21"/>
      <c r="Y11" s="21"/>
      <c r="Z11" s="21"/>
      <c r="AA11" s="21"/>
      <c r="AB11" s="21"/>
      <c r="AC11" s="22" t="str">
        <f aca="false">IF(T11="","",IF(LOWER(TRIM(T11))=LOWER('Mock A Ans'!T11),"✓","✗"))</f>
        <v/>
      </c>
    </row>
    <row r="13" customFormat="false" ht="17.25" hidden="false" customHeight="true" outlineLevel="0" collapsed="false">
      <c r="B13" s="19" t="s">
        <v>62</v>
      </c>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row>
    <row r="14" customFormat="false" ht="16.5" hidden="false" customHeight="true" outlineLevel="0" collapsed="false">
      <c r="C14" s="4" t="s">
        <v>63</v>
      </c>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customFormat="false" ht="16.5" hidden="false" customHeight="true" outlineLevel="0" collapsed="false">
      <c r="C15" s="4" t="s">
        <v>64</v>
      </c>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customFormat="false" ht="16.5" hidden="false" customHeight="true" outlineLevel="0" collapsed="false">
      <c r="C16" s="4" t="s">
        <v>65</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ustomFormat="false" ht="16.5" hidden="false" customHeight="true" outlineLevel="0" collapsed="false">
      <c r="C17" s="4" t="s">
        <v>66</v>
      </c>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ustomFormat="false" ht="17.25" hidden="false" customHeight="true" outlineLevel="0" collapsed="false">
      <c r="B18" s="20" t="s">
        <v>61</v>
      </c>
      <c r="C18" s="20"/>
      <c r="D18" s="20"/>
      <c r="E18" s="20"/>
      <c r="F18" s="20"/>
      <c r="G18" s="20"/>
      <c r="H18" s="20"/>
      <c r="I18" s="20"/>
      <c r="J18" s="20"/>
      <c r="K18" s="20"/>
      <c r="L18" s="20"/>
      <c r="M18" s="20"/>
      <c r="N18" s="20"/>
      <c r="O18" s="20"/>
      <c r="P18" s="20"/>
      <c r="Q18" s="20"/>
      <c r="R18" s="20"/>
      <c r="S18" s="20"/>
      <c r="T18" s="21"/>
      <c r="U18" s="21"/>
      <c r="V18" s="21"/>
      <c r="W18" s="21"/>
      <c r="X18" s="21"/>
      <c r="Y18" s="21"/>
      <c r="Z18" s="21"/>
      <c r="AA18" s="21"/>
      <c r="AB18" s="21"/>
      <c r="AC18" s="22" t="str">
        <f aca="false">IF(T18="","",IF(LOWER(TRIM(T18))=LOWER('Mock A Ans'!T18),"✓","✗"))</f>
        <v/>
      </c>
    </row>
    <row r="20" customFormat="false" ht="17.25" hidden="false" customHeight="true" outlineLevel="0" collapsed="false">
      <c r="B20" s="19" t="s">
        <v>67</v>
      </c>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row>
    <row r="21" customFormat="false" ht="16.5" hidden="false" customHeight="true" outlineLevel="0" collapsed="false">
      <c r="C21" s="4" t="s">
        <v>68</v>
      </c>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ustomFormat="false" ht="16.5" hidden="false" customHeight="true" outlineLevel="0" collapsed="false">
      <c r="C22" s="4" t="s">
        <v>69</v>
      </c>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ustomFormat="false" ht="16.5" hidden="false" customHeight="true" outlineLevel="0" collapsed="false">
      <c r="C23" s="4" t="s">
        <v>70</v>
      </c>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ustomFormat="false" ht="16.5" hidden="false" customHeight="true" outlineLevel="0" collapsed="false">
      <c r="C24" s="4" t="s">
        <v>71</v>
      </c>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ustomFormat="false" ht="17.25" hidden="false" customHeight="true" outlineLevel="0" collapsed="false">
      <c r="B25" s="20" t="s">
        <v>61</v>
      </c>
      <c r="C25" s="20"/>
      <c r="D25" s="20"/>
      <c r="E25" s="20"/>
      <c r="F25" s="20"/>
      <c r="G25" s="20"/>
      <c r="H25" s="20"/>
      <c r="I25" s="20"/>
      <c r="J25" s="20"/>
      <c r="K25" s="20"/>
      <c r="L25" s="20"/>
      <c r="M25" s="20"/>
      <c r="N25" s="20"/>
      <c r="O25" s="20"/>
      <c r="P25" s="20"/>
      <c r="Q25" s="20"/>
      <c r="R25" s="20"/>
      <c r="S25" s="20"/>
      <c r="T25" s="21"/>
      <c r="U25" s="21"/>
      <c r="V25" s="21"/>
      <c r="W25" s="21"/>
      <c r="X25" s="21"/>
      <c r="Y25" s="21"/>
      <c r="Z25" s="21"/>
      <c r="AA25" s="21"/>
      <c r="AB25" s="21"/>
      <c r="AC25" s="22" t="str">
        <f aca="false">IF(T25="","",IF(LOWER(TRIM(T25))=LOWER('Mock A Ans'!T25),"✓","✗"))</f>
        <v/>
      </c>
    </row>
    <row r="27" customFormat="false" ht="17.25" hidden="false" customHeight="true" outlineLevel="0" collapsed="false">
      <c r="B27" s="19" t="s">
        <v>72</v>
      </c>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row>
    <row r="28" customFormat="false" ht="16.5" hidden="false" customHeight="true" outlineLevel="0" collapsed="false">
      <c r="C28" s="4" t="s">
        <v>68</v>
      </c>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ustomFormat="false" ht="16.5" hidden="false" customHeight="true" outlineLevel="0" collapsed="false">
      <c r="C29" s="4" t="s">
        <v>73</v>
      </c>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ustomFormat="false" ht="16.5" hidden="false" customHeight="true" outlineLevel="0" collapsed="false">
      <c r="C30" s="4" t="s">
        <v>74</v>
      </c>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ustomFormat="false" ht="16.5" hidden="false" customHeight="true" outlineLevel="0" collapsed="false">
      <c r="C31" s="4" t="s">
        <v>75</v>
      </c>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ustomFormat="false" ht="17.25" hidden="false" customHeight="true" outlineLevel="0" collapsed="false">
      <c r="B32" s="20" t="s">
        <v>61</v>
      </c>
      <c r="C32" s="20"/>
      <c r="D32" s="20"/>
      <c r="E32" s="20"/>
      <c r="F32" s="20"/>
      <c r="G32" s="20"/>
      <c r="H32" s="20"/>
      <c r="I32" s="20"/>
      <c r="J32" s="20"/>
      <c r="K32" s="20"/>
      <c r="L32" s="20"/>
      <c r="M32" s="20"/>
      <c r="N32" s="20"/>
      <c r="O32" s="20"/>
      <c r="P32" s="20"/>
      <c r="Q32" s="20"/>
      <c r="R32" s="20"/>
      <c r="S32" s="20"/>
      <c r="T32" s="21"/>
      <c r="U32" s="21"/>
      <c r="V32" s="21"/>
      <c r="W32" s="21"/>
      <c r="X32" s="21"/>
      <c r="Y32" s="21"/>
      <c r="Z32" s="21"/>
      <c r="AA32" s="21"/>
      <c r="AB32" s="21"/>
      <c r="AC32" s="22" t="str">
        <f aca="false">IF(T32="","",IF(LOWER(TRIM(T32))=LOWER('Mock A Ans'!T32),"✓","✗"))</f>
        <v/>
      </c>
    </row>
    <row r="34" customFormat="false" ht="17.25" hidden="false" customHeight="true" outlineLevel="0" collapsed="false">
      <c r="B34" s="19" t="s">
        <v>76</v>
      </c>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row>
    <row r="35" customFormat="false" ht="16.5" hidden="false" customHeight="true" outlineLevel="0" collapsed="false">
      <c r="C35" s="4" t="s">
        <v>77</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ustomFormat="false" ht="16.5" hidden="false" customHeight="true" outlineLevel="0" collapsed="false">
      <c r="C36" s="4" t="s">
        <v>78</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ustomFormat="false" ht="16.5" hidden="false" customHeight="true" outlineLevel="0" collapsed="false">
      <c r="C37" s="4" t="s">
        <v>79</v>
      </c>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ustomFormat="false" ht="16.5" hidden="false" customHeight="true" outlineLevel="0" collapsed="false">
      <c r="C38" s="4" t="s">
        <v>80</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ustomFormat="false" ht="17.25" hidden="false" customHeight="true" outlineLevel="0" collapsed="false">
      <c r="B39" s="20" t="s">
        <v>61</v>
      </c>
      <c r="C39" s="20"/>
      <c r="D39" s="20"/>
      <c r="E39" s="20"/>
      <c r="F39" s="20"/>
      <c r="G39" s="20"/>
      <c r="H39" s="20"/>
      <c r="I39" s="20"/>
      <c r="J39" s="20"/>
      <c r="K39" s="20"/>
      <c r="L39" s="20"/>
      <c r="M39" s="20"/>
      <c r="N39" s="20"/>
      <c r="O39" s="20"/>
      <c r="P39" s="20"/>
      <c r="Q39" s="20"/>
      <c r="R39" s="20"/>
      <c r="S39" s="20"/>
      <c r="T39" s="21"/>
      <c r="U39" s="21"/>
      <c r="V39" s="21"/>
      <c r="W39" s="21"/>
      <c r="X39" s="21"/>
      <c r="Y39" s="21"/>
      <c r="Z39" s="21"/>
      <c r="AA39" s="21"/>
      <c r="AB39" s="21"/>
      <c r="AC39" s="22" t="str">
        <f aca="false">IF(T39="","",IF(LOWER(TRIM(T39))=LOWER('Mock A Ans'!T39),"✓","✗"))</f>
        <v/>
      </c>
    </row>
    <row r="41" customFormat="false" ht="17.25" hidden="false" customHeight="true" outlineLevel="0" collapsed="false">
      <c r="B41" s="19" t="s">
        <v>81</v>
      </c>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row>
    <row r="42" customFormat="false" ht="16.5" hidden="false" customHeight="true" outlineLevel="0" collapsed="false">
      <c r="C42" s="4" t="s">
        <v>82</v>
      </c>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ustomFormat="false" ht="16.5" hidden="false" customHeight="true" outlineLevel="0" collapsed="false">
      <c r="C43" s="4" t="s">
        <v>83</v>
      </c>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ustomFormat="false" ht="16.5" hidden="false" customHeight="true" outlineLevel="0" collapsed="false">
      <c r="C44" s="4" t="s">
        <v>84</v>
      </c>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ustomFormat="false" ht="16.5" hidden="false" customHeight="true" outlineLevel="0" collapsed="false">
      <c r="C45" s="4" t="s">
        <v>85</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ustomFormat="false" ht="17.25" hidden="false" customHeight="true" outlineLevel="0" collapsed="false">
      <c r="B46" s="20" t="s">
        <v>61</v>
      </c>
      <c r="C46" s="20"/>
      <c r="D46" s="20"/>
      <c r="E46" s="20"/>
      <c r="F46" s="20"/>
      <c r="G46" s="20"/>
      <c r="H46" s="20"/>
      <c r="I46" s="20"/>
      <c r="J46" s="20"/>
      <c r="K46" s="20"/>
      <c r="L46" s="20"/>
      <c r="M46" s="20"/>
      <c r="N46" s="20"/>
      <c r="O46" s="20"/>
      <c r="P46" s="20"/>
      <c r="Q46" s="20"/>
      <c r="R46" s="20"/>
      <c r="S46" s="20"/>
      <c r="T46" s="21"/>
      <c r="U46" s="21"/>
      <c r="V46" s="21"/>
      <c r="W46" s="21"/>
      <c r="X46" s="21"/>
      <c r="Y46" s="21"/>
      <c r="Z46" s="21"/>
      <c r="AA46" s="21"/>
      <c r="AB46" s="21"/>
      <c r="AC46" s="22" t="str">
        <f aca="false">IF(T46="","",IF(LOWER(TRIM(T46))=LOWER('Mock A Ans'!T46),"✓","✗"))</f>
        <v/>
      </c>
    </row>
    <row r="48" customFormat="false" ht="17.25" hidden="false" customHeight="true" outlineLevel="0" collapsed="false">
      <c r="B48" s="19" t="s">
        <v>86</v>
      </c>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row>
    <row r="49" customFormat="false" ht="16.5" hidden="false" customHeight="true" outlineLevel="0" collapsed="false">
      <c r="C49" s="4" t="s">
        <v>87</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ustomFormat="false" ht="16.5" hidden="false" customHeight="true" outlineLevel="0" collapsed="false">
      <c r="C50" s="4" t="s">
        <v>88</v>
      </c>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ustomFormat="false" ht="16.5" hidden="false" customHeight="true" outlineLevel="0" collapsed="false">
      <c r="C51" s="4" t="s">
        <v>89</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ustomFormat="false" ht="16.5" hidden="false" customHeight="true" outlineLevel="0" collapsed="false">
      <c r="C52" s="4" t="s">
        <v>90</v>
      </c>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ustomFormat="false" ht="17.25" hidden="false" customHeight="true" outlineLevel="0" collapsed="false">
      <c r="B53" s="20" t="s">
        <v>61</v>
      </c>
      <c r="C53" s="20"/>
      <c r="D53" s="20"/>
      <c r="E53" s="20"/>
      <c r="F53" s="20"/>
      <c r="G53" s="20"/>
      <c r="H53" s="20"/>
      <c r="I53" s="20"/>
      <c r="J53" s="20"/>
      <c r="K53" s="20"/>
      <c r="L53" s="20"/>
      <c r="M53" s="20"/>
      <c r="N53" s="20"/>
      <c r="O53" s="20"/>
      <c r="P53" s="20"/>
      <c r="Q53" s="20"/>
      <c r="R53" s="20"/>
      <c r="S53" s="20"/>
      <c r="T53" s="21"/>
      <c r="U53" s="21"/>
      <c r="V53" s="21"/>
      <c r="W53" s="21"/>
      <c r="X53" s="21"/>
      <c r="Y53" s="21"/>
      <c r="Z53" s="21"/>
      <c r="AA53" s="21"/>
      <c r="AB53" s="21"/>
      <c r="AC53" s="22" t="str">
        <f aca="false">IF(T53="","",IF(LOWER(TRIM(T53))=LOWER('Mock A Ans'!T53),"✓","✗"))</f>
        <v/>
      </c>
    </row>
    <row r="55" customFormat="false" ht="17.25" hidden="false" customHeight="true" outlineLevel="0" collapsed="false">
      <c r="B55" s="19" t="s">
        <v>91</v>
      </c>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row>
    <row r="56" customFormat="false" ht="16.5" hidden="false" customHeight="true" outlineLevel="0" collapsed="false">
      <c r="C56" s="4" t="s">
        <v>92</v>
      </c>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ustomFormat="false" ht="16.5" hidden="false" customHeight="true" outlineLevel="0" collapsed="false">
      <c r="C57" s="4" t="s">
        <v>93</v>
      </c>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ustomFormat="false" ht="16.5" hidden="false" customHeight="true" outlineLevel="0" collapsed="false">
      <c r="C58" s="4" t="s">
        <v>94</v>
      </c>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ustomFormat="false" ht="16.5" hidden="false" customHeight="true" outlineLevel="0" collapsed="false">
      <c r="C59" s="4" t="s">
        <v>95</v>
      </c>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ustomFormat="false" ht="17.25" hidden="false" customHeight="true" outlineLevel="0" collapsed="false">
      <c r="B60" s="20" t="s">
        <v>61</v>
      </c>
      <c r="C60" s="20"/>
      <c r="D60" s="20"/>
      <c r="E60" s="20"/>
      <c r="F60" s="20"/>
      <c r="G60" s="20"/>
      <c r="H60" s="20"/>
      <c r="I60" s="20"/>
      <c r="J60" s="20"/>
      <c r="K60" s="20"/>
      <c r="L60" s="20"/>
      <c r="M60" s="20"/>
      <c r="N60" s="20"/>
      <c r="O60" s="20"/>
      <c r="P60" s="20"/>
      <c r="Q60" s="20"/>
      <c r="R60" s="20"/>
      <c r="S60" s="20"/>
      <c r="T60" s="21"/>
      <c r="U60" s="21"/>
      <c r="V60" s="21"/>
      <c r="W60" s="21"/>
      <c r="X60" s="21"/>
      <c r="Y60" s="21"/>
      <c r="Z60" s="21"/>
      <c r="AA60" s="21"/>
      <c r="AB60" s="21"/>
      <c r="AC60" s="22" t="str">
        <f aca="false">IF(T60="","",IF(LOWER(TRIM(T60))=LOWER('Mock A Ans'!T60),"✓","✗"))</f>
        <v/>
      </c>
    </row>
    <row r="62" customFormat="false" ht="17.25" hidden="false" customHeight="true" outlineLevel="0" collapsed="false">
      <c r="B62" s="19" t="s">
        <v>96</v>
      </c>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row>
    <row r="63" customFormat="false" ht="16.5" hidden="false" customHeight="true" outlineLevel="0" collapsed="false">
      <c r="C63" s="4" t="s">
        <v>97</v>
      </c>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ustomFormat="false" ht="16.5" hidden="false" customHeight="true" outlineLevel="0" collapsed="false">
      <c r="C64" s="4" t="s">
        <v>98</v>
      </c>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ustomFormat="false" ht="16.5" hidden="false" customHeight="true" outlineLevel="0" collapsed="false">
      <c r="C65" s="4" t="s">
        <v>99</v>
      </c>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ustomFormat="false" ht="16.5" hidden="false" customHeight="true" outlineLevel="0" collapsed="false">
      <c r="C66" s="4" t="s">
        <v>100</v>
      </c>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ustomFormat="false" ht="17.25" hidden="false" customHeight="true" outlineLevel="0" collapsed="false">
      <c r="B67" s="20" t="s">
        <v>61</v>
      </c>
      <c r="C67" s="20"/>
      <c r="D67" s="20"/>
      <c r="E67" s="20"/>
      <c r="F67" s="20"/>
      <c r="G67" s="20"/>
      <c r="H67" s="20"/>
      <c r="I67" s="20"/>
      <c r="J67" s="20"/>
      <c r="K67" s="20"/>
      <c r="L67" s="20"/>
      <c r="M67" s="20"/>
      <c r="N67" s="20"/>
      <c r="O67" s="20"/>
      <c r="P67" s="20"/>
      <c r="Q67" s="20"/>
      <c r="R67" s="20"/>
      <c r="S67" s="20"/>
      <c r="T67" s="21"/>
      <c r="U67" s="21"/>
      <c r="V67" s="21"/>
      <c r="W67" s="21"/>
      <c r="X67" s="21"/>
      <c r="Y67" s="21"/>
      <c r="Z67" s="21"/>
      <c r="AA67" s="21"/>
      <c r="AB67" s="21"/>
      <c r="AC67" s="22" t="str">
        <f aca="false">IF(T67="","",IF(LOWER(TRIM(T67))=LOWER('Mock A Ans'!T67),"✓","✗"))</f>
        <v/>
      </c>
    </row>
    <row r="69" customFormat="false" ht="17.25" hidden="false" customHeight="true" outlineLevel="0" collapsed="false">
      <c r="B69" s="19" t="s">
        <v>101</v>
      </c>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row>
    <row r="70" customFormat="false" ht="16.5" hidden="false" customHeight="true" outlineLevel="0" collapsed="false">
      <c r="C70" s="4" t="s">
        <v>102</v>
      </c>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ustomFormat="false" ht="16.5" hidden="false" customHeight="true" outlineLevel="0" collapsed="false">
      <c r="C71" s="4" t="s">
        <v>103</v>
      </c>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ustomFormat="false" ht="16.5" hidden="false" customHeight="true" outlineLevel="0" collapsed="false">
      <c r="C72" s="4" t="s">
        <v>104</v>
      </c>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ustomFormat="false" ht="16.5" hidden="false" customHeight="true" outlineLevel="0" collapsed="false">
      <c r="C73" s="4" t="s">
        <v>105</v>
      </c>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ustomFormat="false" ht="17.25" hidden="false" customHeight="true" outlineLevel="0" collapsed="false">
      <c r="B74" s="20" t="s">
        <v>61</v>
      </c>
      <c r="C74" s="20"/>
      <c r="D74" s="20"/>
      <c r="E74" s="20"/>
      <c r="F74" s="20"/>
      <c r="G74" s="20"/>
      <c r="H74" s="20"/>
      <c r="I74" s="20"/>
      <c r="J74" s="20"/>
      <c r="K74" s="20"/>
      <c r="L74" s="20"/>
      <c r="M74" s="20"/>
      <c r="N74" s="20"/>
      <c r="O74" s="20"/>
      <c r="P74" s="20"/>
      <c r="Q74" s="20"/>
      <c r="R74" s="20"/>
      <c r="S74" s="20"/>
      <c r="T74" s="21"/>
      <c r="U74" s="21"/>
      <c r="V74" s="21"/>
      <c r="W74" s="21"/>
      <c r="X74" s="21"/>
      <c r="Y74" s="21"/>
      <c r="Z74" s="21"/>
      <c r="AA74" s="21"/>
      <c r="AB74" s="21"/>
      <c r="AC74" s="22" t="str">
        <f aca="false">IF(T74="","",IF(LOWER(TRIM(T74))=LOWER('Mock A Ans'!T74),"✓","✗"))</f>
        <v/>
      </c>
    </row>
  </sheetData>
  <mergeCells count="75">
    <mergeCell ref="B1:AF1"/>
    <mergeCell ref="B2:AF2"/>
    <mergeCell ref="B3:G3"/>
    <mergeCell ref="H3:AF3"/>
    <mergeCell ref="B5:AF5"/>
    <mergeCell ref="B6:AF6"/>
    <mergeCell ref="C7:AF7"/>
    <mergeCell ref="C8:AF8"/>
    <mergeCell ref="C9:AF9"/>
    <mergeCell ref="C10:AF10"/>
    <mergeCell ref="B11:S11"/>
    <mergeCell ref="T11:AB11"/>
    <mergeCell ref="B13:AF13"/>
    <mergeCell ref="C14:AF14"/>
    <mergeCell ref="C15:AF15"/>
    <mergeCell ref="C16:AF16"/>
    <mergeCell ref="C17:AF17"/>
    <mergeCell ref="B18:S18"/>
    <mergeCell ref="T18:AB18"/>
    <mergeCell ref="B20:AF20"/>
    <mergeCell ref="C21:AF21"/>
    <mergeCell ref="C22:AF22"/>
    <mergeCell ref="C23:AF23"/>
    <mergeCell ref="C24:AF24"/>
    <mergeCell ref="B25:S25"/>
    <mergeCell ref="T25:AB25"/>
    <mergeCell ref="B27:AF27"/>
    <mergeCell ref="C28:AF28"/>
    <mergeCell ref="C29:AF29"/>
    <mergeCell ref="C30:AF30"/>
    <mergeCell ref="C31:AF31"/>
    <mergeCell ref="B32:S32"/>
    <mergeCell ref="T32:AB32"/>
    <mergeCell ref="B34:AF34"/>
    <mergeCell ref="C35:AF35"/>
    <mergeCell ref="C36:AF36"/>
    <mergeCell ref="C37:AF37"/>
    <mergeCell ref="C38:AF38"/>
    <mergeCell ref="B39:S39"/>
    <mergeCell ref="T39:AB39"/>
    <mergeCell ref="B41:AF41"/>
    <mergeCell ref="C42:AF42"/>
    <mergeCell ref="C43:AF43"/>
    <mergeCell ref="C44:AF44"/>
    <mergeCell ref="C45:AF45"/>
    <mergeCell ref="B46:S46"/>
    <mergeCell ref="T46:AB46"/>
    <mergeCell ref="B48:AF48"/>
    <mergeCell ref="C49:AF49"/>
    <mergeCell ref="C50:AF50"/>
    <mergeCell ref="C51:AF51"/>
    <mergeCell ref="C52:AF52"/>
    <mergeCell ref="B53:S53"/>
    <mergeCell ref="T53:AB53"/>
    <mergeCell ref="B55:AF55"/>
    <mergeCell ref="C56:AF56"/>
    <mergeCell ref="C57:AF57"/>
    <mergeCell ref="C58:AF58"/>
    <mergeCell ref="C59:AF59"/>
    <mergeCell ref="B60:S60"/>
    <mergeCell ref="T60:AB60"/>
    <mergeCell ref="B62:AF62"/>
    <mergeCell ref="C63:AF63"/>
    <mergeCell ref="C64:AF64"/>
    <mergeCell ref="C65:AF65"/>
    <mergeCell ref="C66:AF66"/>
    <mergeCell ref="B67:S67"/>
    <mergeCell ref="T67:AB67"/>
    <mergeCell ref="B69:AF69"/>
    <mergeCell ref="C70:AF70"/>
    <mergeCell ref="C71:AF71"/>
    <mergeCell ref="C72:AF72"/>
    <mergeCell ref="C73:AF73"/>
    <mergeCell ref="B74:S74"/>
    <mergeCell ref="T74:AB74"/>
  </mergeCells>
  <conditionalFormatting sqref="B4:AG75">
    <cfRule type="cellIs" priority="2" operator="equal" aboveAverage="0" equalAverage="0" bottom="0" percent="0" rank="0" text="" dxfId="0">
      <formula>"✓"</formula>
    </cfRule>
    <cfRule type="cellIs" priority="3" operator="equal" aboveAverage="0" equalAverage="0" bottom="0" percent="0" rank="0" text="" dxfId="1">
      <formula>"✗"</formula>
    </cfRule>
  </conditionalFormatting>
  <dataValidations count="10">
    <dataValidation allowBlank="true" errorStyle="stop" operator="between" showDropDown="false" showErrorMessage="false" showInputMessage="false" sqref="T11" type="list">
      <formula1>"A,B,C,D"</formula1>
      <formula2>0</formula2>
    </dataValidation>
    <dataValidation allowBlank="true" errorStyle="stop" operator="between" showDropDown="false" showErrorMessage="false" showInputMessage="false" sqref="T18" type="list">
      <formula1>"A,B,C,D"</formula1>
      <formula2>0</formula2>
    </dataValidation>
    <dataValidation allowBlank="true" errorStyle="stop" operator="between" showDropDown="false" showErrorMessage="false" showInputMessage="false" sqref="T25" type="list">
      <formula1>"A,B,C,D"</formula1>
      <formula2>0</formula2>
    </dataValidation>
    <dataValidation allowBlank="true" errorStyle="stop" operator="between" showDropDown="false" showErrorMessage="false" showInputMessage="false" sqref="T32" type="list">
      <formula1>"A,B,C,D"</formula1>
      <formula2>0</formula2>
    </dataValidation>
    <dataValidation allowBlank="true" errorStyle="stop" operator="between" showDropDown="false" showErrorMessage="false" showInputMessage="false" sqref="T39" type="list">
      <formula1>"A,B,C,D"</formula1>
      <formula2>0</formula2>
    </dataValidation>
    <dataValidation allowBlank="true" errorStyle="stop" operator="between" showDropDown="false" showErrorMessage="false" showInputMessage="false" sqref="T46" type="list">
      <formula1>"A,B,C,D"</formula1>
      <formula2>0</formula2>
    </dataValidation>
    <dataValidation allowBlank="true" errorStyle="stop" operator="between" showDropDown="false" showErrorMessage="false" showInputMessage="false" sqref="T53" type="list">
      <formula1>"A,B,C,D"</formula1>
      <formula2>0</formula2>
    </dataValidation>
    <dataValidation allowBlank="true" errorStyle="stop" operator="between" showDropDown="false" showErrorMessage="false" showInputMessage="false" sqref="T60" type="list">
      <formula1>"A,B,C,D"</formula1>
      <formula2>0</formula2>
    </dataValidation>
    <dataValidation allowBlank="true" errorStyle="stop" operator="between" showDropDown="false" showErrorMessage="false" showInputMessage="false" sqref="T67" type="list">
      <formula1>"A,B,C,D"</formula1>
      <formula2>0</formula2>
    </dataValidation>
    <dataValidation allowBlank="true" errorStyle="stop" operator="between" showDropDown="false" showErrorMessage="false" showInputMessage="false" sqref="T74" type="list">
      <formula1>"A,B,C,D"</formula1>
      <formula2>0</formula2>
    </dataValidation>
  </dataValidation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B1:AF34"/>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41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7" t="s">
        <v>53</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row>
    <row r="3" customFormat="false" ht="15" hidden="false" customHeight="false" outlineLevel="0" collapsed="false">
      <c r="B3" s="18" t="s">
        <v>54</v>
      </c>
      <c r="C3" s="18"/>
      <c r="D3" s="18"/>
      <c r="E3" s="18"/>
      <c r="F3" s="18"/>
      <c r="G3" s="18"/>
      <c r="H3" s="18" t="str">
        <f aca="false">COUNTIF(B4:AG35,"✓")&amp;" correct out of 10 answer cells"</f>
        <v>0 correct out of 10 answer cells</v>
      </c>
      <c r="I3" s="18"/>
      <c r="J3" s="18"/>
      <c r="K3" s="18"/>
      <c r="L3" s="18"/>
      <c r="M3" s="18"/>
      <c r="N3" s="18"/>
      <c r="O3" s="18"/>
      <c r="P3" s="18"/>
      <c r="Q3" s="18"/>
      <c r="R3" s="18"/>
      <c r="S3" s="18"/>
      <c r="T3" s="18"/>
      <c r="U3" s="18"/>
      <c r="V3" s="18"/>
      <c r="W3" s="18"/>
      <c r="X3" s="18"/>
      <c r="Y3" s="18"/>
      <c r="Z3" s="18"/>
      <c r="AA3" s="18"/>
      <c r="AB3" s="18"/>
      <c r="AC3" s="18"/>
      <c r="AD3" s="18"/>
      <c r="AE3" s="18"/>
      <c r="AF3" s="18"/>
    </row>
    <row r="5" customFormat="false" ht="30" hidden="false" customHeight="true" outlineLevel="0" collapsed="false">
      <c r="B5" s="4" t="s">
        <v>106</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5" hidden="false" customHeight="false" outlineLevel="0" collapsed="false">
      <c r="B6" s="23" t="s">
        <v>107</v>
      </c>
      <c r="C6" s="23"/>
      <c r="D6" s="23"/>
      <c r="E6" s="23"/>
      <c r="F6" s="23"/>
      <c r="G6" s="23"/>
      <c r="H6" s="23"/>
      <c r="I6" s="23"/>
      <c r="J6" s="23"/>
      <c r="K6" s="23"/>
      <c r="L6" s="23"/>
      <c r="M6" s="23"/>
      <c r="N6" s="23"/>
      <c r="O6" s="23"/>
      <c r="P6" s="23"/>
      <c r="Q6" s="23"/>
      <c r="R6" s="23"/>
      <c r="S6" s="23"/>
      <c r="T6" s="23"/>
      <c r="U6" s="23"/>
      <c r="V6" s="23"/>
      <c r="W6" s="23"/>
      <c r="X6" s="24" t="s">
        <v>108</v>
      </c>
      <c r="Y6" s="24"/>
      <c r="Z6" s="24"/>
      <c r="AA6" s="24"/>
      <c r="AB6" s="24"/>
      <c r="AC6" s="24"/>
    </row>
    <row r="7" customFormat="false" ht="16.5" hidden="false" customHeight="true" outlineLevel="0" collapsed="false">
      <c r="B7" s="12" t="s">
        <v>109</v>
      </c>
      <c r="C7" s="12"/>
      <c r="D7" s="12"/>
      <c r="E7" s="12"/>
      <c r="F7" s="12"/>
      <c r="G7" s="12"/>
      <c r="H7" s="12"/>
      <c r="I7" s="12"/>
      <c r="J7" s="12"/>
      <c r="K7" s="12"/>
      <c r="L7" s="12"/>
      <c r="M7" s="12"/>
      <c r="N7" s="12"/>
      <c r="O7" s="12"/>
      <c r="P7" s="12"/>
      <c r="Q7" s="12"/>
      <c r="R7" s="12"/>
      <c r="S7" s="12"/>
      <c r="T7" s="12"/>
      <c r="U7" s="12"/>
      <c r="V7" s="12"/>
      <c r="W7" s="12"/>
      <c r="X7" s="25" t="n">
        <v>45600</v>
      </c>
      <c r="Y7" s="25"/>
      <c r="Z7" s="25"/>
      <c r="AA7" s="25"/>
      <c r="AB7" s="25"/>
      <c r="AC7" s="25"/>
    </row>
    <row r="8" customFormat="false" ht="16.5" hidden="false" customHeight="true" outlineLevel="0" collapsed="false">
      <c r="B8" s="12" t="s">
        <v>110</v>
      </c>
      <c r="C8" s="12"/>
      <c r="D8" s="12"/>
      <c r="E8" s="12"/>
      <c r="F8" s="12"/>
      <c r="G8" s="12"/>
      <c r="H8" s="12"/>
      <c r="I8" s="12"/>
      <c r="J8" s="12"/>
      <c r="K8" s="12"/>
      <c r="L8" s="12"/>
      <c r="M8" s="12"/>
      <c r="N8" s="12"/>
      <c r="O8" s="12"/>
      <c r="P8" s="12"/>
      <c r="Q8" s="12"/>
      <c r="R8" s="12"/>
      <c r="S8" s="12"/>
      <c r="T8" s="12"/>
      <c r="U8" s="12"/>
      <c r="V8" s="12"/>
      <c r="W8" s="12"/>
      <c r="X8" s="25" t="n">
        <v>1600</v>
      </c>
      <c r="Y8" s="25"/>
      <c r="Z8" s="25"/>
      <c r="AA8" s="25"/>
      <c r="AB8" s="25"/>
      <c r="AC8" s="25"/>
    </row>
    <row r="9" customFormat="false" ht="16.5" hidden="false" customHeight="true" outlineLevel="0" collapsed="false">
      <c r="B9" s="12" t="s">
        <v>111</v>
      </c>
      <c r="C9" s="12"/>
      <c r="D9" s="12"/>
      <c r="E9" s="12"/>
      <c r="F9" s="12"/>
      <c r="G9" s="12"/>
      <c r="H9" s="12"/>
      <c r="I9" s="12"/>
      <c r="J9" s="12"/>
      <c r="K9" s="12"/>
      <c r="L9" s="12"/>
      <c r="M9" s="12"/>
      <c r="N9" s="12"/>
      <c r="O9" s="12"/>
      <c r="P9" s="12"/>
      <c r="Q9" s="12"/>
      <c r="R9" s="12"/>
      <c r="S9" s="12"/>
      <c r="T9" s="12"/>
      <c r="U9" s="12"/>
      <c r="V9" s="12"/>
      <c r="W9" s="12"/>
      <c r="X9" s="25" t="n">
        <v>1500</v>
      </c>
      <c r="Y9" s="25"/>
      <c r="Z9" s="25"/>
      <c r="AA9" s="25"/>
      <c r="AB9" s="25"/>
      <c r="AC9" s="25"/>
    </row>
    <row r="10" customFormat="false" ht="16.5" hidden="false" customHeight="true" outlineLevel="0" collapsed="false">
      <c r="B10" s="12" t="s">
        <v>112</v>
      </c>
      <c r="C10" s="12"/>
      <c r="D10" s="12"/>
      <c r="E10" s="12"/>
      <c r="F10" s="12"/>
      <c r="G10" s="12"/>
      <c r="H10" s="12"/>
      <c r="I10" s="12"/>
      <c r="J10" s="12"/>
      <c r="K10" s="12"/>
      <c r="L10" s="12"/>
      <c r="M10" s="12"/>
      <c r="N10" s="12"/>
      <c r="O10" s="12"/>
      <c r="P10" s="12"/>
      <c r="Q10" s="12"/>
      <c r="R10" s="12"/>
      <c r="S10" s="12"/>
      <c r="T10" s="12"/>
      <c r="U10" s="12"/>
      <c r="V10" s="12"/>
      <c r="W10" s="12"/>
      <c r="X10" s="26" t="n">
        <v>0.04</v>
      </c>
      <c r="Y10" s="26"/>
      <c r="Z10" s="26"/>
      <c r="AA10" s="26"/>
      <c r="AB10" s="26"/>
      <c r="AC10" s="26"/>
    </row>
    <row r="13" customFormat="false" ht="18.75" hidden="false" customHeight="true" outlineLevel="0" collapsed="false">
      <c r="B13" s="3" t="s">
        <v>113</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ustomFormat="false" ht="17.25" hidden="false" customHeight="true" outlineLevel="0" collapsed="false">
      <c r="B14" s="20" t="s">
        <v>114</v>
      </c>
      <c r="C14" s="20"/>
      <c r="D14" s="20"/>
      <c r="E14" s="20"/>
      <c r="F14" s="20"/>
      <c r="G14" s="20"/>
      <c r="H14" s="20"/>
      <c r="I14" s="20"/>
      <c r="J14" s="20"/>
      <c r="K14" s="20"/>
      <c r="L14" s="20"/>
      <c r="M14" s="20"/>
      <c r="N14" s="20"/>
      <c r="O14" s="20"/>
      <c r="P14" s="20"/>
      <c r="Q14" s="20"/>
      <c r="R14" s="20"/>
      <c r="S14" s="20"/>
      <c r="T14" s="20"/>
      <c r="U14" s="20"/>
      <c r="V14" s="20"/>
      <c r="W14" s="20"/>
      <c r="X14" s="27"/>
      <c r="Y14" s="27"/>
      <c r="Z14" s="27"/>
      <c r="AA14" s="27"/>
      <c r="AB14" s="27"/>
      <c r="AC14" s="28" t="str">
        <f aca="false">IF(X14="","",IFERROR(IF(ABS(ABS(X14)-ABS('Mock B1 Ans'!X14))&lt;0.5,"✓","✗"),"✗"))</f>
        <v/>
      </c>
    </row>
    <row r="15" customFormat="false" ht="17.25" hidden="false" customHeight="true" outlineLevel="0" collapsed="false">
      <c r="B15" s="20" t="s">
        <v>115</v>
      </c>
      <c r="C15" s="20"/>
      <c r="D15" s="20"/>
      <c r="E15" s="20"/>
      <c r="F15" s="20"/>
      <c r="G15" s="20"/>
      <c r="H15" s="20"/>
      <c r="I15" s="20"/>
      <c r="J15" s="20"/>
      <c r="K15" s="20"/>
      <c r="L15" s="20"/>
      <c r="M15" s="20"/>
      <c r="N15" s="20"/>
      <c r="O15" s="20"/>
      <c r="P15" s="20"/>
      <c r="Q15" s="20"/>
      <c r="R15" s="20"/>
      <c r="S15" s="20"/>
      <c r="T15" s="20"/>
      <c r="U15" s="20"/>
      <c r="V15" s="20"/>
      <c r="W15" s="20"/>
      <c r="X15" s="27"/>
      <c r="Y15" s="27"/>
      <c r="Z15" s="27"/>
      <c r="AA15" s="27"/>
      <c r="AB15" s="27"/>
      <c r="AC15" s="28" t="str">
        <f aca="false">IF(X15="","",IFERROR(IF(ABS(ABS(X15)-ABS('Mock B1 Ans'!X15))&lt;0.5,"✓","✗"),"✗"))</f>
        <v/>
      </c>
    </row>
    <row r="16" customFormat="false" ht="17.25" hidden="false" customHeight="true" outlineLevel="0" collapsed="false">
      <c r="B16" s="20" t="s">
        <v>116</v>
      </c>
      <c r="C16" s="20"/>
      <c r="D16" s="20"/>
      <c r="E16" s="20"/>
      <c r="F16" s="20"/>
      <c r="G16" s="20"/>
      <c r="H16" s="20"/>
      <c r="I16" s="20"/>
      <c r="J16" s="20"/>
      <c r="K16" s="20"/>
      <c r="L16" s="20"/>
      <c r="M16" s="20"/>
      <c r="N16" s="20"/>
      <c r="O16" s="20"/>
      <c r="P16" s="20"/>
      <c r="Q16" s="20"/>
      <c r="R16" s="20"/>
      <c r="S16" s="20"/>
      <c r="T16" s="20"/>
      <c r="U16" s="20"/>
      <c r="V16" s="20"/>
      <c r="W16" s="20"/>
      <c r="X16" s="27"/>
      <c r="Y16" s="27"/>
      <c r="Z16" s="27"/>
      <c r="AA16" s="27"/>
      <c r="AB16" s="27"/>
      <c r="AC16" s="28" t="str">
        <f aca="false">IF(X16="","",IFERROR(IF(ABS(ABS(X16)-ABS('Mock B1 Ans'!X16))&lt;0.5,"✓","✗"),"✗"))</f>
        <v/>
      </c>
    </row>
    <row r="18" customFormat="false" ht="18.75" hidden="false" customHeight="true" outlineLevel="0" collapsed="false">
      <c r="B18" s="3" t="s">
        <v>117</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5" hidden="false" customHeight="false" outlineLevel="0" collapsed="false">
      <c r="B19" s="23" t="s">
        <v>118</v>
      </c>
      <c r="C19" s="23"/>
      <c r="D19" s="23"/>
      <c r="E19" s="23" t="s">
        <v>119</v>
      </c>
      <c r="F19" s="23"/>
      <c r="G19" s="23"/>
      <c r="H19" s="23"/>
      <c r="I19" s="23"/>
      <c r="J19" s="23"/>
      <c r="K19" s="23"/>
      <c r="L19" s="23"/>
      <c r="M19" s="23"/>
      <c r="N19" s="23"/>
      <c r="O19" s="23"/>
      <c r="P19" s="23"/>
      <c r="Q19" s="23"/>
      <c r="R19" s="23"/>
      <c r="S19" s="23"/>
      <c r="T19" s="23"/>
      <c r="U19" s="24" t="s">
        <v>120</v>
      </c>
      <c r="V19" s="24"/>
      <c r="W19" s="24"/>
      <c r="X19" s="24"/>
      <c r="Y19" s="24"/>
      <c r="Z19" s="24"/>
      <c r="AA19" s="24" t="s">
        <v>121</v>
      </c>
      <c r="AB19" s="24"/>
      <c r="AC19" s="24"/>
      <c r="AD19" s="24"/>
      <c r="AE19" s="24"/>
      <c r="AF19" s="24"/>
    </row>
    <row r="20" customFormat="false" ht="16.5" hidden="false" customHeight="true" outlineLevel="0" collapsed="false">
      <c r="B20" s="29" t="s">
        <v>122</v>
      </c>
      <c r="C20" s="29"/>
      <c r="D20" s="29"/>
      <c r="E20" s="30"/>
      <c r="F20" s="30"/>
      <c r="G20" s="30"/>
      <c r="H20" s="30"/>
      <c r="I20" s="30"/>
      <c r="J20" s="30"/>
      <c r="K20" s="30"/>
      <c r="L20" s="30"/>
      <c r="M20" s="30"/>
      <c r="N20" s="30"/>
      <c r="O20" s="30"/>
      <c r="P20" s="30"/>
      <c r="Q20" s="30"/>
      <c r="R20" s="30"/>
      <c r="S20" s="30"/>
      <c r="T20" s="30"/>
      <c r="U20" s="31" t="s">
        <v>123</v>
      </c>
      <c r="V20" s="31"/>
      <c r="W20" s="31"/>
      <c r="X20" s="31"/>
      <c r="Y20" s="31"/>
      <c r="Z20" s="31"/>
      <c r="AA20" s="31" t="s">
        <v>123</v>
      </c>
      <c r="AB20" s="31"/>
      <c r="AC20" s="31"/>
      <c r="AD20" s="31"/>
      <c r="AE20" s="31"/>
      <c r="AF20" s="31"/>
    </row>
    <row r="21" customFormat="false" ht="16.5" hidden="false" customHeight="true" outlineLevel="0" collapsed="false">
      <c r="B21" s="30" t="s">
        <v>124</v>
      </c>
      <c r="C21" s="30"/>
      <c r="D21" s="30"/>
      <c r="E21" s="30" t="s">
        <v>125</v>
      </c>
      <c r="F21" s="30"/>
      <c r="G21" s="30"/>
      <c r="H21" s="30"/>
      <c r="I21" s="30"/>
      <c r="J21" s="30"/>
      <c r="K21" s="30"/>
      <c r="L21" s="30"/>
      <c r="M21" s="30"/>
      <c r="N21" s="30"/>
      <c r="O21" s="30"/>
      <c r="P21" s="30"/>
      <c r="Q21" s="30"/>
      <c r="R21" s="30"/>
      <c r="S21" s="30"/>
      <c r="T21" s="30"/>
      <c r="U21" s="27"/>
      <c r="V21" s="27"/>
      <c r="W21" s="27"/>
      <c r="X21" s="27"/>
      <c r="Y21" s="27"/>
      <c r="Z21" s="31" t="str">
        <f aca="false">IF(U21="","",IFERROR(IF(ABS(ABS(U21)-ABS('Mock B1 Ans'!U21))&lt;0.5,"✓","✗"),"✗"))</f>
        <v/>
      </c>
      <c r="AA21" s="30"/>
      <c r="AB21" s="30"/>
      <c r="AC21" s="30"/>
      <c r="AD21" s="30"/>
      <c r="AE21" s="30"/>
      <c r="AF21" s="30"/>
    </row>
    <row r="22" customFormat="false" ht="16.5" hidden="false" customHeight="true" outlineLevel="0" collapsed="false">
      <c r="B22" s="30"/>
      <c r="C22" s="30"/>
      <c r="D22" s="30"/>
      <c r="E22" s="32" t="s">
        <v>126</v>
      </c>
      <c r="F22" s="32"/>
      <c r="G22" s="32"/>
      <c r="H22" s="32"/>
      <c r="I22" s="32"/>
      <c r="J22" s="32"/>
      <c r="K22" s="32"/>
      <c r="L22" s="32"/>
      <c r="M22" s="32"/>
      <c r="N22" s="32"/>
      <c r="O22" s="32"/>
      <c r="P22" s="32"/>
      <c r="Q22" s="32"/>
      <c r="R22" s="32"/>
      <c r="S22" s="32"/>
      <c r="T22" s="32"/>
      <c r="U22" s="30"/>
      <c r="V22" s="30"/>
      <c r="W22" s="30"/>
      <c r="X22" s="30"/>
      <c r="Y22" s="30"/>
      <c r="Z22" s="30"/>
      <c r="AA22" s="27"/>
      <c r="AB22" s="27"/>
      <c r="AC22" s="27"/>
      <c r="AD22" s="27"/>
      <c r="AE22" s="27"/>
      <c r="AF22" s="31" t="str">
        <f aca="false">IF(AA22="","",IFERROR(IF(ABS(ABS(AA22)-ABS('Mock B1 Ans'!AA22))&lt;0.5,"✓","✗"),"✗"))</f>
        <v/>
      </c>
    </row>
    <row r="23" customFormat="false" ht="17.25" hidden="false" customHeight="true" outlineLevel="0" collapsed="false">
      <c r="B23" s="30"/>
      <c r="C23" s="30"/>
      <c r="D23" s="30"/>
      <c r="E23" s="33" t="s">
        <v>127</v>
      </c>
      <c r="F23" s="33"/>
      <c r="G23" s="33"/>
      <c r="H23" s="33"/>
      <c r="I23" s="33"/>
      <c r="J23" s="33"/>
      <c r="K23" s="33"/>
      <c r="L23" s="33"/>
      <c r="M23" s="33"/>
      <c r="N23" s="33"/>
      <c r="O23" s="33"/>
      <c r="P23" s="33"/>
      <c r="Q23" s="33"/>
      <c r="R23" s="33"/>
      <c r="S23" s="33"/>
      <c r="T23" s="33"/>
      <c r="U23" s="30"/>
      <c r="V23" s="30"/>
      <c r="W23" s="30"/>
      <c r="X23" s="30"/>
      <c r="Y23" s="30"/>
      <c r="Z23" s="30"/>
      <c r="AA23" s="30"/>
      <c r="AB23" s="30"/>
      <c r="AC23" s="30"/>
      <c r="AD23" s="30"/>
      <c r="AE23" s="30"/>
      <c r="AF23" s="30"/>
    </row>
    <row r="24" customFormat="false" ht="16.5" hidden="false" customHeight="true" outlineLevel="0" collapsed="false">
      <c r="B24" s="30" t="s">
        <v>124</v>
      </c>
      <c r="C24" s="30"/>
      <c r="D24" s="30"/>
      <c r="E24" s="30" t="s">
        <v>128</v>
      </c>
      <c r="F24" s="30"/>
      <c r="G24" s="30"/>
      <c r="H24" s="30"/>
      <c r="I24" s="30"/>
      <c r="J24" s="30"/>
      <c r="K24" s="30"/>
      <c r="L24" s="30"/>
      <c r="M24" s="30"/>
      <c r="N24" s="30"/>
      <c r="O24" s="30"/>
      <c r="P24" s="30"/>
      <c r="Q24" s="30"/>
      <c r="R24" s="30"/>
      <c r="S24" s="30"/>
      <c r="T24" s="30"/>
      <c r="U24" s="27"/>
      <c r="V24" s="27"/>
      <c r="W24" s="27"/>
      <c r="X24" s="27"/>
      <c r="Y24" s="27"/>
      <c r="Z24" s="31" t="str">
        <f aca="false">IF(U24="","",IFERROR(IF(ABS(ABS(U24)-ABS('Mock B1 Ans'!U24))&lt;0.5,"✓","✗"),"✗"))</f>
        <v/>
      </c>
      <c r="AA24" s="30"/>
      <c r="AB24" s="30"/>
      <c r="AC24" s="30"/>
      <c r="AD24" s="30"/>
      <c r="AE24" s="30"/>
      <c r="AF24" s="30"/>
    </row>
    <row r="25" customFormat="false" ht="16.5" hidden="false" customHeight="true" outlineLevel="0" collapsed="false">
      <c r="B25" s="30"/>
      <c r="C25" s="30"/>
      <c r="D25" s="30"/>
      <c r="E25" s="32" t="s">
        <v>129</v>
      </c>
      <c r="F25" s="32"/>
      <c r="G25" s="32"/>
      <c r="H25" s="32"/>
      <c r="I25" s="32"/>
      <c r="J25" s="32"/>
      <c r="K25" s="32"/>
      <c r="L25" s="32"/>
      <c r="M25" s="32"/>
      <c r="N25" s="32"/>
      <c r="O25" s="32"/>
      <c r="P25" s="32"/>
      <c r="Q25" s="32"/>
      <c r="R25" s="32"/>
      <c r="S25" s="32"/>
      <c r="T25" s="32"/>
      <c r="U25" s="30"/>
      <c r="V25" s="30"/>
      <c r="W25" s="30"/>
      <c r="X25" s="30"/>
      <c r="Y25" s="30"/>
      <c r="Z25" s="30"/>
      <c r="AA25" s="27"/>
      <c r="AB25" s="27"/>
      <c r="AC25" s="27"/>
      <c r="AD25" s="27"/>
      <c r="AE25" s="27"/>
      <c r="AF25" s="31" t="str">
        <f aca="false">IF(AA25="","",IFERROR(IF(ABS(ABS(AA25)-ABS('Mock B1 Ans'!AA25))&lt;0.5,"✓","✗"),"✗"))</f>
        <v/>
      </c>
    </row>
    <row r="26" customFormat="false" ht="17.25" hidden="false" customHeight="true" outlineLevel="0" collapsed="false">
      <c r="B26" s="30"/>
      <c r="C26" s="30"/>
      <c r="D26" s="30"/>
      <c r="E26" s="33" t="s">
        <v>130</v>
      </c>
      <c r="F26" s="33"/>
      <c r="G26" s="33"/>
      <c r="H26" s="33"/>
      <c r="I26" s="33"/>
      <c r="J26" s="33"/>
      <c r="K26" s="33"/>
      <c r="L26" s="33"/>
      <c r="M26" s="33"/>
      <c r="N26" s="33"/>
      <c r="O26" s="33"/>
      <c r="P26" s="33"/>
      <c r="Q26" s="33"/>
      <c r="R26" s="33"/>
      <c r="S26" s="33"/>
      <c r="T26" s="33"/>
      <c r="U26" s="30"/>
      <c r="V26" s="30"/>
      <c r="W26" s="30"/>
      <c r="X26" s="30"/>
      <c r="Y26" s="30"/>
      <c r="Z26" s="30"/>
      <c r="AA26" s="30"/>
      <c r="AB26" s="30"/>
      <c r="AC26" s="30"/>
      <c r="AD26" s="30"/>
      <c r="AE26" s="30"/>
      <c r="AF26" s="30"/>
    </row>
    <row r="28" customFormat="false" ht="18.75" hidden="false" customHeight="true" outlineLevel="0" collapsed="false">
      <c r="B28" s="3" t="s">
        <v>131</v>
      </c>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ustomFormat="false" ht="15" hidden="false" customHeight="false" outlineLevel="0" collapsed="false">
      <c r="B29" s="34" t="s">
        <v>132</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customFormat="false" ht="15" hidden="false" customHeight="false" outlineLevel="0" collapsed="false">
      <c r="B30" s="35"/>
      <c r="C30" s="35"/>
      <c r="D30" s="35"/>
      <c r="E30" s="23" t="s">
        <v>119</v>
      </c>
      <c r="F30" s="23"/>
      <c r="G30" s="23"/>
      <c r="H30" s="23"/>
      <c r="I30" s="23"/>
      <c r="J30" s="23"/>
      <c r="K30" s="23"/>
      <c r="L30" s="23"/>
      <c r="M30" s="23"/>
      <c r="N30" s="23"/>
      <c r="O30" s="23"/>
      <c r="P30" s="23"/>
      <c r="Q30" s="23"/>
      <c r="R30" s="24" t="s">
        <v>123</v>
      </c>
      <c r="S30" s="24"/>
      <c r="T30" s="24"/>
      <c r="U30" s="24"/>
      <c r="V30" s="24"/>
      <c r="W30" s="24" t="s">
        <v>123</v>
      </c>
      <c r="X30" s="24"/>
      <c r="Y30" s="24"/>
      <c r="Z30" s="24"/>
      <c r="AA30" s="24"/>
      <c r="AB30" s="24" t="s">
        <v>123</v>
      </c>
      <c r="AC30" s="24"/>
      <c r="AD30" s="24"/>
      <c r="AE30" s="24"/>
      <c r="AF30" s="24"/>
    </row>
    <row r="31" customFormat="false" ht="30" hidden="false" customHeight="true" outlineLevel="0" collapsed="false">
      <c r="B31" s="35"/>
      <c r="C31" s="35"/>
      <c r="D31" s="35"/>
      <c r="E31" s="35"/>
      <c r="F31" s="35"/>
      <c r="G31" s="35"/>
      <c r="H31" s="35"/>
      <c r="I31" s="35"/>
      <c r="J31" s="35"/>
      <c r="K31" s="35"/>
      <c r="L31" s="35"/>
      <c r="M31" s="35"/>
      <c r="N31" s="35"/>
      <c r="O31" s="35"/>
      <c r="P31" s="35"/>
      <c r="Q31" s="35"/>
      <c r="R31" s="11" t="s">
        <v>133</v>
      </c>
      <c r="S31" s="11"/>
      <c r="T31" s="11"/>
      <c r="U31" s="11"/>
      <c r="V31" s="11"/>
      <c r="W31" s="11" t="s">
        <v>134</v>
      </c>
      <c r="X31" s="11"/>
      <c r="Y31" s="11"/>
      <c r="Z31" s="11"/>
      <c r="AA31" s="11"/>
      <c r="AB31" s="11" t="s">
        <v>135</v>
      </c>
      <c r="AC31" s="11"/>
      <c r="AD31" s="11"/>
      <c r="AE31" s="11"/>
      <c r="AF31" s="11"/>
    </row>
    <row r="32" customFormat="false" ht="17.25" hidden="false" customHeight="true" outlineLevel="0" collapsed="false">
      <c r="B32" s="36"/>
      <c r="C32" s="36"/>
      <c r="D32" s="36"/>
      <c r="E32" s="37" t="s">
        <v>136</v>
      </c>
      <c r="F32" s="37"/>
      <c r="G32" s="37"/>
      <c r="H32" s="37"/>
      <c r="I32" s="37"/>
      <c r="J32" s="37"/>
      <c r="K32" s="37"/>
      <c r="L32" s="37"/>
      <c r="M32" s="37"/>
      <c r="N32" s="37"/>
      <c r="O32" s="37"/>
      <c r="P32" s="37"/>
      <c r="Q32" s="37"/>
    </row>
    <row r="33" customFormat="false" ht="17.25" hidden="false" customHeight="true" outlineLevel="0" collapsed="false">
      <c r="B33" s="36"/>
      <c r="C33" s="36"/>
      <c r="D33" s="36"/>
      <c r="E33" s="38" t="s">
        <v>137</v>
      </c>
      <c r="F33" s="38"/>
      <c r="G33" s="38"/>
      <c r="H33" s="38"/>
      <c r="I33" s="38"/>
      <c r="J33" s="38"/>
      <c r="K33" s="38"/>
      <c r="L33" s="38"/>
      <c r="M33" s="38"/>
      <c r="N33" s="38"/>
      <c r="O33" s="38"/>
      <c r="P33" s="38"/>
      <c r="Q33" s="38"/>
      <c r="R33" s="27"/>
      <c r="S33" s="27"/>
      <c r="T33" s="27"/>
      <c r="U33" s="27"/>
      <c r="V33" s="28" t="str">
        <f aca="false">IF(R33="","",IFERROR(IF(ABS(ABS(R33)-ABS('Mock B1 Ans'!R33))&lt;0.5,"✓","✗"),"✗"))</f>
        <v/>
      </c>
    </row>
    <row r="34" customFormat="false" ht="17.25" hidden="false" customHeight="true" outlineLevel="0" collapsed="false">
      <c r="B34" s="36" t="s">
        <v>138</v>
      </c>
      <c r="C34" s="36"/>
      <c r="D34" s="36"/>
      <c r="E34" s="38" t="s">
        <v>129</v>
      </c>
      <c r="F34" s="38"/>
      <c r="G34" s="38"/>
      <c r="H34" s="38"/>
      <c r="I34" s="38"/>
      <c r="J34" s="38"/>
      <c r="K34" s="38"/>
      <c r="L34" s="38"/>
      <c r="M34" s="38"/>
      <c r="N34" s="38"/>
      <c r="O34" s="38"/>
      <c r="P34" s="38"/>
      <c r="Q34" s="38"/>
      <c r="R34" s="39"/>
      <c r="S34" s="39"/>
      <c r="T34" s="39"/>
      <c r="U34" s="39"/>
      <c r="V34" s="28" t="str">
        <f aca="false">IF(R34="","",IFERROR(IF(ABS(ABS(R34)-ABS('Mock B1 Ans'!R34))&lt;0.5,"✓","✗"),"✗"))</f>
        <v/>
      </c>
      <c r="W34" s="27"/>
      <c r="X34" s="27"/>
      <c r="Y34" s="27"/>
      <c r="Z34" s="27"/>
      <c r="AA34" s="28" t="str">
        <f aca="false">IF(W34="","",IFERROR(IF(ABS(ABS(W34)-ABS('Mock B1 Ans'!W34))&lt;0.5,"✓","✗"),"✗"))</f>
        <v/>
      </c>
    </row>
  </sheetData>
  <mergeCells count="76">
    <mergeCell ref="B1:AF1"/>
    <mergeCell ref="B2:AF2"/>
    <mergeCell ref="B3:G3"/>
    <mergeCell ref="H3:AF3"/>
    <mergeCell ref="B5:AF5"/>
    <mergeCell ref="B6:W6"/>
    <mergeCell ref="X6:AC6"/>
    <mergeCell ref="B7:W7"/>
    <mergeCell ref="X7:AC7"/>
    <mergeCell ref="B8:W8"/>
    <mergeCell ref="X8:AC8"/>
    <mergeCell ref="B9:W9"/>
    <mergeCell ref="X9:AC9"/>
    <mergeCell ref="B10:W10"/>
    <mergeCell ref="X10:AC10"/>
    <mergeCell ref="B13:AF13"/>
    <mergeCell ref="B14:W14"/>
    <mergeCell ref="X14:AB14"/>
    <mergeCell ref="B15:W15"/>
    <mergeCell ref="X15:AB15"/>
    <mergeCell ref="B16:W16"/>
    <mergeCell ref="X16:AB16"/>
    <mergeCell ref="B18:AF18"/>
    <mergeCell ref="B19:D19"/>
    <mergeCell ref="E19:T19"/>
    <mergeCell ref="U19:Z19"/>
    <mergeCell ref="AA19:AF19"/>
    <mergeCell ref="B20:D20"/>
    <mergeCell ref="E20:T20"/>
    <mergeCell ref="U20:Z20"/>
    <mergeCell ref="AA20:AF20"/>
    <mergeCell ref="B21:D21"/>
    <mergeCell ref="E21:T21"/>
    <mergeCell ref="U21:Y21"/>
    <mergeCell ref="AA21:AF21"/>
    <mergeCell ref="B22:D22"/>
    <mergeCell ref="E22:T22"/>
    <mergeCell ref="U22:Z22"/>
    <mergeCell ref="AA22:AE22"/>
    <mergeCell ref="B23:D23"/>
    <mergeCell ref="E23:T23"/>
    <mergeCell ref="U23:Z23"/>
    <mergeCell ref="AA23:AF23"/>
    <mergeCell ref="B24:D24"/>
    <mergeCell ref="E24:T24"/>
    <mergeCell ref="U24:Y24"/>
    <mergeCell ref="AA24:AF24"/>
    <mergeCell ref="B25:D25"/>
    <mergeCell ref="E25:T25"/>
    <mergeCell ref="U25:Z25"/>
    <mergeCell ref="AA25:AE25"/>
    <mergeCell ref="B26:D26"/>
    <mergeCell ref="E26:T26"/>
    <mergeCell ref="U26:Z26"/>
    <mergeCell ref="AA26:AF26"/>
    <mergeCell ref="B28:AF28"/>
    <mergeCell ref="B29:AF29"/>
    <mergeCell ref="B30:D30"/>
    <mergeCell ref="E30:Q30"/>
    <mergeCell ref="R30:V30"/>
    <mergeCell ref="W30:AA30"/>
    <mergeCell ref="AB30:AF30"/>
    <mergeCell ref="B31:D31"/>
    <mergeCell ref="E31:Q31"/>
    <mergeCell ref="R31:V31"/>
    <mergeCell ref="W31:AA31"/>
    <mergeCell ref="AB31:AF31"/>
    <mergeCell ref="B32:D32"/>
    <mergeCell ref="E32:Q32"/>
    <mergeCell ref="B33:D33"/>
    <mergeCell ref="E33:Q33"/>
    <mergeCell ref="R33:U33"/>
    <mergeCell ref="B34:D34"/>
    <mergeCell ref="E34:Q34"/>
    <mergeCell ref="R34:U34"/>
    <mergeCell ref="W34:Z34"/>
  </mergeCells>
  <conditionalFormatting sqref="B4:AG35">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B1:AF28"/>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42</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7" t="s">
        <v>53</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row>
    <row r="3" customFormat="false" ht="15" hidden="false" customHeight="false" outlineLevel="0" collapsed="false">
      <c r="B3" s="18" t="s">
        <v>54</v>
      </c>
      <c r="C3" s="18"/>
      <c r="D3" s="18"/>
      <c r="E3" s="18"/>
      <c r="F3" s="18"/>
      <c r="G3" s="18"/>
      <c r="H3" s="18" t="str">
        <f aca="false">COUNTIF(B4:AG29,"✓")&amp;" correct out of 11 answer cells"</f>
        <v>0 correct out of 11 answer cells</v>
      </c>
      <c r="I3" s="18"/>
      <c r="J3" s="18"/>
      <c r="K3" s="18"/>
      <c r="L3" s="18"/>
      <c r="M3" s="18"/>
      <c r="N3" s="18"/>
      <c r="O3" s="18"/>
      <c r="P3" s="18"/>
      <c r="Q3" s="18"/>
      <c r="R3" s="18"/>
      <c r="S3" s="18"/>
      <c r="T3" s="18"/>
      <c r="U3" s="18"/>
      <c r="V3" s="18"/>
      <c r="W3" s="18"/>
      <c r="X3" s="18"/>
      <c r="Y3" s="18"/>
      <c r="Z3" s="18"/>
      <c r="AA3" s="18"/>
      <c r="AB3" s="18"/>
      <c r="AC3" s="18"/>
      <c r="AD3" s="18"/>
      <c r="AE3" s="18"/>
      <c r="AF3" s="18"/>
    </row>
    <row r="5" customFormat="false" ht="30" hidden="false" customHeight="true" outlineLevel="0" collapsed="false">
      <c r="B5" s="4" t="s">
        <v>139</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5" hidden="false" customHeight="false" outlineLevel="0" collapsed="false">
      <c r="B6" s="23" t="s">
        <v>107</v>
      </c>
      <c r="C6" s="23"/>
      <c r="D6" s="23"/>
      <c r="E6" s="23"/>
      <c r="F6" s="23"/>
      <c r="G6" s="23"/>
      <c r="H6" s="23"/>
      <c r="I6" s="23"/>
      <c r="J6" s="23"/>
      <c r="K6" s="23"/>
      <c r="L6" s="23"/>
      <c r="M6" s="23"/>
      <c r="N6" s="23"/>
      <c r="O6" s="23"/>
      <c r="P6" s="23"/>
      <c r="Q6" s="23"/>
      <c r="R6" s="23"/>
      <c r="S6" s="23"/>
      <c r="T6" s="23"/>
      <c r="U6" s="23"/>
      <c r="V6" s="23"/>
      <c r="W6" s="23"/>
      <c r="X6" s="24" t="s">
        <v>108</v>
      </c>
      <c r="Y6" s="24"/>
      <c r="Z6" s="24"/>
      <c r="AA6" s="24"/>
      <c r="AB6" s="24"/>
      <c r="AC6" s="24"/>
    </row>
    <row r="7" customFormat="false" ht="16.5" hidden="false" customHeight="true" outlineLevel="0" collapsed="false">
      <c r="B7" s="12" t="s">
        <v>140</v>
      </c>
      <c r="C7" s="12"/>
      <c r="D7" s="12"/>
      <c r="E7" s="12"/>
      <c r="F7" s="12"/>
      <c r="G7" s="12"/>
      <c r="H7" s="12"/>
      <c r="I7" s="12"/>
      <c r="J7" s="12"/>
      <c r="K7" s="12"/>
      <c r="L7" s="12"/>
      <c r="M7" s="12"/>
      <c r="N7" s="12"/>
      <c r="O7" s="12"/>
      <c r="P7" s="12"/>
      <c r="Q7" s="12"/>
      <c r="R7" s="12"/>
      <c r="S7" s="12"/>
      <c r="T7" s="12"/>
      <c r="U7" s="12"/>
      <c r="V7" s="12"/>
      <c r="W7" s="12"/>
      <c r="X7" s="25" t="n">
        <v>48000</v>
      </c>
      <c r="Y7" s="25"/>
      <c r="Z7" s="25"/>
      <c r="AA7" s="25"/>
      <c r="AB7" s="25"/>
      <c r="AC7" s="25"/>
    </row>
    <row r="8" customFormat="false" ht="16.5" hidden="false" customHeight="true" outlineLevel="0" collapsed="false">
      <c r="B8" s="12" t="s">
        <v>141</v>
      </c>
      <c r="C8" s="12"/>
      <c r="D8" s="12"/>
      <c r="E8" s="12"/>
      <c r="F8" s="12"/>
      <c r="G8" s="12"/>
      <c r="H8" s="12"/>
      <c r="I8" s="12"/>
      <c r="J8" s="12"/>
      <c r="K8" s="12"/>
      <c r="L8" s="12"/>
      <c r="M8" s="12"/>
      <c r="N8" s="12"/>
      <c r="O8" s="12"/>
      <c r="P8" s="12"/>
      <c r="Q8" s="12"/>
      <c r="R8" s="12"/>
      <c r="S8" s="12"/>
      <c r="T8" s="12"/>
      <c r="U8" s="12"/>
      <c r="V8" s="12"/>
      <c r="W8" s="12"/>
      <c r="X8" s="26" t="n">
        <v>0.25</v>
      </c>
      <c r="Y8" s="26"/>
      <c r="Z8" s="26"/>
      <c r="AA8" s="26"/>
      <c r="AB8" s="26"/>
      <c r="AC8" s="26"/>
    </row>
    <row r="9" customFormat="false" ht="16.5" hidden="false" customHeight="true" outlineLevel="0" collapsed="false">
      <c r="B9" s="12" t="s">
        <v>142</v>
      </c>
      <c r="C9" s="12"/>
      <c r="D9" s="12"/>
      <c r="E9" s="12"/>
      <c r="F9" s="12"/>
      <c r="G9" s="12"/>
      <c r="H9" s="12"/>
      <c r="I9" s="12"/>
      <c r="J9" s="12"/>
      <c r="K9" s="12"/>
      <c r="L9" s="12"/>
      <c r="M9" s="12"/>
      <c r="N9" s="12"/>
      <c r="O9" s="12"/>
      <c r="P9" s="12"/>
      <c r="Q9" s="12"/>
      <c r="R9" s="12"/>
      <c r="S9" s="12"/>
      <c r="T9" s="12"/>
      <c r="U9" s="12"/>
      <c r="V9" s="12"/>
      <c r="W9" s="12"/>
      <c r="X9" s="25" t="n">
        <v>25000</v>
      </c>
      <c r="Y9" s="25"/>
      <c r="Z9" s="25"/>
      <c r="AA9" s="25"/>
      <c r="AB9" s="25"/>
      <c r="AC9" s="25"/>
    </row>
    <row r="12" customFormat="false" ht="18.75" hidden="false" customHeight="true" outlineLevel="0" collapsed="false">
      <c r="B12" s="3" t="s">
        <v>143</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7.25" hidden="false" customHeight="true" outlineLevel="0" collapsed="false">
      <c r="B13" s="20" t="s">
        <v>144</v>
      </c>
      <c r="C13" s="20"/>
      <c r="D13" s="20"/>
      <c r="E13" s="20"/>
      <c r="F13" s="20"/>
      <c r="G13" s="20"/>
      <c r="H13" s="20"/>
      <c r="I13" s="20"/>
      <c r="J13" s="20"/>
      <c r="K13" s="20"/>
      <c r="L13" s="20"/>
      <c r="M13" s="20"/>
      <c r="N13" s="20"/>
      <c r="O13" s="20"/>
      <c r="P13" s="20"/>
      <c r="Q13" s="20"/>
      <c r="R13" s="20"/>
      <c r="S13" s="20"/>
      <c r="T13" s="20"/>
      <c r="U13" s="20"/>
      <c r="V13" s="20"/>
      <c r="W13" s="20"/>
      <c r="X13" s="27"/>
      <c r="Y13" s="27"/>
      <c r="Z13" s="27"/>
      <c r="AA13" s="27"/>
      <c r="AB13" s="27"/>
      <c r="AC13" s="28" t="str">
        <f aca="false">IF(X13="","",IFERROR(IF(ABS(ABS(X13)-ABS('Mock B2 Ans'!X13))&lt;0.5,"✓","✗"),"✗"))</f>
        <v/>
      </c>
    </row>
    <row r="14" customFormat="false" ht="17.25" hidden="false" customHeight="true" outlineLevel="0" collapsed="false">
      <c r="B14" s="20" t="s">
        <v>145</v>
      </c>
      <c r="C14" s="20"/>
      <c r="D14" s="20"/>
      <c r="E14" s="20"/>
      <c r="F14" s="20"/>
      <c r="G14" s="20"/>
      <c r="H14" s="20"/>
      <c r="I14" s="20"/>
      <c r="J14" s="20"/>
      <c r="K14" s="20"/>
      <c r="L14" s="20"/>
      <c r="M14" s="20"/>
      <c r="N14" s="20"/>
      <c r="O14" s="20"/>
      <c r="P14" s="20"/>
      <c r="Q14" s="20"/>
      <c r="R14" s="20"/>
      <c r="S14" s="20"/>
      <c r="T14" s="20"/>
      <c r="U14" s="20"/>
      <c r="V14" s="20"/>
      <c r="W14" s="20"/>
      <c r="X14" s="27"/>
      <c r="Y14" s="27"/>
      <c r="Z14" s="27"/>
      <c r="AA14" s="27"/>
      <c r="AB14" s="27"/>
      <c r="AC14" s="28" t="str">
        <f aca="false">IF(X14="","",IFERROR(IF(ABS(ABS(X14)-ABS('Mock B2 Ans'!X14))&lt;0.5,"✓","✗"),"✗"))</f>
        <v/>
      </c>
    </row>
    <row r="15" customFormat="false" ht="17.25" hidden="false" customHeight="true" outlineLevel="0" collapsed="false">
      <c r="B15" s="20" t="s">
        <v>146</v>
      </c>
      <c r="C15" s="20"/>
      <c r="D15" s="20"/>
      <c r="E15" s="20"/>
      <c r="F15" s="20"/>
      <c r="G15" s="20"/>
      <c r="H15" s="20"/>
      <c r="I15" s="20"/>
      <c r="J15" s="20"/>
      <c r="K15" s="20"/>
      <c r="L15" s="20"/>
      <c r="M15" s="20"/>
      <c r="N15" s="20"/>
      <c r="O15" s="20"/>
      <c r="P15" s="20"/>
      <c r="Q15" s="20"/>
      <c r="R15" s="20"/>
      <c r="S15" s="20"/>
      <c r="T15" s="20"/>
      <c r="U15" s="20"/>
      <c r="V15" s="20"/>
      <c r="W15" s="20"/>
      <c r="X15" s="27"/>
      <c r="Y15" s="27"/>
      <c r="Z15" s="27"/>
      <c r="AA15" s="27"/>
      <c r="AB15" s="27"/>
      <c r="AC15" s="28" t="str">
        <f aca="false">IF(X15="","",IFERROR(IF(ABS(ABS(X15)-ABS('Mock B2 Ans'!X15))&lt;0.5,"✓","✗"),"✗"))</f>
        <v/>
      </c>
    </row>
    <row r="17" customFormat="false" ht="18.75" hidden="false" customHeight="true" outlineLevel="0" collapsed="false">
      <c r="B17" s="3" t="s">
        <v>147</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5" hidden="false" customHeight="false" outlineLevel="0" collapsed="false">
      <c r="B18" s="18" t="s">
        <v>148</v>
      </c>
      <c r="C18" s="18"/>
      <c r="D18" s="18"/>
      <c r="E18" s="34" t="s">
        <v>149</v>
      </c>
      <c r="F18" s="34"/>
      <c r="G18" s="34"/>
      <c r="H18" s="34"/>
      <c r="I18" s="34"/>
      <c r="J18" s="34"/>
      <c r="K18" s="34"/>
      <c r="L18" s="34"/>
      <c r="M18" s="34"/>
      <c r="N18" s="34"/>
      <c r="O18" s="34"/>
      <c r="P18" s="34"/>
      <c r="Q18" s="34"/>
      <c r="R18" s="34"/>
      <c r="S18" s="34"/>
      <c r="T18" s="34"/>
      <c r="U18" s="34"/>
      <c r="V18" s="34"/>
      <c r="W18" s="34"/>
      <c r="X18" s="34"/>
      <c r="Y18" s="34"/>
      <c r="Z18" s="34"/>
      <c r="AA18" s="34"/>
      <c r="AB18" s="34"/>
      <c r="AC18" s="34"/>
      <c r="AD18" s="40" t="s">
        <v>150</v>
      </c>
      <c r="AE18" s="40"/>
      <c r="AF18" s="40"/>
    </row>
    <row r="19" customFormat="false" ht="15" hidden="false" customHeight="false" outlineLevel="0" collapsed="false">
      <c r="B19" s="41" t="s">
        <v>118</v>
      </c>
      <c r="C19" s="41"/>
      <c r="D19" s="41"/>
      <c r="E19" s="41" t="s">
        <v>119</v>
      </c>
      <c r="F19" s="41"/>
      <c r="G19" s="41"/>
      <c r="H19" s="41"/>
      <c r="I19" s="41"/>
      <c r="J19" s="41"/>
      <c r="K19" s="41"/>
      <c r="L19" s="42" t="s">
        <v>151</v>
      </c>
      <c r="M19" s="43" t="s">
        <v>152</v>
      </c>
      <c r="N19" s="43"/>
      <c r="O19" s="43"/>
      <c r="P19" s="43"/>
      <c r="Q19" s="44"/>
      <c r="R19" s="45" t="s">
        <v>118</v>
      </c>
      <c r="S19" s="45"/>
      <c r="T19" s="45"/>
      <c r="U19" s="41" t="s">
        <v>119</v>
      </c>
      <c r="V19" s="41"/>
      <c r="W19" s="41"/>
      <c r="X19" s="41"/>
      <c r="Y19" s="41"/>
      <c r="Z19" s="41"/>
      <c r="AA19" s="41"/>
      <c r="AB19" s="42" t="s">
        <v>151</v>
      </c>
      <c r="AC19" s="43" t="s">
        <v>152</v>
      </c>
      <c r="AD19" s="43"/>
      <c r="AE19" s="43"/>
      <c r="AF19" s="43"/>
    </row>
    <row r="20" customFormat="false" ht="16.5" hidden="false" customHeight="true" outlineLevel="0" collapsed="false">
      <c r="B20" s="46" t="s">
        <v>153</v>
      </c>
      <c r="C20" s="46"/>
      <c r="D20" s="46"/>
      <c r="M20" s="47" t="s">
        <v>123</v>
      </c>
      <c r="N20" s="47"/>
      <c r="O20" s="47"/>
      <c r="R20" s="48" t="s">
        <v>153</v>
      </c>
      <c r="S20" s="48"/>
      <c r="T20" s="48"/>
      <c r="AC20" s="47" t="s">
        <v>123</v>
      </c>
      <c r="AD20" s="47"/>
      <c r="AE20" s="47"/>
    </row>
    <row r="21" customFormat="false" ht="17.25" hidden="false" customHeight="true" outlineLevel="0" collapsed="false">
      <c r="B21" s="6" t="s">
        <v>154</v>
      </c>
      <c r="C21" s="6"/>
      <c r="D21" s="6"/>
      <c r="E21" s="38" t="s">
        <v>155</v>
      </c>
      <c r="F21" s="38"/>
      <c r="G21" s="38"/>
      <c r="H21" s="38"/>
      <c r="I21" s="38"/>
      <c r="J21" s="38"/>
      <c r="K21" s="38"/>
      <c r="L21" s="49" t="s">
        <v>156</v>
      </c>
      <c r="M21" s="27"/>
      <c r="N21" s="27"/>
      <c r="O21" s="27"/>
      <c r="P21" s="28" t="str">
        <f aca="false">IF(M21="","",IFERROR(IF(ABS(ABS(M21)-ABS('Mock B2 Ans'!M21))&lt;0.5,"✓","✗"),"✗"))</f>
        <v/>
      </c>
      <c r="R21" s="50" t="s">
        <v>154</v>
      </c>
      <c r="S21" s="50"/>
      <c r="T21" s="50"/>
      <c r="U21" s="38" t="s">
        <v>157</v>
      </c>
      <c r="V21" s="38"/>
      <c r="W21" s="38"/>
      <c r="X21" s="38"/>
      <c r="Y21" s="38"/>
      <c r="Z21" s="38"/>
      <c r="AA21" s="38"/>
      <c r="AB21" s="49" t="s">
        <v>156</v>
      </c>
      <c r="AC21" s="27"/>
      <c r="AD21" s="27"/>
      <c r="AE21" s="27"/>
      <c r="AF21" s="28" t="str">
        <f aca="false">IF(AC21="","",IFERROR(IF(ABS(ABS(AC21)-ABS('Mock B2 Ans'!AC21))&lt;0.5,"✓","✗"),"✗"))</f>
        <v/>
      </c>
    </row>
    <row r="22" customFormat="false" ht="17.25" hidden="false" customHeight="true" outlineLevel="0" collapsed="false">
      <c r="R22" s="50" t="s">
        <v>154</v>
      </c>
      <c r="S22" s="50"/>
      <c r="T22" s="50"/>
      <c r="U22" s="38" t="s">
        <v>158</v>
      </c>
      <c r="V22" s="38"/>
      <c r="W22" s="38"/>
      <c r="X22" s="38"/>
      <c r="Y22" s="38"/>
      <c r="Z22" s="38"/>
      <c r="AA22" s="38"/>
      <c r="AB22" s="49" t="s">
        <v>159</v>
      </c>
      <c r="AC22" s="27"/>
      <c r="AD22" s="27"/>
      <c r="AE22" s="27"/>
      <c r="AF22" s="28" t="str">
        <f aca="false">IF(AC22="","",IFERROR(IF(ABS(ABS(AC22)-ABS('Mock B2 Ans'!AC22))&lt;0.5,"✓","✗"),"✗"))</f>
        <v/>
      </c>
    </row>
    <row r="23" customFormat="false" ht="17.25" hidden="false" customHeight="true" outlineLevel="0" collapsed="false">
      <c r="R23" s="50" t="s">
        <v>124</v>
      </c>
      <c r="S23" s="50"/>
      <c r="T23" s="50"/>
      <c r="U23" s="38" t="s">
        <v>160</v>
      </c>
      <c r="V23" s="38"/>
      <c r="W23" s="38"/>
      <c r="X23" s="38"/>
      <c r="Y23" s="38"/>
      <c r="Z23" s="38"/>
      <c r="AA23" s="38"/>
      <c r="AB23" s="49" t="s">
        <v>161</v>
      </c>
      <c r="AC23" s="27"/>
      <c r="AD23" s="27"/>
      <c r="AE23" s="27"/>
      <c r="AF23" s="28" t="str">
        <f aca="false">IF(AC23="","",IFERROR(IF(ABS(ABS(AC23)-ABS('Mock B2 Ans'!AC23))&lt;0.5,"✓","✗"),"✗"))</f>
        <v/>
      </c>
    </row>
    <row r="24" customFormat="false" ht="16.5" hidden="false" customHeight="true" outlineLevel="0" collapsed="false">
      <c r="M24" s="51"/>
      <c r="N24" s="51"/>
      <c r="O24" s="51"/>
      <c r="P24" s="28" t="str">
        <f aca="false">IF(M24="","",IFERROR(IF(ABS(ABS(M24)-ABS('Mock B2 Ans'!M24))&lt;0.5,"✓","✗"),"✗"))</f>
        <v/>
      </c>
      <c r="R24" s="52"/>
      <c r="AC24" s="51"/>
      <c r="AD24" s="51"/>
      <c r="AE24" s="51"/>
      <c r="AF24" s="28" t="str">
        <f aca="false">IF(AC24="","",IFERROR(IF(ABS(ABS(AC24)-ABS('Mock B2 Ans'!AC24))&lt;0.5,"✓","✗"),"✗"))</f>
        <v/>
      </c>
    </row>
    <row r="26" customFormat="false" ht="18.75" hidden="false" customHeight="true" outlineLevel="0" collapsed="false">
      <c r="B26" s="3" t="s">
        <v>162</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ustomFormat="false" ht="17.25" hidden="false" customHeight="true" outlineLevel="0" collapsed="false">
      <c r="B27" s="20" t="s">
        <v>163</v>
      </c>
      <c r="C27" s="20"/>
      <c r="D27" s="20"/>
      <c r="E27" s="20"/>
      <c r="F27" s="20"/>
      <c r="G27" s="20"/>
      <c r="H27" s="20"/>
      <c r="I27" s="20"/>
      <c r="J27" s="20"/>
      <c r="K27" s="20"/>
      <c r="L27" s="20"/>
      <c r="M27" s="20"/>
      <c r="N27" s="20"/>
      <c r="O27" s="20"/>
      <c r="P27" s="20"/>
      <c r="Q27" s="20"/>
      <c r="R27" s="20"/>
      <c r="S27" s="20"/>
      <c r="T27" s="21"/>
      <c r="U27" s="21"/>
      <c r="V27" s="21"/>
      <c r="W27" s="21"/>
      <c r="X27" s="21"/>
      <c r="Y27" s="21"/>
      <c r="Z27" s="21"/>
      <c r="AA27" s="21"/>
      <c r="AB27" s="21"/>
      <c r="AC27" s="22" t="str">
        <f aca="false">IF(T27="","",IF(LOWER(TRIM(T27))=LOWER('Mock B2 Ans'!T27),"✓","✗"))</f>
        <v/>
      </c>
    </row>
    <row r="28" customFormat="false" ht="17.25" hidden="false" customHeight="true" outlineLevel="0" collapsed="false">
      <c r="B28" s="20" t="s">
        <v>164</v>
      </c>
      <c r="C28" s="20"/>
      <c r="D28" s="20"/>
      <c r="E28" s="20"/>
      <c r="F28" s="20"/>
      <c r="G28" s="20"/>
      <c r="H28" s="20"/>
      <c r="I28" s="20"/>
      <c r="J28" s="20"/>
      <c r="K28" s="20"/>
      <c r="L28" s="20"/>
      <c r="M28" s="20"/>
      <c r="N28" s="20"/>
      <c r="O28" s="20"/>
      <c r="P28" s="20"/>
      <c r="Q28" s="20"/>
      <c r="R28" s="20"/>
      <c r="S28" s="20"/>
      <c r="T28" s="21"/>
      <c r="U28" s="21"/>
      <c r="V28" s="21"/>
      <c r="W28" s="21"/>
      <c r="X28" s="21"/>
      <c r="Y28" s="21"/>
      <c r="Z28" s="21"/>
      <c r="AA28" s="21"/>
      <c r="AB28" s="21"/>
      <c r="AC28" s="22" t="str">
        <f aca="false">IF(T28="","",IF(OR(LOWER(TRIM(T28))="accruals",LOWER(TRIM(T28))="prudence"),"✓","✗"))</f>
        <v/>
      </c>
    </row>
  </sheetData>
  <mergeCells count="53">
    <mergeCell ref="B1:AF1"/>
    <mergeCell ref="B2:AF2"/>
    <mergeCell ref="B3:G3"/>
    <mergeCell ref="H3:AF3"/>
    <mergeCell ref="B5:AF5"/>
    <mergeCell ref="B6:W6"/>
    <mergeCell ref="X6:AC6"/>
    <mergeCell ref="B7:W7"/>
    <mergeCell ref="X7:AC7"/>
    <mergeCell ref="B8:W8"/>
    <mergeCell ref="X8:AC8"/>
    <mergeCell ref="B9:W9"/>
    <mergeCell ref="X9:AC9"/>
    <mergeCell ref="B12:AF12"/>
    <mergeCell ref="B13:W13"/>
    <mergeCell ref="X13:AB13"/>
    <mergeCell ref="B14:W14"/>
    <mergeCell ref="X14:AB14"/>
    <mergeCell ref="B15:W15"/>
    <mergeCell ref="X15:AB15"/>
    <mergeCell ref="B17:AF17"/>
    <mergeCell ref="B18:D18"/>
    <mergeCell ref="E18:AC18"/>
    <mergeCell ref="AD18:AF18"/>
    <mergeCell ref="B19:D19"/>
    <mergeCell ref="E19:K19"/>
    <mergeCell ref="M19:P19"/>
    <mergeCell ref="R19:T19"/>
    <mergeCell ref="U19:AA19"/>
    <mergeCell ref="AC19:AF19"/>
    <mergeCell ref="B20:D20"/>
    <mergeCell ref="M20:O20"/>
    <mergeCell ref="R20:T20"/>
    <mergeCell ref="AC20:AE20"/>
    <mergeCell ref="B21:D21"/>
    <mergeCell ref="E21:K21"/>
    <mergeCell ref="M21:O21"/>
    <mergeCell ref="R21:T21"/>
    <mergeCell ref="U21:AA21"/>
    <mergeCell ref="AC21:AE21"/>
    <mergeCell ref="R22:T22"/>
    <mergeCell ref="U22:AA22"/>
    <mergeCell ref="AC22:AE22"/>
    <mergeCell ref="R23:T23"/>
    <mergeCell ref="U23:AA23"/>
    <mergeCell ref="AC23:AE23"/>
    <mergeCell ref="M24:O24"/>
    <mergeCell ref="AC24:AE24"/>
    <mergeCell ref="B26:AF26"/>
    <mergeCell ref="B27:S27"/>
    <mergeCell ref="T27:AB27"/>
    <mergeCell ref="B28:S28"/>
    <mergeCell ref="T28:AB28"/>
  </mergeCells>
  <conditionalFormatting sqref="B4:AG29">
    <cfRule type="cellIs" priority="2" operator="equal" aboveAverage="0" equalAverage="0" bottom="0" percent="0" rank="0" text="" dxfId="0">
      <formula>"✓"</formula>
    </cfRule>
    <cfRule type="cellIs" priority="3" operator="equal" aboveAverage="0" equalAverage="0" bottom="0" percent="0" rank="0" text="" dxfId="1">
      <formula>"✗"</formula>
    </cfRule>
  </conditionalFormatting>
  <dataValidations count="2">
    <dataValidation allowBlank="true" errorStyle="stop" operator="between" showDropDown="false" showErrorMessage="false" showInputMessage="false" sqref="T27" type="list">
      <formula1>"Expense in the SPL,Other income in the SPL,Current liability,Deducted from capital"</formula1>
      <formula2>0</formula2>
    </dataValidation>
    <dataValidation allowBlank="true" errorStyle="stop" operator="between" showDropDown="false" showErrorMessage="false" showInputMessage="false" sqref="T28" type="list">
      <formula1>"Business entity,Duality,Money measurement,Historical cost,Going concern,Realisation,Accruals,Consistency,Prudence,Materiality"</formula1>
      <formula2>0</formula2>
    </dataValidation>
  </dataValidation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B1:AF39"/>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44</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7" t="s">
        <v>53</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row>
    <row r="3" customFormat="false" ht="15" hidden="false" customHeight="false" outlineLevel="0" collapsed="false">
      <c r="B3" s="18" t="s">
        <v>54</v>
      </c>
      <c r="C3" s="18"/>
      <c r="D3" s="18"/>
      <c r="E3" s="18"/>
      <c r="F3" s="18"/>
      <c r="G3" s="18"/>
      <c r="H3" s="18" t="str">
        <f aca="false">COUNTIF(B4:AG40,"✓")&amp;" correct out of 13 answer cells"</f>
        <v>0 correct out of 13 answer cells</v>
      </c>
      <c r="I3" s="18"/>
      <c r="J3" s="18"/>
      <c r="K3" s="18"/>
      <c r="L3" s="18"/>
      <c r="M3" s="18"/>
      <c r="N3" s="18"/>
      <c r="O3" s="18"/>
      <c r="P3" s="18"/>
      <c r="Q3" s="18"/>
      <c r="R3" s="18"/>
      <c r="S3" s="18"/>
      <c r="T3" s="18"/>
      <c r="U3" s="18"/>
      <c r="V3" s="18"/>
      <c r="W3" s="18"/>
      <c r="X3" s="18"/>
      <c r="Y3" s="18"/>
      <c r="Z3" s="18"/>
      <c r="AA3" s="18"/>
      <c r="AB3" s="18"/>
      <c r="AC3" s="18"/>
      <c r="AD3" s="18"/>
      <c r="AE3" s="18"/>
      <c r="AF3" s="18"/>
    </row>
    <row r="5" customFormat="false" ht="16.5" hidden="false" customHeight="true" outlineLevel="0" collapsed="false">
      <c r="B5" s="4" t="s">
        <v>165</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6.5" hidden="false" customHeight="true" outlineLevel="0" collapsed="false">
      <c r="C6" s="4" t="s">
        <v>166</v>
      </c>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ustomFormat="false" ht="16.5" hidden="false" customHeight="true" outlineLevel="0" collapsed="false">
      <c r="C7" s="4" t="s">
        <v>167</v>
      </c>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ustomFormat="false" ht="15" hidden="false" customHeight="false" outlineLevel="0" collapsed="false">
      <c r="B8" s="23" t="s">
        <v>107</v>
      </c>
      <c r="C8" s="23"/>
      <c r="D8" s="23"/>
      <c r="E8" s="23"/>
      <c r="F8" s="23"/>
      <c r="G8" s="23"/>
      <c r="H8" s="23"/>
      <c r="I8" s="23"/>
      <c r="J8" s="23"/>
      <c r="K8" s="23"/>
      <c r="L8" s="23"/>
      <c r="M8" s="23"/>
      <c r="N8" s="23"/>
      <c r="O8" s="23"/>
      <c r="P8" s="23"/>
      <c r="Q8" s="23"/>
      <c r="R8" s="23"/>
      <c r="S8" s="23"/>
      <c r="T8" s="23"/>
      <c r="U8" s="23"/>
      <c r="V8" s="23"/>
      <c r="W8" s="23"/>
      <c r="X8" s="24" t="s">
        <v>108</v>
      </c>
      <c r="Y8" s="24"/>
      <c r="Z8" s="24"/>
      <c r="AA8" s="24"/>
      <c r="AB8" s="24"/>
      <c r="AC8" s="24"/>
    </row>
    <row r="9" customFormat="false" ht="16.5" hidden="false" customHeight="true" outlineLevel="0" collapsed="false">
      <c r="B9" s="12" t="s">
        <v>168</v>
      </c>
      <c r="C9" s="12"/>
      <c r="D9" s="12"/>
      <c r="E9" s="12"/>
      <c r="F9" s="12"/>
      <c r="G9" s="12"/>
      <c r="H9" s="12"/>
      <c r="I9" s="12"/>
      <c r="J9" s="12"/>
      <c r="K9" s="12"/>
      <c r="L9" s="12"/>
      <c r="M9" s="12"/>
      <c r="N9" s="12"/>
      <c r="O9" s="12"/>
      <c r="P9" s="12"/>
      <c r="Q9" s="12"/>
      <c r="R9" s="12"/>
      <c r="S9" s="12"/>
      <c r="T9" s="12"/>
      <c r="U9" s="12"/>
      <c r="V9" s="12"/>
      <c r="W9" s="12"/>
      <c r="X9" s="25" t="n">
        <v>900</v>
      </c>
      <c r="Y9" s="25"/>
      <c r="Z9" s="25"/>
      <c r="AA9" s="25"/>
      <c r="AB9" s="25"/>
      <c r="AC9" s="25"/>
    </row>
    <row r="10" customFormat="false" ht="16.5" hidden="false" customHeight="true" outlineLevel="0" collapsed="false">
      <c r="B10" s="12" t="s">
        <v>169</v>
      </c>
      <c r="C10" s="12"/>
      <c r="D10" s="12"/>
      <c r="E10" s="12"/>
      <c r="F10" s="12"/>
      <c r="G10" s="12"/>
      <c r="H10" s="12"/>
      <c r="I10" s="12"/>
      <c r="J10" s="12"/>
      <c r="K10" s="12"/>
      <c r="L10" s="12"/>
      <c r="M10" s="12"/>
      <c r="N10" s="12"/>
      <c r="O10" s="12"/>
      <c r="P10" s="12"/>
      <c r="Q10" s="12"/>
      <c r="R10" s="12"/>
      <c r="S10" s="12"/>
      <c r="T10" s="12"/>
      <c r="U10" s="12"/>
      <c r="V10" s="12"/>
      <c r="W10" s="12"/>
      <c r="X10" s="25" t="n">
        <v>9900</v>
      </c>
      <c r="Y10" s="25"/>
      <c r="Z10" s="25"/>
      <c r="AA10" s="25"/>
      <c r="AB10" s="25"/>
      <c r="AC10" s="25"/>
    </row>
    <row r="11" customFormat="false" ht="16.5" hidden="false" customHeight="true" outlineLevel="0" collapsed="false">
      <c r="B11" s="12" t="s">
        <v>170</v>
      </c>
      <c r="C11" s="12"/>
      <c r="D11" s="12"/>
      <c r="E11" s="12"/>
      <c r="F11" s="12"/>
      <c r="G11" s="12"/>
      <c r="H11" s="12"/>
      <c r="I11" s="12"/>
      <c r="J11" s="12"/>
      <c r="K11" s="12"/>
      <c r="L11" s="12"/>
      <c r="M11" s="12"/>
      <c r="N11" s="12"/>
      <c r="O11" s="12"/>
      <c r="P11" s="12"/>
      <c r="Q11" s="12"/>
      <c r="R11" s="12"/>
      <c r="S11" s="12"/>
      <c r="T11" s="12"/>
      <c r="U11" s="12"/>
      <c r="V11" s="12"/>
      <c r="W11" s="12"/>
      <c r="X11" s="25" t="n">
        <v>400</v>
      </c>
      <c r="Y11" s="25"/>
      <c r="Z11" s="25"/>
      <c r="AA11" s="25"/>
      <c r="AB11" s="25"/>
      <c r="AC11" s="25"/>
    </row>
    <row r="12" customFormat="false" ht="16.5" hidden="false" customHeight="true" outlineLevel="0" collapsed="false">
      <c r="B12" s="12" t="s">
        <v>171</v>
      </c>
      <c r="C12" s="12"/>
      <c r="D12" s="12"/>
      <c r="E12" s="12"/>
      <c r="F12" s="12"/>
      <c r="G12" s="12"/>
      <c r="H12" s="12"/>
      <c r="I12" s="12"/>
      <c r="J12" s="12"/>
      <c r="K12" s="12"/>
      <c r="L12" s="12"/>
      <c r="M12" s="12"/>
      <c r="N12" s="12"/>
      <c r="O12" s="12"/>
      <c r="P12" s="12"/>
      <c r="Q12" s="12"/>
      <c r="R12" s="12"/>
      <c r="S12" s="12"/>
      <c r="T12" s="12"/>
      <c r="U12" s="12"/>
      <c r="V12" s="12"/>
      <c r="W12" s="12"/>
      <c r="X12" s="25" t="n">
        <v>3000</v>
      </c>
      <c r="Y12" s="25"/>
      <c r="Z12" s="25"/>
      <c r="AA12" s="25"/>
      <c r="AB12" s="25"/>
      <c r="AC12" s="25"/>
    </row>
    <row r="13" customFormat="false" ht="16.5" hidden="false" customHeight="true" outlineLevel="0" collapsed="false">
      <c r="B13" s="12" t="s">
        <v>172</v>
      </c>
      <c r="C13" s="12"/>
      <c r="D13" s="12"/>
      <c r="E13" s="12"/>
      <c r="F13" s="12"/>
      <c r="G13" s="12"/>
      <c r="H13" s="12"/>
      <c r="I13" s="12"/>
      <c r="J13" s="12"/>
      <c r="K13" s="12"/>
      <c r="L13" s="12"/>
      <c r="M13" s="12"/>
      <c r="N13" s="12"/>
      <c r="O13" s="12"/>
      <c r="P13" s="12"/>
      <c r="Q13" s="12"/>
      <c r="R13" s="12"/>
      <c r="S13" s="12"/>
      <c r="T13" s="12"/>
      <c r="U13" s="12"/>
      <c r="V13" s="12"/>
      <c r="W13" s="12"/>
      <c r="X13" s="53" t="n">
        <v>9</v>
      </c>
      <c r="Y13" s="53"/>
      <c r="Z13" s="53"/>
      <c r="AA13" s="53"/>
      <c r="AB13" s="53"/>
      <c r="AC13" s="53"/>
    </row>
    <row r="16" customFormat="false" ht="18.75" hidden="false" customHeight="true" outlineLevel="0" collapsed="false">
      <c r="B16" s="3" t="s">
        <v>173</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17.25" hidden="false" customHeight="true" outlineLevel="0" collapsed="false">
      <c r="B17" s="20" t="s">
        <v>174</v>
      </c>
      <c r="C17" s="20"/>
      <c r="D17" s="20"/>
      <c r="E17" s="20"/>
      <c r="F17" s="20"/>
      <c r="G17" s="20"/>
      <c r="H17" s="20"/>
      <c r="I17" s="20"/>
      <c r="J17" s="20"/>
      <c r="K17" s="20"/>
      <c r="L17" s="20"/>
      <c r="M17" s="20"/>
      <c r="N17" s="20"/>
      <c r="O17" s="20"/>
      <c r="P17" s="20"/>
      <c r="Q17" s="20"/>
      <c r="R17" s="20"/>
      <c r="S17" s="20"/>
      <c r="T17" s="20"/>
      <c r="U17" s="20"/>
      <c r="V17" s="20"/>
      <c r="W17" s="20"/>
      <c r="X17" s="27"/>
      <c r="Y17" s="27"/>
      <c r="Z17" s="27"/>
      <c r="AA17" s="27"/>
      <c r="AB17" s="27"/>
      <c r="AC17" s="28" t="str">
        <f aca="false">IF(X17="","",IFERROR(IF(ABS(ABS(X17)-ABS('Mock B3 Ans'!X17))&lt;0.5,"✓","✗"),"✗"))</f>
        <v/>
      </c>
    </row>
    <row r="18" customFormat="false" ht="17.25" hidden="false" customHeight="true" outlineLevel="0" collapsed="false">
      <c r="B18" s="20" t="s">
        <v>175</v>
      </c>
      <c r="C18" s="20"/>
      <c r="D18" s="20"/>
      <c r="E18" s="20"/>
      <c r="F18" s="20"/>
      <c r="G18" s="20"/>
      <c r="H18" s="20"/>
      <c r="I18" s="20"/>
      <c r="J18" s="20"/>
      <c r="K18" s="20"/>
      <c r="L18" s="20"/>
      <c r="M18" s="20"/>
      <c r="N18" s="20"/>
      <c r="O18" s="20"/>
      <c r="P18" s="20"/>
      <c r="Q18" s="20"/>
      <c r="R18" s="20"/>
      <c r="S18" s="20"/>
      <c r="T18" s="20"/>
      <c r="U18" s="20"/>
      <c r="V18" s="20"/>
      <c r="W18" s="20"/>
      <c r="X18" s="27"/>
      <c r="Y18" s="27"/>
      <c r="Z18" s="27"/>
      <c r="AA18" s="27"/>
      <c r="AB18" s="27"/>
      <c r="AC18" s="28" t="str">
        <f aca="false">IF(X18="","",IFERROR(IF(ABS(ABS(X18)-ABS('Mock B3 Ans'!X18))&lt;0.5,"✓","✗"),"✗"))</f>
        <v/>
      </c>
    </row>
    <row r="19" customFormat="false" ht="17.25" hidden="false" customHeight="true" outlineLevel="0" collapsed="false">
      <c r="B19" s="20" t="s">
        <v>176</v>
      </c>
      <c r="C19" s="20"/>
      <c r="D19" s="20"/>
      <c r="E19" s="20"/>
      <c r="F19" s="20"/>
      <c r="G19" s="20"/>
      <c r="H19" s="20"/>
      <c r="I19" s="20"/>
      <c r="J19" s="20"/>
      <c r="K19" s="20"/>
      <c r="L19" s="20"/>
      <c r="M19" s="20"/>
      <c r="N19" s="20"/>
      <c r="O19" s="20"/>
      <c r="P19" s="20"/>
      <c r="Q19" s="20"/>
      <c r="R19" s="20"/>
      <c r="S19" s="20"/>
      <c r="T19" s="20"/>
      <c r="U19" s="20"/>
      <c r="V19" s="20"/>
      <c r="W19" s="20"/>
      <c r="X19" s="27"/>
      <c r="Y19" s="27"/>
      <c r="Z19" s="27"/>
      <c r="AA19" s="27"/>
      <c r="AB19" s="27"/>
      <c r="AC19" s="28" t="str">
        <f aca="false">IF(X19="","",IFERROR(IF(ABS(ABS(X19)-ABS('Mock B3 Ans'!X19))&lt;0.5,"✓","✗"),"✗"))</f>
        <v/>
      </c>
    </row>
    <row r="20" customFormat="false" ht="17.25" hidden="false" customHeight="true" outlineLevel="0" collapsed="false">
      <c r="B20" s="20" t="s">
        <v>177</v>
      </c>
      <c r="C20" s="20"/>
      <c r="D20" s="20"/>
      <c r="E20" s="20"/>
      <c r="F20" s="20"/>
      <c r="G20" s="20"/>
      <c r="H20" s="20"/>
      <c r="I20" s="20"/>
      <c r="J20" s="20"/>
      <c r="K20" s="20"/>
      <c r="L20" s="20"/>
      <c r="M20" s="20"/>
      <c r="N20" s="20"/>
      <c r="O20" s="20"/>
      <c r="P20" s="20"/>
      <c r="Q20" s="20"/>
      <c r="R20" s="20"/>
      <c r="S20" s="20"/>
      <c r="T20" s="20"/>
      <c r="U20" s="20"/>
      <c r="V20" s="20"/>
      <c r="W20" s="20"/>
      <c r="X20" s="27"/>
      <c r="Y20" s="27"/>
      <c r="Z20" s="27"/>
      <c r="AA20" s="27"/>
      <c r="AB20" s="27"/>
      <c r="AC20" s="28" t="str">
        <f aca="false">IF(X20="","",IFERROR(IF(ABS(ABS(X20)-ABS('Mock B3 Ans'!X20))&lt;0.5,"✓","✗"),"✗"))</f>
        <v/>
      </c>
    </row>
    <row r="22" customFormat="false" ht="18.75" hidden="false" customHeight="true" outlineLevel="0" collapsed="false">
      <c r="B22" s="3" t="s">
        <v>178</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5" hidden="false" customHeight="false" outlineLevel="0" collapsed="false">
      <c r="B23" s="18" t="s">
        <v>148</v>
      </c>
      <c r="C23" s="18"/>
      <c r="D23" s="18"/>
      <c r="E23" s="34" t="s">
        <v>179</v>
      </c>
      <c r="F23" s="34"/>
      <c r="G23" s="34"/>
      <c r="H23" s="34"/>
      <c r="I23" s="34"/>
      <c r="J23" s="34"/>
      <c r="K23" s="34"/>
      <c r="L23" s="34"/>
      <c r="M23" s="34"/>
      <c r="N23" s="34"/>
      <c r="O23" s="34"/>
      <c r="P23" s="34"/>
      <c r="Q23" s="34"/>
      <c r="R23" s="34"/>
      <c r="S23" s="34"/>
      <c r="T23" s="34"/>
      <c r="U23" s="34"/>
      <c r="V23" s="34"/>
      <c r="W23" s="34"/>
      <c r="X23" s="34"/>
      <c r="Y23" s="34"/>
      <c r="Z23" s="34"/>
      <c r="AA23" s="34"/>
      <c r="AB23" s="34"/>
      <c r="AC23" s="34"/>
      <c r="AD23" s="40" t="s">
        <v>150</v>
      </c>
      <c r="AE23" s="40"/>
      <c r="AF23" s="40"/>
    </row>
    <row r="24" customFormat="false" ht="15" hidden="false" customHeight="false" outlineLevel="0" collapsed="false">
      <c r="B24" s="41" t="s">
        <v>118</v>
      </c>
      <c r="C24" s="41"/>
      <c r="D24" s="41"/>
      <c r="E24" s="41" t="s">
        <v>119</v>
      </c>
      <c r="F24" s="41"/>
      <c r="G24" s="41"/>
      <c r="H24" s="41"/>
      <c r="I24" s="41"/>
      <c r="J24" s="41"/>
      <c r="K24" s="41"/>
      <c r="L24" s="42" t="s">
        <v>151</v>
      </c>
      <c r="M24" s="43" t="s">
        <v>152</v>
      </c>
      <c r="N24" s="43"/>
      <c r="O24" s="43"/>
      <c r="P24" s="43"/>
      <c r="Q24" s="44"/>
      <c r="R24" s="45" t="s">
        <v>118</v>
      </c>
      <c r="S24" s="45"/>
      <c r="T24" s="45"/>
      <c r="U24" s="41" t="s">
        <v>119</v>
      </c>
      <c r="V24" s="41"/>
      <c r="W24" s="41"/>
      <c r="X24" s="41"/>
      <c r="Y24" s="41"/>
      <c r="Z24" s="41"/>
      <c r="AA24" s="41"/>
      <c r="AB24" s="42" t="s">
        <v>151</v>
      </c>
      <c r="AC24" s="43" t="s">
        <v>152</v>
      </c>
      <c r="AD24" s="43"/>
      <c r="AE24" s="43"/>
      <c r="AF24" s="43"/>
    </row>
    <row r="25" customFormat="false" ht="16.5" hidden="false" customHeight="true" outlineLevel="0" collapsed="false">
      <c r="B25" s="46" t="s">
        <v>122</v>
      </c>
      <c r="C25" s="46"/>
      <c r="D25" s="46"/>
      <c r="M25" s="47" t="s">
        <v>123</v>
      </c>
      <c r="N25" s="47"/>
      <c r="O25" s="47"/>
      <c r="R25" s="48" t="s">
        <v>122</v>
      </c>
      <c r="S25" s="48"/>
      <c r="T25" s="48"/>
      <c r="AC25" s="47" t="s">
        <v>123</v>
      </c>
      <c r="AD25" s="47"/>
      <c r="AE25" s="47"/>
    </row>
    <row r="26" customFormat="false" ht="17.25" hidden="false" customHeight="true" outlineLevel="0" collapsed="false">
      <c r="B26" s="6" t="s">
        <v>154</v>
      </c>
      <c r="C26" s="6"/>
      <c r="D26" s="6"/>
      <c r="E26" s="38" t="s">
        <v>180</v>
      </c>
      <c r="F26" s="38"/>
      <c r="G26" s="38"/>
      <c r="H26" s="38"/>
      <c r="I26" s="38"/>
      <c r="J26" s="38"/>
      <c r="K26" s="38"/>
      <c r="L26" s="49"/>
      <c r="M26" s="27"/>
      <c r="N26" s="27"/>
      <c r="O26" s="27"/>
      <c r="P26" s="28" t="str">
        <f aca="false">IF(M26="","",IFERROR(IF(ABS(ABS(M26)-ABS('Mock B3 Ans'!M26))&lt;0.5,"✓","✗"),"✗"))</f>
        <v/>
      </c>
      <c r="R26" s="50" t="s">
        <v>124</v>
      </c>
      <c r="S26" s="50"/>
      <c r="T26" s="50"/>
      <c r="U26" s="38" t="s">
        <v>181</v>
      </c>
      <c r="V26" s="38"/>
      <c r="W26" s="38"/>
      <c r="X26" s="38"/>
      <c r="Y26" s="38"/>
      <c r="Z26" s="38"/>
      <c r="AA26" s="38"/>
      <c r="AB26" s="49" t="s">
        <v>156</v>
      </c>
      <c r="AC26" s="27"/>
      <c r="AD26" s="27"/>
      <c r="AE26" s="27"/>
      <c r="AF26" s="28" t="str">
        <f aca="false">IF(AC26="","",IFERROR(IF(ABS(ABS(AC26)-ABS('Mock B3 Ans'!AC26))&lt;0.5,"✓","✗"),"✗"))</f>
        <v/>
      </c>
    </row>
    <row r="27" customFormat="false" ht="17.25" hidden="false" customHeight="true" outlineLevel="0" collapsed="false">
      <c r="B27" s="6" t="s">
        <v>182</v>
      </c>
      <c r="C27" s="6"/>
      <c r="D27" s="6"/>
      <c r="E27" s="38" t="s">
        <v>158</v>
      </c>
      <c r="F27" s="38"/>
      <c r="G27" s="38"/>
      <c r="H27" s="38"/>
      <c r="I27" s="38"/>
      <c r="J27" s="38"/>
      <c r="K27" s="38"/>
      <c r="L27" s="49" t="s">
        <v>159</v>
      </c>
      <c r="M27" s="27"/>
      <c r="N27" s="27"/>
      <c r="O27" s="27"/>
      <c r="P27" s="28" t="str">
        <f aca="false">IF(M27="","",IFERROR(IF(ABS(ABS(M27)-ABS('Mock B3 Ans'!M27))&lt;0.5,"✓","✗"),"✗"))</f>
        <v/>
      </c>
      <c r="R27" s="50" t="s">
        <v>124</v>
      </c>
      <c r="S27" s="50"/>
      <c r="T27" s="50"/>
      <c r="U27" s="38" t="s">
        <v>183</v>
      </c>
      <c r="V27" s="38"/>
      <c r="W27" s="38"/>
      <c r="X27" s="38"/>
      <c r="Y27" s="38"/>
      <c r="Z27" s="38"/>
      <c r="AA27" s="38"/>
      <c r="AB27" s="49"/>
      <c r="AC27" s="27"/>
      <c r="AD27" s="27"/>
      <c r="AE27" s="27"/>
      <c r="AF27" s="28" t="str">
        <f aca="false">IF(AC27="","",IFERROR(IF(ABS(ABS(AC27)-ABS('Mock B3 Ans'!AC27))&lt;0.5,"✓","✗"),"✗"))</f>
        <v/>
      </c>
    </row>
    <row r="28" customFormat="false" ht="16.5" hidden="false" customHeight="true" outlineLevel="0" collapsed="false">
      <c r="M28" s="51"/>
      <c r="N28" s="51"/>
      <c r="O28" s="51"/>
      <c r="P28" s="28" t="str">
        <f aca="false">IF(M28="","",IFERROR(IF(ABS(ABS(M28)-ABS('Mock B3 Ans'!M28))&lt;0.5,"✓","✗"),"✗"))</f>
        <v/>
      </c>
      <c r="R28" s="52"/>
      <c r="AC28" s="51"/>
      <c r="AD28" s="51"/>
      <c r="AE28" s="51"/>
      <c r="AF28" s="28" t="str">
        <f aca="false">IF(AC28="","",IFERROR(IF(ABS(ABS(AC28)-ABS('Mock B3 Ans'!AC28))&lt;0.5,"✓","✗"),"✗"))</f>
        <v/>
      </c>
    </row>
    <row r="29" customFormat="false" ht="16.5" hidden="false" customHeight="true" outlineLevel="0" collapsed="false">
      <c r="B29" s="46" t="s">
        <v>153</v>
      </c>
      <c r="C29" s="46"/>
      <c r="D29" s="46"/>
      <c r="R29" s="52"/>
    </row>
    <row r="30" customFormat="false" ht="17.25" hidden="false" customHeight="true" outlineLevel="0" collapsed="false">
      <c r="B30" s="6" t="s">
        <v>154</v>
      </c>
      <c r="C30" s="6"/>
      <c r="D30" s="6"/>
      <c r="E30" s="38" t="s">
        <v>180</v>
      </c>
      <c r="F30" s="38"/>
      <c r="G30" s="38"/>
      <c r="H30" s="38"/>
      <c r="I30" s="38"/>
      <c r="J30" s="38"/>
      <c r="K30" s="38"/>
      <c r="L30" s="49"/>
      <c r="M30" s="27"/>
      <c r="N30" s="27"/>
      <c r="O30" s="27"/>
      <c r="P30" s="28" t="str">
        <f aca="false">IF(M30="","",IFERROR(IF(ABS(ABS(M30)-ABS('Mock B3 Ans'!M30))&lt;0.5,"✓","✗"),"✗"))</f>
        <v/>
      </c>
      <c r="R30" s="52"/>
    </row>
    <row r="32" customFormat="false" ht="18.75" hidden="false" customHeight="true" outlineLevel="0" collapsed="false">
      <c r="B32" s="3" t="s">
        <v>184</v>
      </c>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ustomFormat="false" ht="15" hidden="false" customHeight="false" outlineLevel="0" collapsed="false">
      <c r="B33" s="34" t="s">
        <v>132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customFormat="false" ht="15" hidden="false" customHeight="false" outlineLevel="0" collapsed="false">
      <c r="B34" s="35"/>
      <c r="C34" s="35"/>
      <c r="D34" s="35"/>
      <c r="E34" s="23" t="s">
        <v>119</v>
      </c>
      <c r="F34" s="23"/>
      <c r="G34" s="23"/>
      <c r="H34" s="23"/>
      <c r="I34" s="23"/>
      <c r="J34" s="23"/>
      <c r="K34" s="23"/>
      <c r="L34" s="23"/>
      <c r="M34" s="23"/>
      <c r="N34" s="23"/>
      <c r="O34" s="23"/>
      <c r="P34" s="23"/>
      <c r="Q34" s="23"/>
      <c r="R34" s="24" t="s">
        <v>123</v>
      </c>
      <c r="S34" s="24"/>
      <c r="T34" s="24"/>
      <c r="U34" s="24"/>
      <c r="V34" s="24"/>
      <c r="W34" s="24" t="s">
        <v>123</v>
      </c>
      <c r="X34" s="24"/>
      <c r="Y34" s="24"/>
      <c r="Z34" s="24"/>
      <c r="AA34" s="24"/>
      <c r="AB34" s="24" t="s">
        <v>123</v>
      </c>
      <c r="AC34" s="24"/>
      <c r="AD34" s="24"/>
      <c r="AE34" s="24"/>
      <c r="AF34" s="24"/>
    </row>
    <row r="35" customFormat="false" ht="30" hidden="false" customHeight="true" outlineLevel="0" collapsed="false">
      <c r="B35" s="35"/>
      <c r="C35" s="35"/>
      <c r="D35" s="35"/>
      <c r="E35" s="35"/>
      <c r="F35" s="35"/>
      <c r="G35" s="35"/>
      <c r="H35" s="35"/>
      <c r="I35" s="35"/>
      <c r="J35" s="35"/>
      <c r="K35" s="35"/>
      <c r="L35" s="35"/>
      <c r="M35" s="35"/>
      <c r="N35" s="35"/>
      <c r="O35" s="35"/>
      <c r="P35" s="35"/>
      <c r="Q35" s="35"/>
      <c r="R35" s="11" t="s">
        <v>133</v>
      </c>
      <c r="S35" s="11"/>
      <c r="T35" s="11"/>
      <c r="U35" s="11"/>
      <c r="V35" s="11"/>
      <c r="W35" s="11" t="s">
        <v>134</v>
      </c>
      <c r="X35" s="11"/>
      <c r="Y35" s="11"/>
      <c r="Z35" s="11"/>
      <c r="AA35" s="11"/>
      <c r="AB35" s="11" t="s">
        <v>135</v>
      </c>
      <c r="AC35" s="11"/>
      <c r="AD35" s="11"/>
      <c r="AE35" s="11"/>
      <c r="AF35" s="11"/>
    </row>
    <row r="36" customFormat="false" ht="17.25" hidden="false" customHeight="true" outlineLevel="0" collapsed="false">
      <c r="B36" s="36"/>
      <c r="C36" s="36"/>
      <c r="D36" s="36"/>
      <c r="E36" s="37" t="s">
        <v>136</v>
      </c>
      <c r="F36" s="37"/>
      <c r="G36" s="37"/>
      <c r="H36" s="37"/>
      <c r="I36" s="37"/>
      <c r="J36" s="37"/>
      <c r="K36" s="37"/>
      <c r="L36" s="37"/>
      <c r="M36" s="37"/>
      <c r="N36" s="37"/>
      <c r="O36" s="37"/>
      <c r="P36" s="37"/>
      <c r="Q36" s="37"/>
    </row>
    <row r="37" customFormat="false" ht="17.25" hidden="false" customHeight="true" outlineLevel="0" collapsed="false">
      <c r="B37" s="36"/>
      <c r="C37" s="36"/>
      <c r="D37" s="36"/>
      <c r="E37" s="38" t="s">
        <v>185</v>
      </c>
      <c r="F37" s="38"/>
      <c r="G37" s="38"/>
      <c r="H37" s="38"/>
      <c r="I37" s="38"/>
      <c r="J37" s="38"/>
      <c r="K37" s="38"/>
      <c r="L37" s="38"/>
      <c r="M37" s="38"/>
      <c r="N37" s="38"/>
      <c r="O37" s="38"/>
      <c r="P37" s="38"/>
      <c r="Q37" s="38"/>
      <c r="W37" s="27"/>
      <c r="X37" s="27"/>
      <c r="Y37" s="27"/>
      <c r="Z37" s="27"/>
      <c r="AA37" s="28" t="str">
        <f aca="false">IF(W37="","",IFERROR(IF(ABS(ABS(W37)-ABS('Mock B3 Ans'!W37))&lt;0.5,"✓","✗"),"✗"))</f>
        <v/>
      </c>
    </row>
    <row r="38" customFormat="false" ht="17.25" hidden="false" customHeight="true" outlineLevel="0" collapsed="false">
      <c r="B38" s="36" t="s">
        <v>138</v>
      </c>
      <c r="C38" s="36"/>
      <c r="D38" s="36"/>
      <c r="E38" s="37" t="s">
        <v>186</v>
      </c>
      <c r="F38" s="37"/>
      <c r="G38" s="37"/>
      <c r="H38" s="37"/>
      <c r="I38" s="37"/>
      <c r="J38" s="37"/>
      <c r="K38" s="37"/>
      <c r="L38" s="37"/>
      <c r="M38" s="37"/>
      <c r="N38" s="37"/>
      <c r="O38" s="37"/>
      <c r="P38" s="37"/>
      <c r="Q38" s="37"/>
    </row>
    <row r="39" customFormat="false" ht="17.25" hidden="false" customHeight="true" outlineLevel="0" collapsed="false">
      <c r="B39" s="36"/>
      <c r="C39" s="36"/>
      <c r="D39" s="36"/>
      <c r="E39" s="38" t="s">
        <v>187</v>
      </c>
      <c r="F39" s="38"/>
      <c r="G39" s="38"/>
      <c r="H39" s="38"/>
      <c r="I39" s="38"/>
      <c r="J39" s="38"/>
      <c r="K39" s="38"/>
      <c r="L39" s="38"/>
      <c r="M39" s="38"/>
      <c r="N39" s="38"/>
      <c r="O39" s="38"/>
      <c r="P39" s="38"/>
      <c r="Q39" s="38"/>
      <c r="W39" s="27"/>
      <c r="X39" s="27"/>
      <c r="Y39" s="27"/>
      <c r="Z39" s="27"/>
      <c r="AA39" s="28" t="str">
        <f aca="false">IF(W39="","",IFERROR(IF(ABS(ABS(W39)-ABS('Mock B3 Ans'!W39))&lt;0.5,"✓","✗"),"✗"))</f>
        <v/>
      </c>
    </row>
  </sheetData>
  <mergeCells count="82">
    <mergeCell ref="B1:AF1"/>
    <mergeCell ref="B2:AF2"/>
    <mergeCell ref="B3:G3"/>
    <mergeCell ref="H3:AF3"/>
    <mergeCell ref="B5:AF5"/>
    <mergeCell ref="C6:AF6"/>
    <mergeCell ref="C7:AF7"/>
    <mergeCell ref="B8:W8"/>
    <mergeCell ref="X8:AC8"/>
    <mergeCell ref="B9:W9"/>
    <mergeCell ref="X9:AC9"/>
    <mergeCell ref="B10:W10"/>
    <mergeCell ref="X10:AC10"/>
    <mergeCell ref="B11:W11"/>
    <mergeCell ref="X11:AC11"/>
    <mergeCell ref="B12:W12"/>
    <mergeCell ref="X12:AC12"/>
    <mergeCell ref="B13:W13"/>
    <mergeCell ref="X13:AC13"/>
    <mergeCell ref="B16:AF16"/>
    <mergeCell ref="B17:W17"/>
    <mergeCell ref="X17:AB17"/>
    <mergeCell ref="B18:W18"/>
    <mergeCell ref="X18:AB18"/>
    <mergeCell ref="B19:W19"/>
    <mergeCell ref="X19:AB19"/>
    <mergeCell ref="B20:W20"/>
    <mergeCell ref="X20:AB20"/>
    <mergeCell ref="B22:AF22"/>
    <mergeCell ref="B23:D23"/>
    <mergeCell ref="E23:AC23"/>
    <mergeCell ref="AD23:AF23"/>
    <mergeCell ref="B24:D24"/>
    <mergeCell ref="E24:K24"/>
    <mergeCell ref="M24:P24"/>
    <mergeCell ref="R24:T24"/>
    <mergeCell ref="U24:AA24"/>
    <mergeCell ref="AC24:AF24"/>
    <mergeCell ref="B25:D25"/>
    <mergeCell ref="M25:O25"/>
    <mergeCell ref="R25:T25"/>
    <mergeCell ref="AC25:AE25"/>
    <mergeCell ref="B26:D26"/>
    <mergeCell ref="E26:K26"/>
    <mergeCell ref="M26:O26"/>
    <mergeCell ref="R26:T26"/>
    <mergeCell ref="U26:AA26"/>
    <mergeCell ref="AC26:AE26"/>
    <mergeCell ref="B27:D27"/>
    <mergeCell ref="E27:K27"/>
    <mergeCell ref="M27:O27"/>
    <mergeCell ref="R27:T27"/>
    <mergeCell ref="U27:AA27"/>
    <mergeCell ref="AC27:AE27"/>
    <mergeCell ref="M28:O28"/>
    <mergeCell ref="AC28:AE28"/>
    <mergeCell ref="B29:D29"/>
    <mergeCell ref="B30:D30"/>
    <mergeCell ref="E30:K30"/>
    <mergeCell ref="M30:O30"/>
    <mergeCell ref="B32:AF32"/>
    <mergeCell ref="B33:AF33"/>
    <mergeCell ref="B34:D34"/>
    <mergeCell ref="E34:Q34"/>
    <mergeCell ref="R34:V34"/>
    <mergeCell ref="W34:AA34"/>
    <mergeCell ref="AB34:AF34"/>
    <mergeCell ref="B35:D35"/>
    <mergeCell ref="E35:Q35"/>
    <mergeCell ref="R35:V35"/>
    <mergeCell ref="W35:AA35"/>
    <mergeCell ref="AB35:AF35"/>
    <mergeCell ref="B36:D36"/>
    <mergeCell ref="E36:Q36"/>
    <mergeCell ref="B37:D37"/>
    <mergeCell ref="E37:Q37"/>
    <mergeCell ref="W37:Z37"/>
    <mergeCell ref="B38:D38"/>
    <mergeCell ref="E38:Q38"/>
    <mergeCell ref="B39:D39"/>
    <mergeCell ref="E39:Q39"/>
    <mergeCell ref="W39:Z39"/>
  </mergeCells>
  <conditionalFormatting sqref="B4:AG40">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B1:AF25"/>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46</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7" t="s">
        <v>53</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row>
    <row r="3" customFormat="false" ht="15" hidden="false" customHeight="false" outlineLevel="0" collapsed="false">
      <c r="B3" s="18" t="s">
        <v>54</v>
      </c>
      <c r="C3" s="18"/>
      <c r="D3" s="18"/>
      <c r="E3" s="18"/>
      <c r="F3" s="18"/>
      <c r="G3" s="18"/>
      <c r="H3" s="18" t="str">
        <f aca="false">COUNTIF(B4:AG26,"✓")&amp;" correct out of 7 answer cells"</f>
        <v>0 correct out of 7 answer cells</v>
      </c>
      <c r="I3" s="18"/>
      <c r="J3" s="18"/>
      <c r="K3" s="18"/>
      <c r="L3" s="18"/>
      <c r="M3" s="18"/>
      <c r="N3" s="18"/>
      <c r="O3" s="18"/>
      <c r="P3" s="18"/>
      <c r="Q3" s="18"/>
      <c r="R3" s="18"/>
      <c r="S3" s="18"/>
      <c r="T3" s="18"/>
      <c r="U3" s="18"/>
      <c r="V3" s="18"/>
      <c r="W3" s="18"/>
      <c r="X3" s="18"/>
      <c r="Y3" s="18"/>
      <c r="Z3" s="18"/>
      <c r="AA3" s="18"/>
      <c r="AB3" s="18"/>
      <c r="AC3" s="18"/>
      <c r="AD3" s="18"/>
      <c r="AE3" s="18"/>
      <c r="AF3" s="18"/>
    </row>
    <row r="6" customFormat="false" ht="18.75" hidden="false" customHeight="true" outlineLevel="0" collapsed="false">
      <c r="B6" s="3" t="s">
        <v>188</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ustomFormat="false" ht="17.25" hidden="false" customHeight="true" outlineLevel="0" collapsed="false">
      <c r="B7" s="20" t="s">
        <v>189</v>
      </c>
      <c r="C7" s="20"/>
      <c r="D7" s="20"/>
      <c r="E7" s="20"/>
      <c r="F7" s="20"/>
      <c r="G7" s="20"/>
      <c r="H7" s="20"/>
      <c r="I7" s="20"/>
      <c r="J7" s="20"/>
      <c r="K7" s="20"/>
      <c r="L7" s="20"/>
      <c r="M7" s="20"/>
      <c r="N7" s="20"/>
      <c r="O7" s="20"/>
      <c r="P7" s="20"/>
      <c r="Q7" s="20"/>
      <c r="R7" s="20"/>
      <c r="S7" s="20"/>
      <c r="T7" s="21"/>
      <c r="U7" s="21"/>
      <c r="V7" s="21"/>
      <c r="W7" s="21"/>
      <c r="X7" s="21"/>
      <c r="Y7" s="21"/>
      <c r="Z7" s="21"/>
      <c r="AA7" s="21"/>
      <c r="AB7" s="21"/>
      <c r="AC7" s="22" t="str">
        <f aca="false">IF(T7="","",IF(LOWER(TRIM(T7))=LOWER('Mock B4 Ans'!T7),"✓","✗"))</f>
        <v/>
      </c>
    </row>
    <row r="8" customFormat="false" ht="17.25" hidden="false" customHeight="true" outlineLevel="0" collapsed="false">
      <c r="B8" s="20" t="s">
        <v>190</v>
      </c>
      <c r="C8" s="20"/>
      <c r="D8" s="20"/>
      <c r="E8" s="20"/>
      <c r="F8" s="20"/>
      <c r="G8" s="20"/>
      <c r="H8" s="20"/>
      <c r="I8" s="20"/>
      <c r="J8" s="20"/>
      <c r="K8" s="20"/>
      <c r="L8" s="20"/>
      <c r="M8" s="20"/>
      <c r="N8" s="20"/>
      <c r="O8" s="20"/>
      <c r="P8" s="20"/>
      <c r="Q8" s="20"/>
      <c r="R8" s="20"/>
      <c r="S8" s="20"/>
      <c r="T8" s="21"/>
      <c r="U8" s="21"/>
      <c r="V8" s="21"/>
      <c r="W8" s="21"/>
      <c r="X8" s="21"/>
      <c r="Y8" s="21"/>
      <c r="Z8" s="21"/>
      <c r="AA8" s="21"/>
      <c r="AB8" s="21"/>
      <c r="AC8" s="22" t="str">
        <f aca="false">IF(T8="","",IF(LOWER(TRIM(T8))=LOWER('Mock B4 Ans'!T8),"✓","✗"))</f>
        <v/>
      </c>
    </row>
    <row r="9" customFormat="false" ht="17.25" hidden="false" customHeight="true" outlineLevel="0" collapsed="false">
      <c r="B9" s="20" t="s">
        <v>191</v>
      </c>
      <c r="C9" s="20"/>
      <c r="D9" s="20"/>
      <c r="E9" s="20"/>
      <c r="F9" s="20"/>
      <c r="G9" s="20"/>
      <c r="H9" s="20"/>
      <c r="I9" s="20"/>
      <c r="J9" s="20"/>
      <c r="K9" s="20"/>
      <c r="L9" s="20"/>
      <c r="M9" s="20"/>
      <c r="N9" s="20"/>
      <c r="O9" s="20"/>
      <c r="P9" s="20"/>
      <c r="Q9" s="20"/>
      <c r="R9" s="20"/>
      <c r="S9" s="20"/>
      <c r="T9" s="21"/>
      <c r="U9" s="21"/>
      <c r="V9" s="21"/>
      <c r="W9" s="21"/>
      <c r="X9" s="21"/>
      <c r="Y9" s="21"/>
      <c r="Z9" s="21"/>
      <c r="AA9" s="21"/>
      <c r="AB9" s="21"/>
      <c r="AC9" s="22" t="str">
        <f aca="false">IF(T9="","",IF(LOWER(TRIM(T9))=LOWER('Mock B4 Ans'!T9),"✓","✗"))</f>
        <v/>
      </c>
    </row>
    <row r="10" customFormat="false" ht="17.25" hidden="false" customHeight="true" outlineLevel="0" collapsed="false">
      <c r="B10" s="20" t="s">
        <v>192</v>
      </c>
      <c r="C10" s="20"/>
      <c r="D10" s="20"/>
      <c r="E10" s="20"/>
      <c r="F10" s="20"/>
      <c r="G10" s="20"/>
      <c r="H10" s="20"/>
      <c r="I10" s="20"/>
      <c r="J10" s="20"/>
      <c r="K10" s="20"/>
      <c r="L10" s="20"/>
      <c r="M10" s="20"/>
      <c r="N10" s="20"/>
      <c r="O10" s="20"/>
      <c r="P10" s="20"/>
      <c r="Q10" s="20"/>
      <c r="R10" s="20"/>
      <c r="S10" s="20"/>
      <c r="T10" s="21"/>
      <c r="U10" s="21"/>
      <c r="V10" s="21"/>
      <c r="W10" s="21"/>
      <c r="X10" s="21"/>
      <c r="Y10" s="21"/>
      <c r="Z10" s="21"/>
      <c r="AA10" s="21"/>
      <c r="AB10" s="21"/>
      <c r="AC10" s="22" t="str">
        <f aca="false">IF(T10="","",IF(LOWER(TRIM(T10))=LOWER('Mock B4 Ans'!T10),"✓","✗"))</f>
        <v/>
      </c>
    </row>
    <row r="12" customFormat="false" ht="18.75" hidden="false" customHeight="true" outlineLevel="0" collapsed="false">
      <c r="B12" s="3" t="s">
        <v>193</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5" hidden="false" customHeight="false" outlineLevel="0" collapsed="false">
      <c r="B13" s="23" t="s">
        <v>107</v>
      </c>
      <c r="C13" s="23"/>
      <c r="D13" s="23"/>
      <c r="E13" s="23"/>
      <c r="F13" s="23"/>
      <c r="G13" s="23"/>
      <c r="H13" s="23"/>
      <c r="I13" s="23"/>
      <c r="J13" s="23"/>
      <c r="K13" s="23"/>
      <c r="L13" s="23"/>
      <c r="M13" s="23"/>
      <c r="N13" s="23"/>
      <c r="O13" s="23"/>
      <c r="P13" s="23"/>
      <c r="Q13" s="23"/>
      <c r="R13" s="23"/>
      <c r="S13" s="23"/>
      <c r="T13" s="23"/>
      <c r="U13" s="23"/>
      <c r="V13" s="23"/>
      <c r="W13" s="23"/>
      <c r="X13" s="24" t="s">
        <v>108</v>
      </c>
      <c r="Y13" s="24"/>
      <c r="Z13" s="24"/>
      <c r="AA13" s="24"/>
      <c r="AB13" s="24"/>
      <c r="AC13" s="24"/>
    </row>
    <row r="14" customFormat="false" ht="16.5" hidden="false" customHeight="true" outlineLevel="0" collapsed="false">
      <c r="B14" s="12" t="s">
        <v>194</v>
      </c>
      <c r="C14" s="12"/>
      <c r="D14" s="12"/>
      <c r="E14" s="12"/>
      <c r="F14" s="12"/>
      <c r="G14" s="12"/>
      <c r="H14" s="12"/>
      <c r="I14" s="12"/>
      <c r="J14" s="12"/>
      <c r="K14" s="12"/>
      <c r="L14" s="12"/>
      <c r="M14" s="12"/>
      <c r="N14" s="12"/>
      <c r="O14" s="12"/>
      <c r="P14" s="12"/>
      <c r="Q14" s="12"/>
      <c r="R14" s="12"/>
      <c r="S14" s="12"/>
      <c r="T14" s="12"/>
      <c r="U14" s="12"/>
      <c r="V14" s="12"/>
      <c r="W14" s="12"/>
      <c r="X14" s="25" t="n">
        <v>3000</v>
      </c>
      <c r="Y14" s="25"/>
      <c r="Z14" s="25"/>
      <c r="AA14" s="25"/>
      <c r="AB14" s="25"/>
      <c r="AC14" s="25"/>
    </row>
    <row r="15" customFormat="false" ht="16.5" hidden="false" customHeight="true" outlineLevel="0" collapsed="false">
      <c r="B15" s="12" t="s">
        <v>195</v>
      </c>
      <c r="C15" s="12"/>
      <c r="D15" s="12"/>
      <c r="E15" s="12"/>
      <c r="F15" s="12"/>
      <c r="G15" s="12"/>
      <c r="H15" s="12"/>
      <c r="I15" s="12"/>
      <c r="J15" s="12"/>
      <c r="K15" s="12"/>
      <c r="L15" s="12"/>
      <c r="M15" s="12"/>
      <c r="N15" s="12"/>
      <c r="O15" s="12"/>
      <c r="P15" s="12"/>
      <c r="Q15" s="12"/>
      <c r="R15" s="12"/>
      <c r="S15" s="12"/>
      <c r="T15" s="12"/>
      <c r="U15" s="12"/>
      <c r="V15" s="12"/>
      <c r="W15" s="12"/>
      <c r="X15" s="25" t="n">
        <v>2600</v>
      </c>
      <c r="Y15" s="25"/>
      <c r="Z15" s="25"/>
      <c r="AA15" s="25"/>
      <c r="AB15" s="25"/>
      <c r="AC15" s="25"/>
    </row>
    <row r="16" customFormat="false" ht="16.5" hidden="false" customHeight="true" outlineLevel="0" collapsed="false">
      <c r="B16" s="12" t="s">
        <v>196</v>
      </c>
      <c r="C16" s="12"/>
      <c r="D16" s="12"/>
      <c r="E16" s="12"/>
      <c r="F16" s="12"/>
      <c r="G16" s="12"/>
      <c r="H16" s="12"/>
      <c r="I16" s="12"/>
      <c r="J16" s="12"/>
      <c r="K16" s="12"/>
      <c r="L16" s="12"/>
      <c r="M16" s="12"/>
      <c r="N16" s="12"/>
      <c r="O16" s="12"/>
      <c r="P16" s="12"/>
      <c r="Q16" s="12"/>
      <c r="R16" s="12"/>
      <c r="S16" s="12"/>
      <c r="T16" s="12"/>
      <c r="U16" s="12"/>
      <c r="V16" s="12"/>
      <c r="W16" s="12"/>
      <c r="X16" s="25" t="n">
        <v>400</v>
      </c>
      <c r="Y16" s="25"/>
      <c r="Z16" s="25"/>
      <c r="AA16" s="25"/>
      <c r="AB16" s="25"/>
      <c r="AC16" s="25"/>
    </row>
    <row r="18" customFormat="false" ht="17.25" hidden="false" customHeight="true" outlineLevel="0" collapsed="false">
      <c r="B18" s="20" t="s">
        <v>197</v>
      </c>
      <c r="C18" s="20"/>
      <c r="D18" s="20"/>
      <c r="E18" s="20"/>
      <c r="F18" s="20"/>
      <c r="G18" s="20"/>
      <c r="H18" s="20"/>
      <c r="I18" s="20"/>
      <c r="J18" s="20"/>
      <c r="K18" s="20"/>
      <c r="L18" s="20"/>
      <c r="M18" s="20"/>
      <c r="N18" s="20"/>
      <c r="O18" s="20"/>
      <c r="P18" s="20"/>
      <c r="Q18" s="20"/>
      <c r="R18" s="20"/>
      <c r="S18" s="20"/>
      <c r="T18" s="20"/>
      <c r="U18" s="20"/>
      <c r="V18" s="20"/>
      <c r="W18" s="20"/>
      <c r="X18" s="27"/>
      <c r="Y18" s="27"/>
      <c r="Z18" s="27"/>
      <c r="AA18" s="27"/>
      <c r="AB18" s="27"/>
      <c r="AC18" s="28" t="str">
        <f aca="false">IF(X18="","",IFERROR(IF(ABS(ABS(X18)-ABS('Mock B4 Ans'!X18))&lt;0.5,"✓","✗"),"✗"))</f>
        <v/>
      </c>
    </row>
    <row r="19" customFormat="false" ht="17.25" hidden="false" customHeight="true" outlineLevel="0" collapsed="false">
      <c r="B19" s="20" t="s">
        <v>198</v>
      </c>
      <c r="C19" s="20"/>
      <c r="D19" s="20"/>
      <c r="E19" s="20"/>
      <c r="F19" s="20"/>
      <c r="G19" s="20"/>
      <c r="H19" s="20"/>
      <c r="I19" s="20"/>
      <c r="J19" s="20"/>
      <c r="K19" s="20"/>
      <c r="L19" s="20"/>
      <c r="M19" s="20"/>
      <c r="N19" s="20"/>
      <c r="O19" s="20"/>
      <c r="P19" s="20"/>
      <c r="Q19" s="20"/>
      <c r="R19" s="20"/>
      <c r="S19" s="20"/>
      <c r="T19" s="20"/>
      <c r="U19" s="20"/>
      <c r="V19" s="20"/>
      <c r="W19" s="20"/>
      <c r="X19" s="27"/>
      <c r="Y19" s="27"/>
      <c r="Z19" s="27"/>
      <c r="AA19" s="27"/>
      <c r="AB19" s="27"/>
      <c r="AC19" s="28" t="str">
        <f aca="false">IF(X19="","",IFERROR(IF(ABS(ABS(X19)-ABS('Mock B4 Ans'!X19))&lt;0.5,"✓","✗"),"✗"))</f>
        <v/>
      </c>
    </row>
    <row r="20" customFormat="false" ht="17.25" hidden="false" customHeight="true" outlineLevel="0" collapsed="false">
      <c r="B20" s="20" t="s">
        <v>199</v>
      </c>
      <c r="C20" s="20"/>
      <c r="D20" s="20"/>
      <c r="E20" s="20"/>
      <c r="F20" s="20"/>
      <c r="G20" s="20"/>
      <c r="H20" s="20"/>
      <c r="I20" s="20"/>
      <c r="J20" s="20"/>
      <c r="K20" s="20"/>
      <c r="L20" s="20"/>
      <c r="M20" s="20"/>
      <c r="N20" s="20"/>
      <c r="O20" s="20"/>
      <c r="P20" s="20"/>
      <c r="Q20" s="20"/>
      <c r="R20" s="20"/>
      <c r="S20" s="20"/>
      <c r="T20" s="21"/>
      <c r="U20" s="21"/>
      <c r="V20" s="21"/>
      <c r="W20" s="21"/>
      <c r="X20" s="21"/>
      <c r="Y20" s="21"/>
      <c r="Z20" s="21"/>
      <c r="AA20" s="21"/>
      <c r="AB20" s="21"/>
      <c r="AC20" s="22" t="str">
        <f aca="false">IF(T20="","",IF(LOWER(TRIM(T20))=LOWER('Mock B4 Ans'!T20),"✓","✗"))</f>
        <v/>
      </c>
    </row>
    <row r="22" customFormat="false" ht="18.75" hidden="false" customHeight="true" outlineLevel="0" collapsed="false">
      <c r="B22" s="3" t="s">
        <v>200</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6.5" hidden="false" customHeight="true" outlineLevel="0" collapsed="false">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row>
    <row r="24" customFormat="false" ht="16.5" hidden="false" customHeight="true" outlineLevel="0" collapsed="false">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row>
    <row r="25" customFormat="false" ht="16.5" hidden="false" customHeight="true" outlineLevel="0" collapsed="false">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row>
  </sheetData>
  <mergeCells count="30">
    <mergeCell ref="B1:AF1"/>
    <mergeCell ref="B2:AF2"/>
    <mergeCell ref="B3:G3"/>
    <mergeCell ref="H3:AF3"/>
    <mergeCell ref="B6:AF6"/>
    <mergeCell ref="B7:S7"/>
    <mergeCell ref="T7:AB7"/>
    <mergeCell ref="B8:S8"/>
    <mergeCell ref="T8:AB8"/>
    <mergeCell ref="B9:S9"/>
    <mergeCell ref="T9:AB9"/>
    <mergeCell ref="B10:S10"/>
    <mergeCell ref="T10:AB10"/>
    <mergeCell ref="B12:AF12"/>
    <mergeCell ref="B13:W13"/>
    <mergeCell ref="X13:AC13"/>
    <mergeCell ref="B14:W14"/>
    <mergeCell ref="X14:AC14"/>
    <mergeCell ref="B15:W15"/>
    <mergeCell ref="X15:AC15"/>
    <mergeCell ref="B16:W16"/>
    <mergeCell ref="X16:AC16"/>
    <mergeCell ref="B18:W18"/>
    <mergeCell ref="X18:AB18"/>
    <mergeCell ref="B19:W19"/>
    <mergeCell ref="X19:AB19"/>
    <mergeCell ref="B20:S20"/>
    <mergeCell ref="T20:AB20"/>
    <mergeCell ref="B22:AF22"/>
    <mergeCell ref="B23:AF25"/>
  </mergeCells>
  <conditionalFormatting sqref="B4:AG26">
    <cfRule type="cellIs" priority="2" operator="equal" aboveAverage="0" equalAverage="0" bottom="0" percent="0" rank="0" text="" dxfId="0">
      <formula>"✓"</formula>
    </cfRule>
    <cfRule type="cellIs" priority="3" operator="equal" aboveAverage="0" equalAverage="0" bottom="0" percent="0" rank="0" text="" dxfId="1">
      <formula>"✗"</formula>
    </cfRule>
  </conditionalFormatting>
  <dataValidations count="5">
    <dataValidation allowBlank="true" errorStyle="stop" operator="between" showDropDown="false" showErrorMessage="false" showInputMessage="false" sqref="T7" type="list">
      <formula1>"Business entity,Duality,Money measurement,Historical cost,Going concern,Realisation,Accruals,Consistency,Prudence,Materiality"</formula1>
      <formula2>0</formula2>
    </dataValidation>
    <dataValidation allowBlank="true" errorStyle="stop" operator="between" showDropDown="false" showErrorMessage="false" showInputMessage="false" sqref="T8" type="list">
      <formula1>"Business entity,Duality,Money measurement,Historical cost,Going concern,Realisation,Accruals,Consistency,Prudence,Materiality"</formula1>
      <formula2>0</formula2>
    </dataValidation>
    <dataValidation allowBlank="true" errorStyle="stop" operator="between" showDropDown="false" showErrorMessage="false" showInputMessage="false" sqref="T9" type="list">
      <formula1>"Business entity,Duality,Money measurement,Historical cost,Going concern,Realisation,Accruals,Consistency,Prudence,Materiality"</formula1>
      <formula2>0</formula2>
    </dataValidation>
    <dataValidation allowBlank="true" errorStyle="stop" operator="between" showDropDown="false" showErrorMessage="false" showInputMessage="false" sqref="T10" type="list">
      <formula1>"Business entity,Duality,Money measurement,Historical cost,Going concern,Realisation,Accruals,Consistency,Prudence,Materiality"</formula1>
      <formula2>0</formula2>
    </dataValidation>
    <dataValidation allowBlank="true" errorStyle="stop" operator="between" showDropDown="false" showErrorMessage="false" showInputMessage="false" sqref="T20" type="list">
      <formula1>"Business entity,Duality,Money measurement,Historical cost,Going concern,Realisation,Accruals,Consistency,Prudence,Materiality"</formula1>
      <formula2>0</formula2>
    </dataValidation>
  </dataValidation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B1:AF11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48</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7" t="s">
        <v>53</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row>
    <row r="3" customFormat="false" ht="15" hidden="false" customHeight="false" outlineLevel="0" collapsed="false">
      <c r="B3" s="18" t="s">
        <v>54</v>
      </c>
      <c r="C3" s="18"/>
      <c r="D3" s="18"/>
      <c r="E3" s="18"/>
      <c r="F3" s="18"/>
      <c r="G3" s="18"/>
      <c r="H3" s="18" t="str">
        <f aca="false">COUNTIF(B4:AG117,"✓")&amp;" correct out of 61 answer cells"</f>
        <v>0 correct out of 61 answer cells</v>
      </c>
      <c r="I3" s="18"/>
      <c r="J3" s="18"/>
      <c r="K3" s="18"/>
      <c r="L3" s="18"/>
      <c r="M3" s="18"/>
      <c r="N3" s="18"/>
      <c r="O3" s="18"/>
      <c r="P3" s="18"/>
      <c r="Q3" s="18"/>
      <c r="R3" s="18"/>
      <c r="S3" s="18"/>
      <c r="T3" s="18"/>
      <c r="U3" s="18"/>
      <c r="V3" s="18"/>
      <c r="W3" s="18"/>
      <c r="X3" s="18"/>
      <c r="Y3" s="18"/>
      <c r="Z3" s="18"/>
      <c r="AA3" s="18"/>
      <c r="AB3" s="18"/>
      <c r="AC3" s="18"/>
      <c r="AD3" s="18"/>
      <c r="AE3" s="18"/>
      <c r="AF3" s="18"/>
    </row>
    <row r="5" customFormat="false" ht="16.5" hidden="false" customHeight="true" outlineLevel="0" collapsed="false">
      <c r="B5" s="4" t="s">
        <v>201</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5" hidden="false" customHeight="false" outlineLevel="0" collapsed="false">
      <c r="B6" s="34" t="s">
        <v>202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customFormat="false" ht="15" hidden="false" customHeight="false" outlineLevel="0" collapsed="false">
      <c r="B7" s="23" t="s">
        <v>119</v>
      </c>
      <c r="C7" s="23"/>
      <c r="D7" s="23"/>
      <c r="E7" s="23"/>
      <c r="F7" s="23"/>
      <c r="G7" s="23"/>
      <c r="H7" s="23"/>
      <c r="I7" s="23"/>
      <c r="J7" s="23"/>
      <c r="K7" s="23"/>
      <c r="L7" s="23"/>
      <c r="M7" s="23"/>
      <c r="N7" s="23"/>
      <c r="O7" s="23"/>
      <c r="P7" s="23"/>
      <c r="Q7" s="23"/>
      <c r="R7" s="23"/>
      <c r="S7" s="23"/>
      <c r="T7" s="23"/>
      <c r="U7" s="24" t="s">
        <v>203</v>
      </c>
      <c r="V7" s="24"/>
      <c r="W7" s="24"/>
      <c r="X7" s="24"/>
      <c r="Y7" s="24"/>
      <c r="Z7" s="24"/>
      <c r="AA7" s="24" t="s">
        <v>204</v>
      </c>
      <c r="AB7" s="24"/>
      <c r="AC7" s="24"/>
      <c r="AD7" s="24"/>
      <c r="AE7" s="24"/>
      <c r="AF7" s="24"/>
    </row>
    <row r="8" customFormat="false" ht="15" hidden="false" customHeight="false" outlineLevel="0" collapsed="false">
      <c r="B8" s="30" t="s">
        <v>205</v>
      </c>
      <c r="C8" s="30"/>
      <c r="D8" s="30"/>
      <c r="E8" s="30"/>
      <c r="F8" s="30"/>
      <c r="G8" s="30"/>
      <c r="H8" s="30"/>
      <c r="I8" s="30"/>
      <c r="J8" s="30"/>
      <c r="K8" s="30"/>
      <c r="L8" s="30"/>
      <c r="M8" s="30"/>
      <c r="N8" s="30"/>
      <c r="O8" s="30"/>
      <c r="P8" s="30"/>
      <c r="Q8" s="30"/>
      <c r="R8" s="30"/>
      <c r="S8" s="30"/>
      <c r="T8" s="30"/>
      <c r="U8" s="30"/>
      <c r="V8" s="30"/>
      <c r="W8" s="30"/>
      <c r="X8" s="30"/>
      <c r="Y8" s="30"/>
      <c r="Z8" s="30"/>
      <c r="AA8" s="25" t="n">
        <v>125000</v>
      </c>
      <c r="AB8" s="25"/>
      <c r="AC8" s="25"/>
      <c r="AD8" s="25"/>
      <c r="AE8" s="25"/>
      <c r="AF8" s="25"/>
    </row>
    <row r="9" customFormat="false" ht="15" hidden="false" customHeight="false" outlineLevel="0" collapsed="false">
      <c r="B9" s="30" t="s">
        <v>206</v>
      </c>
      <c r="C9" s="30"/>
      <c r="D9" s="30"/>
      <c r="E9" s="30"/>
      <c r="F9" s="30"/>
      <c r="G9" s="30"/>
      <c r="H9" s="30"/>
      <c r="I9" s="30"/>
      <c r="J9" s="30"/>
      <c r="K9" s="30"/>
      <c r="L9" s="30"/>
      <c r="M9" s="30"/>
      <c r="N9" s="30"/>
      <c r="O9" s="30"/>
      <c r="P9" s="30"/>
      <c r="Q9" s="30"/>
      <c r="R9" s="30"/>
      <c r="S9" s="30"/>
      <c r="T9" s="30"/>
      <c r="U9" s="25" t="n">
        <v>68000</v>
      </c>
      <c r="V9" s="25"/>
      <c r="W9" s="25"/>
      <c r="X9" s="25"/>
      <c r="Y9" s="25"/>
      <c r="Z9" s="25"/>
      <c r="AA9" s="30"/>
      <c r="AB9" s="30"/>
      <c r="AC9" s="30"/>
      <c r="AD9" s="30"/>
      <c r="AE9" s="30"/>
      <c r="AF9" s="30"/>
    </row>
    <row r="10" customFormat="false" ht="15" hidden="false" customHeight="false" outlineLevel="0" collapsed="false">
      <c r="B10" s="30" t="s">
        <v>207</v>
      </c>
      <c r="C10" s="30"/>
      <c r="D10" s="30"/>
      <c r="E10" s="30"/>
      <c r="F10" s="30"/>
      <c r="G10" s="30"/>
      <c r="H10" s="30"/>
      <c r="I10" s="30"/>
      <c r="J10" s="30"/>
      <c r="K10" s="30"/>
      <c r="L10" s="30"/>
      <c r="M10" s="30"/>
      <c r="N10" s="30"/>
      <c r="O10" s="30"/>
      <c r="P10" s="30"/>
      <c r="Q10" s="30"/>
      <c r="R10" s="30"/>
      <c r="S10" s="30"/>
      <c r="T10" s="30"/>
      <c r="U10" s="25" t="n">
        <v>2000</v>
      </c>
      <c r="V10" s="25"/>
      <c r="W10" s="25"/>
      <c r="X10" s="25"/>
      <c r="Y10" s="25"/>
      <c r="Z10" s="25"/>
      <c r="AA10" s="30"/>
      <c r="AB10" s="30"/>
      <c r="AC10" s="30"/>
      <c r="AD10" s="30"/>
      <c r="AE10" s="30"/>
      <c r="AF10" s="30"/>
    </row>
    <row r="11" customFormat="false" ht="15" hidden="false" customHeight="false" outlineLevel="0" collapsed="false">
      <c r="B11" s="30" t="s">
        <v>208</v>
      </c>
      <c r="C11" s="30"/>
      <c r="D11" s="30"/>
      <c r="E11" s="30"/>
      <c r="F11" s="30"/>
      <c r="G11" s="30"/>
      <c r="H11" s="30"/>
      <c r="I11" s="30"/>
      <c r="J11" s="30"/>
      <c r="K11" s="30"/>
      <c r="L11" s="30"/>
      <c r="M11" s="30"/>
      <c r="N11" s="30"/>
      <c r="O11" s="30"/>
      <c r="P11" s="30"/>
      <c r="Q11" s="30"/>
      <c r="R11" s="30"/>
      <c r="S11" s="30"/>
      <c r="T11" s="30"/>
      <c r="U11" s="30"/>
      <c r="V11" s="30"/>
      <c r="W11" s="30"/>
      <c r="X11" s="30"/>
      <c r="Y11" s="30"/>
      <c r="Z11" s="30"/>
      <c r="AA11" s="25" t="n">
        <v>1500</v>
      </c>
      <c r="AB11" s="25"/>
      <c r="AC11" s="25"/>
      <c r="AD11" s="25"/>
      <c r="AE11" s="25"/>
      <c r="AF11" s="25"/>
    </row>
    <row r="12" customFormat="false" ht="15" hidden="false" customHeight="false" outlineLevel="0" collapsed="false">
      <c r="B12" s="30" t="s">
        <v>209</v>
      </c>
      <c r="C12" s="30"/>
      <c r="D12" s="30"/>
      <c r="E12" s="30"/>
      <c r="F12" s="30"/>
      <c r="G12" s="30"/>
      <c r="H12" s="30"/>
      <c r="I12" s="30"/>
      <c r="J12" s="30"/>
      <c r="K12" s="30"/>
      <c r="L12" s="30"/>
      <c r="M12" s="30"/>
      <c r="N12" s="30"/>
      <c r="O12" s="30"/>
      <c r="P12" s="30"/>
      <c r="Q12" s="30"/>
      <c r="R12" s="30"/>
      <c r="S12" s="30"/>
      <c r="T12" s="30"/>
      <c r="U12" s="25" t="n">
        <v>1200</v>
      </c>
      <c r="V12" s="25"/>
      <c r="W12" s="25"/>
      <c r="X12" s="25"/>
      <c r="Y12" s="25"/>
      <c r="Z12" s="25"/>
      <c r="AA12" s="30"/>
      <c r="AB12" s="30"/>
      <c r="AC12" s="30"/>
      <c r="AD12" s="30"/>
      <c r="AE12" s="30"/>
      <c r="AF12" s="30"/>
    </row>
    <row r="13" customFormat="false" ht="15" hidden="false" customHeight="false" outlineLevel="0" collapsed="false">
      <c r="B13" s="30" t="s">
        <v>210</v>
      </c>
      <c r="C13" s="30"/>
      <c r="D13" s="30"/>
      <c r="E13" s="30"/>
      <c r="F13" s="30"/>
      <c r="G13" s="30"/>
      <c r="H13" s="30"/>
      <c r="I13" s="30"/>
      <c r="J13" s="30"/>
      <c r="K13" s="30"/>
      <c r="L13" s="30"/>
      <c r="M13" s="30"/>
      <c r="N13" s="30"/>
      <c r="O13" s="30"/>
      <c r="P13" s="30"/>
      <c r="Q13" s="30"/>
      <c r="R13" s="30"/>
      <c r="S13" s="30"/>
      <c r="T13" s="30"/>
      <c r="U13" s="25" t="n">
        <v>800</v>
      </c>
      <c r="V13" s="25"/>
      <c r="W13" s="25"/>
      <c r="X13" s="25"/>
      <c r="Y13" s="25"/>
      <c r="Z13" s="25"/>
      <c r="AA13" s="30"/>
      <c r="AB13" s="30"/>
      <c r="AC13" s="30"/>
      <c r="AD13" s="30"/>
      <c r="AE13" s="30"/>
      <c r="AF13" s="30"/>
    </row>
    <row r="14" customFormat="false" ht="15" hidden="false" customHeight="false" outlineLevel="0" collapsed="false">
      <c r="B14" s="30" t="s">
        <v>211</v>
      </c>
      <c r="C14" s="30"/>
      <c r="D14" s="30"/>
      <c r="E14" s="30"/>
      <c r="F14" s="30"/>
      <c r="G14" s="30"/>
      <c r="H14" s="30"/>
      <c r="I14" s="30"/>
      <c r="J14" s="30"/>
      <c r="K14" s="30"/>
      <c r="L14" s="30"/>
      <c r="M14" s="30"/>
      <c r="N14" s="30"/>
      <c r="O14" s="30"/>
      <c r="P14" s="30"/>
      <c r="Q14" s="30"/>
      <c r="R14" s="30"/>
      <c r="S14" s="30"/>
      <c r="T14" s="30"/>
      <c r="U14" s="25" t="n">
        <v>9000</v>
      </c>
      <c r="V14" s="25"/>
      <c r="W14" s="25"/>
      <c r="X14" s="25"/>
      <c r="Y14" s="25"/>
      <c r="Z14" s="25"/>
      <c r="AA14" s="30"/>
      <c r="AB14" s="30"/>
      <c r="AC14" s="30"/>
      <c r="AD14" s="30"/>
      <c r="AE14" s="30"/>
      <c r="AF14" s="30"/>
    </row>
    <row r="15" customFormat="false" ht="15" hidden="false" customHeight="false" outlineLevel="0" collapsed="false">
      <c r="B15" s="30" t="s">
        <v>212</v>
      </c>
      <c r="C15" s="30"/>
      <c r="D15" s="30"/>
      <c r="E15" s="30"/>
      <c r="F15" s="30"/>
      <c r="G15" s="30"/>
      <c r="H15" s="30"/>
      <c r="I15" s="30"/>
      <c r="J15" s="30"/>
      <c r="K15" s="30"/>
      <c r="L15" s="30"/>
      <c r="M15" s="30"/>
      <c r="N15" s="30"/>
      <c r="O15" s="30"/>
      <c r="P15" s="30"/>
      <c r="Q15" s="30"/>
      <c r="R15" s="30"/>
      <c r="S15" s="30"/>
      <c r="T15" s="30"/>
      <c r="U15" s="25" t="n">
        <v>18000</v>
      </c>
      <c r="V15" s="25"/>
      <c r="W15" s="25"/>
      <c r="X15" s="25"/>
      <c r="Y15" s="25"/>
      <c r="Z15" s="25"/>
      <c r="AA15" s="30"/>
      <c r="AB15" s="30"/>
      <c r="AC15" s="30"/>
      <c r="AD15" s="30"/>
      <c r="AE15" s="30"/>
      <c r="AF15" s="30"/>
    </row>
    <row r="16" customFormat="false" ht="15" hidden="false" customHeight="false" outlineLevel="0" collapsed="false">
      <c r="B16" s="30" t="s">
        <v>213</v>
      </c>
      <c r="C16" s="30"/>
      <c r="D16" s="30"/>
      <c r="E16" s="30"/>
      <c r="F16" s="30"/>
      <c r="G16" s="30"/>
      <c r="H16" s="30"/>
      <c r="I16" s="30"/>
      <c r="J16" s="30"/>
      <c r="K16" s="30"/>
      <c r="L16" s="30"/>
      <c r="M16" s="30"/>
      <c r="N16" s="30"/>
      <c r="O16" s="30"/>
      <c r="P16" s="30"/>
      <c r="Q16" s="30"/>
      <c r="R16" s="30"/>
      <c r="S16" s="30"/>
      <c r="T16" s="30"/>
      <c r="U16" s="25" t="n">
        <v>7700</v>
      </c>
      <c r="V16" s="25"/>
      <c r="W16" s="25"/>
      <c r="X16" s="25"/>
      <c r="Y16" s="25"/>
      <c r="Z16" s="25"/>
      <c r="AA16" s="30"/>
      <c r="AB16" s="30"/>
      <c r="AC16" s="30"/>
      <c r="AD16" s="30"/>
      <c r="AE16" s="30"/>
      <c r="AF16" s="30"/>
    </row>
    <row r="17" customFormat="false" ht="15" hidden="false" customHeight="false" outlineLevel="0" collapsed="false">
      <c r="B17" s="30" t="s">
        <v>214</v>
      </c>
      <c r="C17" s="30"/>
      <c r="D17" s="30"/>
      <c r="E17" s="30"/>
      <c r="F17" s="30"/>
      <c r="G17" s="30"/>
      <c r="H17" s="30"/>
      <c r="I17" s="30"/>
      <c r="J17" s="30"/>
      <c r="K17" s="30"/>
      <c r="L17" s="30"/>
      <c r="M17" s="30"/>
      <c r="N17" s="30"/>
      <c r="O17" s="30"/>
      <c r="P17" s="30"/>
      <c r="Q17" s="30"/>
      <c r="R17" s="30"/>
      <c r="S17" s="30"/>
      <c r="T17" s="30"/>
      <c r="U17" s="25" t="n">
        <v>2400</v>
      </c>
      <c r="V17" s="25"/>
      <c r="W17" s="25"/>
      <c r="X17" s="25"/>
      <c r="Y17" s="25"/>
      <c r="Z17" s="25"/>
      <c r="AA17" s="30"/>
      <c r="AB17" s="30"/>
      <c r="AC17" s="30"/>
      <c r="AD17" s="30"/>
      <c r="AE17" s="30"/>
      <c r="AF17" s="30"/>
    </row>
    <row r="18" customFormat="false" ht="15" hidden="false" customHeight="false" outlineLevel="0" collapsed="false">
      <c r="B18" s="30" t="s">
        <v>215</v>
      </c>
      <c r="C18" s="30"/>
      <c r="D18" s="30"/>
      <c r="E18" s="30"/>
      <c r="F18" s="30"/>
      <c r="G18" s="30"/>
      <c r="H18" s="30"/>
      <c r="I18" s="30"/>
      <c r="J18" s="30"/>
      <c r="K18" s="30"/>
      <c r="L18" s="30"/>
      <c r="M18" s="30"/>
      <c r="N18" s="30"/>
      <c r="O18" s="30"/>
      <c r="P18" s="30"/>
      <c r="Q18" s="30"/>
      <c r="R18" s="30"/>
      <c r="S18" s="30"/>
      <c r="T18" s="30"/>
      <c r="U18" s="25" t="n">
        <v>1900</v>
      </c>
      <c r="V18" s="25"/>
      <c r="W18" s="25"/>
      <c r="X18" s="25"/>
      <c r="Y18" s="25"/>
      <c r="Z18" s="25"/>
      <c r="AA18" s="30"/>
      <c r="AB18" s="30"/>
      <c r="AC18" s="30"/>
      <c r="AD18" s="30"/>
      <c r="AE18" s="30"/>
      <c r="AF18" s="30"/>
    </row>
    <row r="19" customFormat="false" ht="15" hidden="false" customHeight="false" outlineLevel="0" collapsed="false">
      <c r="B19" s="30" t="s">
        <v>216</v>
      </c>
      <c r="C19" s="30"/>
      <c r="D19" s="30"/>
      <c r="E19" s="30"/>
      <c r="F19" s="30"/>
      <c r="G19" s="30"/>
      <c r="H19" s="30"/>
      <c r="I19" s="30"/>
      <c r="J19" s="30"/>
      <c r="K19" s="30"/>
      <c r="L19" s="30"/>
      <c r="M19" s="30"/>
      <c r="N19" s="30"/>
      <c r="O19" s="30"/>
      <c r="P19" s="30"/>
      <c r="Q19" s="30"/>
      <c r="R19" s="30"/>
      <c r="S19" s="30"/>
      <c r="T19" s="30"/>
      <c r="U19" s="25" t="n">
        <v>500</v>
      </c>
      <c r="V19" s="25"/>
      <c r="W19" s="25"/>
      <c r="X19" s="25"/>
      <c r="Y19" s="25"/>
      <c r="Z19" s="25"/>
      <c r="AA19" s="30"/>
      <c r="AB19" s="30"/>
      <c r="AC19" s="30"/>
      <c r="AD19" s="30"/>
      <c r="AE19" s="30"/>
      <c r="AF19" s="30"/>
    </row>
    <row r="20" customFormat="false" ht="15" hidden="false" customHeight="false" outlineLevel="0" collapsed="false">
      <c r="B20" s="30" t="s">
        <v>217</v>
      </c>
      <c r="C20" s="30"/>
      <c r="D20" s="30"/>
      <c r="E20" s="30"/>
      <c r="F20" s="30"/>
      <c r="G20" s="30"/>
      <c r="H20" s="30"/>
      <c r="I20" s="30"/>
      <c r="J20" s="30"/>
      <c r="K20" s="30"/>
      <c r="L20" s="30"/>
      <c r="M20" s="30"/>
      <c r="N20" s="30"/>
      <c r="O20" s="30"/>
      <c r="P20" s="30"/>
      <c r="Q20" s="30"/>
      <c r="R20" s="30"/>
      <c r="S20" s="30"/>
      <c r="T20" s="30"/>
      <c r="U20" s="30"/>
      <c r="V20" s="30"/>
      <c r="W20" s="30"/>
      <c r="X20" s="30"/>
      <c r="Y20" s="30"/>
      <c r="Z20" s="30"/>
      <c r="AA20" s="25" t="n">
        <v>700</v>
      </c>
      <c r="AB20" s="25"/>
      <c r="AC20" s="25"/>
      <c r="AD20" s="25"/>
      <c r="AE20" s="25"/>
      <c r="AF20" s="25"/>
    </row>
    <row r="21" customFormat="false" ht="15" hidden="false" customHeight="false" outlineLevel="0" collapsed="false">
      <c r="B21" s="30" t="s">
        <v>218</v>
      </c>
      <c r="C21" s="30"/>
      <c r="D21" s="30"/>
      <c r="E21" s="30"/>
      <c r="F21" s="30"/>
      <c r="G21" s="30"/>
      <c r="H21" s="30"/>
      <c r="I21" s="30"/>
      <c r="J21" s="30"/>
      <c r="K21" s="30"/>
      <c r="L21" s="30"/>
      <c r="M21" s="30"/>
      <c r="N21" s="30"/>
      <c r="O21" s="30"/>
      <c r="P21" s="30"/>
      <c r="Q21" s="30"/>
      <c r="R21" s="30"/>
      <c r="S21" s="30"/>
      <c r="T21" s="30"/>
      <c r="U21" s="30"/>
      <c r="V21" s="30"/>
      <c r="W21" s="30"/>
      <c r="X21" s="30"/>
      <c r="Y21" s="30"/>
      <c r="Z21" s="30"/>
      <c r="AA21" s="25" t="n">
        <v>3000</v>
      </c>
      <c r="AB21" s="25"/>
      <c r="AC21" s="25"/>
      <c r="AD21" s="25"/>
      <c r="AE21" s="25"/>
      <c r="AF21" s="25"/>
    </row>
    <row r="22" customFormat="false" ht="15" hidden="false" customHeight="false" outlineLevel="0" collapsed="false">
      <c r="B22" s="30" t="s">
        <v>125</v>
      </c>
      <c r="C22" s="30"/>
      <c r="D22" s="30"/>
      <c r="E22" s="30"/>
      <c r="F22" s="30"/>
      <c r="G22" s="30"/>
      <c r="H22" s="30"/>
      <c r="I22" s="30"/>
      <c r="J22" s="30"/>
      <c r="K22" s="30"/>
      <c r="L22" s="30"/>
      <c r="M22" s="30"/>
      <c r="N22" s="30"/>
      <c r="O22" s="30"/>
      <c r="P22" s="30"/>
      <c r="Q22" s="30"/>
      <c r="R22" s="30"/>
      <c r="S22" s="30"/>
      <c r="T22" s="30"/>
      <c r="U22" s="25" t="n">
        <v>600</v>
      </c>
      <c r="V22" s="25"/>
      <c r="W22" s="25"/>
      <c r="X22" s="25"/>
      <c r="Y22" s="25"/>
      <c r="Z22" s="25"/>
      <c r="AA22" s="30"/>
      <c r="AB22" s="30"/>
      <c r="AC22" s="30"/>
      <c r="AD22" s="30"/>
      <c r="AE22" s="30"/>
      <c r="AF22" s="30"/>
    </row>
    <row r="23" customFormat="false" ht="15" hidden="false" customHeight="false" outlineLevel="0" collapsed="false">
      <c r="B23" s="30" t="s">
        <v>219</v>
      </c>
      <c r="C23" s="30"/>
      <c r="D23" s="30"/>
      <c r="E23" s="30"/>
      <c r="F23" s="30"/>
      <c r="G23" s="30"/>
      <c r="H23" s="30"/>
      <c r="I23" s="30"/>
      <c r="J23" s="30"/>
      <c r="K23" s="30"/>
      <c r="L23" s="30"/>
      <c r="M23" s="30"/>
      <c r="N23" s="30"/>
      <c r="O23" s="30"/>
      <c r="P23" s="30"/>
      <c r="Q23" s="30"/>
      <c r="R23" s="30"/>
      <c r="S23" s="30"/>
      <c r="T23" s="30"/>
      <c r="U23" s="25" t="n">
        <v>80000</v>
      </c>
      <c r="V23" s="25"/>
      <c r="W23" s="25"/>
      <c r="X23" s="25"/>
      <c r="Y23" s="25"/>
      <c r="Z23" s="25"/>
      <c r="AA23" s="30"/>
      <c r="AB23" s="30"/>
      <c r="AC23" s="30"/>
      <c r="AD23" s="30"/>
      <c r="AE23" s="30"/>
      <c r="AF23" s="30"/>
    </row>
    <row r="24" customFormat="false" ht="15" hidden="false" customHeight="false" outlineLevel="0" collapsed="false">
      <c r="B24" s="30" t="s">
        <v>220</v>
      </c>
      <c r="C24" s="30"/>
      <c r="D24" s="30"/>
      <c r="E24" s="30"/>
      <c r="F24" s="30"/>
      <c r="G24" s="30"/>
      <c r="H24" s="30"/>
      <c r="I24" s="30"/>
      <c r="J24" s="30"/>
      <c r="K24" s="30"/>
      <c r="L24" s="30"/>
      <c r="M24" s="30"/>
      <c r="N24" s="30"/>
      <c r="O24" s="30"/>
      <c r="P24" s="30"/>
      <c r="Q24" s="30"/>
      <c r="R24" s="30"/>
      <c r="S24" s="30"/>
      <c r="T24" s="30"/>
      <c r="U24" s="25" t="n">
        <v>15000</v>
      </c>
      <c r="V24" s="25"/>
      <c r="W24" s="25"/>
      <c r="X24" s="25"/>
      <c r="Y24" s="25"/>
      <c r="Z24" s="25"/>
      <c r="AA24" s="30"/>
      <c r="AB24" s="30"/>
      <c r="AC24" s="30"/>
      <c r="AD24" s="30"/>
      <c r="AE24" s="30"/>
      <c r="AF24" s="30"/>
    </row>
    <row r="25" customFormat="false" ht="15" hidden="false" customHeight="false" outlineLevel="0" collapsed="false">
      <c r="B25" s="30" t="s">
        <v>221</v>
      </c>
      <c r="C25" s="30"/>
      <c r="D25" s="30"/>
      <c r="E25" s="30"/>
      <c r="F25" s="30"/>
      <c r="G25" s="30"/>
      <c r="H25" s="30"/>
      <c r="I25" s="30"/>
      <c r="J25" s="30"/>
      <c r="K25" s="30"/>
      <c r="L25" s="30"/>
      <c r="M25" s="30"/>
      <c r="N25" s="30"/>
      <c r="O25" s="30"/>
      <c r="P25" s="30"/>
      <c r="Q25" s="30"/>
      <c r="R25" s="30"/>
      <c r="S25" s="30"/>
      <c r="T25" s="30"/>
      <c r="U25" s="30"/>
      <c r="V25" s="30"/>
      <c r="W25" s="30"/>
      <c r="X25" s="30"/>
      <c r="Y25" s="30"/>
      <c r="Z25" s="30"/>
      <c r="AA25" s="25" t="n">
        <v>3000</v>
      </c>
      <c r="AB25" s="25"/>
      <c r="AC25" s="25"/>
      <c r="AD25" s="25"/>
      <c r="AE25" s="25"/>
      <c r="AF25" s="25"/>
    </row>
    <row r="26" customFormat="false" ht="15" hidden="false" customHeight="false" outlineLevel="0" collapsed="false">
      <c r="B26" s="30" t="s">
        <v>222</v>
      </c>
      <c r="C26" s="30"/>
      <c r="D26" s="30"/>
      <c r="E26" s="30"/>
      <c r="F26" s="30"/>
      <c r="G26" s="30"/>
      <c r="H26" s="30"/>
      <c r="I26" s="30"/>
      <c r="J26" s="30"/>
      <c r="K26" s="30"/>
      <c r="L26" s="30"/>
      <c r="M26" s="30"/>
      <c r="N26" s="30"/>
      <c r="O26" s="30"/>
      <c r="P26" s="30"/>
      <c r="Q26" s="30"/>
      <c r="R26" s="30"/>
      <c r="S26" s="30"/>
      <c r="T26" s="30"/>
      <c r="U26" s="25" t="n">
        <v>32000</v>
      </c>
      <c r="V26" s="25"/>
      <c r="W26" s="25"/>
      <c r="X26" s="25"/>
      <c r="Y26" s="25"/>
      <c r="Z26" s="25"/>
      <c r="AA26" s="30"/>
      <c r="AB26" s="30"/>
      <c r="AC26" s="30"/>
      <c r="AD26" s="30"/>
      <c r="AE26" s="30"/>
      <c r="AF26" s="30"/>
    </row>
    <row r="27" customFormat="false" ht="15" hidden="false" customHeight="false" outlineLevel="0" collapsed="false">
      <c r="B27" s="30" t="s">
        <v>223</v>
      </c>
      <c r="C27" s="30"/>
      <c r="D27" s="30"/>
      <c r="E27" s="30"/>
      <c r="F27" s="30"/>
      <c r="G27" s="30"/>
      <c r="H27" s="30"/>
      <c r="I27" s="30"/>
      <c r="J27" s="30"/>
      <c r="K27" s="30"/>
      <c r="L27" s="30"/>
      <c r="M27" s="30"/>
      <c r="N27" s="30"/>
      <c r="O27" s="30"/>
      <c r="P27" s="30"/>
      <c r="Q27" s="30"/>
      <c r="R27" s="30"/>
      <c r="S27" s="30"/>
      <c r="T27" s="30"/>
      <c r="U27" s="30"/>
      <c r="V27" s="30"/>
      <c r="W27" s="30"/>
      <c r="X27" s="30"/>
      <c r="Y27" s="30"/>
      <c r="Z27" s="30"/>
      <c r="AA27" s="25" t="n">
        <v>12000</v>
      </c>
      <c r="AB27" s="25"/>
      <c r="AC27" s="25"/>
      <c r="AD27" s="25"/>
      <c r="AE27" s="25"/>
      <c r="AF27" s="25"/>
    </row>
    <row r="28" customFormat="false" ht="15" hidden="false" customHeight="false" outlineLevel="0" collapsed="false">
      <c r="B28" s="30" t="s">
        <v>137</v>
      </c>
      <c r="C28" s="30"/>
      <c r="D28" s="30"/>
      <c r="E28" s="30"/>
      <c r="F28" s="30"/>
      <c r="G28" s="30"/>
      <c r="H28" s="30"/>
      <c r="I28" s="30"/>
      <c r="J28" s="30"/>
      <c r="K28" s="30"/>
      <c r="L28" s="30"/>
      <c r="M28" s="30"/>
      <c r="N28" s="30"/>
      <c r="O28" s="30"/>
      <c r="P28" s="30"/>
      <c r="Q28" s="30"/>
      <c r="R28" s="30"/>
      <c r="S28" s="30"/>
      <c r="T28" s="30"/>
      <c r="U28" s="25" t="n">
        <v>16200</v>
      </c>
      <c r="V28" s="25"/>
      <c r="W28" s="25"/>
      <c r="X28" s="25"/>
      <c r="Y28" s="25"/>
      <c r="Z28" s="25"/>
      <c r="AA28" s="30"/>
      <c r="AB28" s="30"/>
      <c r="AC28" s="30"/>
      <c r="AD28" s="30"/>
      <c r="AE28" s="30"/>
      <c r="AF28" s="30"/>
    </row>
    <row r="29" customFormat="false" ht="15" hidden="false" customHeight="false" outlineLevel="0" collapsed="false">
      <c r="B29" s="30" t="s">
        <v>129</v>
      </c>
      <c r="C29" s="30"/>
      <c r="D29" s="30"/>
      <c r="E29" s="30"/>
      <c r="F29" s="30"/>
      <c r="G29" s="30"/>
      <c r="H29" s="30"/>
      <c r="I29" s="30"/>
      <c r="J29" s="30"/>
      <c r="K29" s="30"/>
      <c r="L29" s="30"/>
      <c r="M29" s="30"/>
      <c r="N29" s="30"/>
      <c r="O29" s="30"/>
      <c r="P29" s="30"/>
      <c r="Q29" s="30"/>
      <c r="R29" s="30"/>
      <c r="S29" s="30"/>
      <c r="T29" s="30"/>
      <c r="U29" s="30"/>
      <c r="V29" s="30"/>
      <c r="W29" s="30"/>
      <c r="X29" s="30"/>
      <c r="Y29" s="30"/>
      <c r="Z29" s="30"/>
      <c r="AA29" s="25" t="n">
        <v>700</v>
      </c>
      <c r="AB29" s="25"/>
      <c r="AC29" s="25"/>
      <c r="AD29" s="25"/>
      <c r="AE29" s="25"/>
      <c r="AF29" s="25"/>
    </row>
    <row r="30" customFormat="false" ht="15" hidden="false" customHeight="false" outlineLevel="0" collapsed="false">
      <c r="B30" s="30" t="s">
        <v>224</v>
      </c>
      <c r="C30" s="30"/>
      <c r="D30" s="30"/>
      <c r="E30" s="30"/>
      <c r="F30" s="30"/>
      <c r="G30" s="30"/>
      <c r="H30" s="30"/>
      <c r="I30" s="30"/>
      <c r="J30" s="30"/>
      <c r="K30" s="30"/>
      <c r="L30" s="30"/>
      <c r="M30" s="30"/>
      <c r="N30" s="30"/>
      <c r="O30" s="30"/>
      <c r="P30" s="30"/>
      <c r="Q30" s="30"/>
      <c r="R30" s="30"/>
      <c r="S30" s="30"/>
      <c r="T30" s="30"/>
      <c r="U30" s="30"/>
      <c r="V30" s="30"/>
      <c r="W30" s="30"/>
      <c r="X30" s="30"/>
      <c r="Y30" s="30"/>
      <c r="Z30" s="30"/>
      <c r="AA30" s="25" t="n">
        <v>9800</v>
      </c>
      <c r="AB30" s="25"/>
      <c r="AC30" s="25"/>
      <c r="AD30" s="25"/>
      <c r="AE30" s="25"/>
      <c r="AF30" s="25"/>
    </row>
    <row r="31" customFormat="false" ht="15" hidden="false" customHeight="false" outlineLevel="0" collapsed="false">
      <c r="B31" s="30" t="s">
        <v>225</v>
      </c>
      <c r="C31" s="30"/>
      <c r="D31" s="30"/>
      <c r="E31" s="30"/>
      <c r="F31" s="30"/>
      <c r="G31" s="30"/>
      <c r="H31" s="30"/>
      <c r="I31" s="30"/>
      <c r="J31" s="30"/>
      <c r="K31" s="30"/>
      <c r="L31" s="30"/>
      <c r="M31" s="30"/>
      <c r="N31" s="30"/>
      <c r="O31" s="30"/>
      <c r="P31" s="30"/>
      <c r="Q31" s="30"/>
      <c r="R31" s="30"/>
      <c r="S31" s="30"/>
      <c r="T31" s="30"/>
      <c r="U31" s="30"/>
      <c r="V31" s="30"/>
      <c r="W31" s="30"/>
      <c r="X31" s="30"/>
      <c r="Y31" s="30"/>
      <c r="Z31" s="30"/>
      <c r="AA31" s="25" t="n">
        <v>2100</v>
      </c>
      <c r="AB31" s="25"/>
      <c r="AC31" s="25"/>
      <c r="AD31" s="25"/>
      <c r="AE31" s="25"/>
      <c r="AF31" s="25"/>
    </row>
    <row r="32" customFormat="false" ht="15" hidden="false" customHeight="false" outlineLevel="0" collapsed="false">
      <c r="B32" s="30" t="s">
        <v>226</v>
      </c>
      <c r="C32" s="30"/>
      <c r="D32" s="30"/>
      <c r="E32" s="30"/>
      <c r="F32" s="30"/>
      <c r="G32" s="30"/>
      <c r="H32" s="30"/>
      <c r="I32" s="30"/>
      <c r="J32" s="30"/>
      <c r="K32" s="30"/>
      <c r="L32" s="30"/>
      <c r="M32" s="30"/>
      <c r="N32" s="30"/>
      <c r="O32" s="30"/>
      <c r="P32" s="30"/>
      <c r="Q32" s="30"/>
      <c r="R32" s="30"/>
      <c r="S32" s="30"/>
      <c r="T32" s="30"/>
      <c r="U32" s="25" t="n">
        <v>300</v>
      </c>
      <c r="V32" s="25"/>
      <c r="W32" s="25"/>
      <c r="X32" s="25"/>
      <c r="Y32" s="25"/>
      <c r="Z32" s="25"/>
      <c r="AA32" s="30"/>
      <c r="AB32" s="30"/>
      <c r="AC32" s="30"/>
      <c r="AD32" s="30"/>
      <c r="AE32" s="30"/>
      <c r="AF32" s="30"/>
    </row>
    <row r="33" customFormat="false" ht="15" hidden="false" customHeight="false" outlineLevel="0" collapsed="false">
      <c r="B33" s="30" t="s">
        <v>227</v>
      </c>
      <c r="C33" s="30"/>
      <c r="D33" s="30"/>
      <c r="E33" s="30"/>
      <c r="F33" s="30"/>
      <c r="G33" s="30"/>
      <c r="H33" s="30"/>
      <c r="I33" s="30"/>
      <c r="J33" s="30"/>
      <c r="K33" s="30"/>
      <c r="L33" s="30"/>
      <c r="M33" s="30"/>
      <c r="N33" s="30"/>
      <c r="O33" s="30"/>
      <c r="P33" s="30"/>
      <c r="Q33" s="30"/>
      <c r="R33" s="30"/>
      <c r="S33" s="30"/>
      <c r="T33" s="30"/>
      <c r="U33" s="30"/>
      <c r="V33" s="30"/>
      <c r="W33" s="30"/>
      <c r="X33" s="30"/>
      <c r="Y33" s="30"/>
      <c r="Z33" s="30"/>
      <c r="AA33" s="25" t="n">
        <v>20000</v>
      </c>
      <c r="AB33" s="25"/>
      <c r="AC33" s="25"/>
      <c r="AD33" s="25"/>
      <c r="AE33" s="25"/>
      <c r="AF33" s="25"/>
    </row>
    <row r="34" customFormat="false" ht="15" hidden="false" customHeight="false" outlineLevel="0" collapsed="false">
      <c r="B34" s="30" t="s">
        <v>228</v>
      </c>
      <c r="C34" s="30"/>
      <c r="D34" s="30"/>
      <c r="E34" s="30"/>
      <c r="F34" s="30"/>
      <c r="G34" s="30"/>
      <c r="H34" s="30"/>
      <c r="I34" s="30"/>
      <c r="J34" s="30"/>
      <c r="K34" s="30"/>
      <c r="L34" s="30"/>
      <c r="M34" s="30"/>
      <c r="N34" s="30"/>
      <c r="O34" s="30"/>
      <c r="P34" s="30"/>
      <c r="Q34" s="30"/>
      <c r="R34" s="30"/>
      <c r="S34" s="30"/>
      <c r="T34" s="30"/>
      <c r="U34" s="30"/>
      <c r="V34" s="30"/>
      <c r="W34" s="30"/>
      <c r="X34" s="30"/>
      <c r="Y34" s="30"/>
      <c r="Z34" s="30"/>
      <c r="AA34" s="25" t="n">
        <v>89800</v>
      </c>
      <c r="AB34" s="25"/>
      <c r="AC34" s="25"/>
      <c r="AD34" s="25"/>
      <c r="AE34" s="25"/>
      <c r="AF34" s="25"/>
    </row>
    <row r="35" customFormat="false" ht="15" hidden="false" customHeight="false" outlineLevel="0" collapsed="false">
      <c r="B35" s="30" t="s">
        <v>229</v>
      </c>
      <c r="C35" s="30"/>
      <c r="D35" s="30"/>
      <c r="E35" s="30"/>
      <c r="F35" s="30"/>
      <c r="G35" s="30"/>
      <c r="H35" s="30"/>
      <c r="I35" s="30"/>
      <c r="J35" s="30"/>
      <c r="K35" s="30"/>
      <c r="L35" s="30"/>
      <c r="M35" s="30"/>
      <c r="N35" s="30"/>
      <c r="O35" s="30"/>
      <c r="P35" s="30"/>
      <c r="Q35" s="30"/>
      <c r="R35" s="30"/>
      <c r="S35" s="30"/>
      <c r="T35" s="30"/>
      <c r="U35" s="25" t="n">
        <v>12000</v>
      </c>
      <c r="V35" s="25"/>
      <c r="W35" s="25"/>
      <c r="X35" s="25"/>
      <c r="Y35" s="25"/>
      <c r="Z35" s="25"/>
      <c r="AA35" s="30"/>
      <c r="AB35" s="30"/>
      <c r="AC35" s="30"/>
      <c r="AD35" s="30"/>
      <c r="AE35" s="30"/>
      <c r="AF35" s="30"/>
    </row>
    <row r="36" customFormat="false" ht="15" hidden="false" customHeight="false" outlineLevel="0" collapsed="false">
      <c r="B36" s="29" t="s">
        <v>50</v>
      </c>
      <c r="C36" s="29"/>
      <c r="D36" s="29"/>
      <c r="E36" s="29"/>
      <c r="F36" s="29"/>
      <c r="G36" s="29"/>
      <c r="H36" s="29"/>
      <c r="I36" s="29"/>
      <c r="J36" s="29"/>
      <c r="K36" s="29"/>
      <c r="L36" s="29"/>
      <c r="M36" s="29"/>
      <c r="N36" s="29"/>
      <c r="O36" s="29"/>
      <c r="P36" s="29"/>
      <c r="Q36" s="29"/>
      <c r="R36" s="29"/>
      <c r="S36" s="29"/>
      <c r="T36" s="29"/>
      <c r="U36" s="55" t="n">
        <f aca="false">SUM(U8:U35)</f>
        <v>267600</v>
      </c>
      <c r="V36" s="55"/>
      <c r="W36" s="55"/>
      <c r="X36" s="55"/>
      <c r="Y36" s="55"/>
      <c r="Z36" s="55"/>
      <c r="AA36" s="55" t="n">
        <f aca="false">SUM(AA8:AA35)</f>
        <v>267600</v>
      </c>
      <c r="AB36" s="55"/>
      <c r="AC36" s="55"/>
      <c r="AD36" s="55"/>
      <c r="AE36" s="55"/>
      <c r="AF36" s="55"/>
    </row>
    <row r="38" customFormat="false" ht="15" hidden="false" customHeight="false" outlineLevel="0" collapsed="false">
      <c r="B38" s="23" t="s">
        <v>230</v>
      </c>
      <c r="C38" s="23"/>
      <c r="D38" s="23"/>
      <c r="E38" s="23"/>
      <c r="F38" s="23"/>
      <c r="G38" s="23"/>
      <c r="H38" s="23"/>
      <c r="I38" s="23"/>
      <c r="J38" s="23"/>
      <c r="K38" s="23"/>
      <c r="L38" s="23"/>
      <c r="M38" s="23"/>
      <c r="N38" s="23"/>
      <c r="O38" s="23"/>
      <c r="P38" s="23"/>
      <c r="Q38" s="23"/>
      <c r="R38" s="23"/>
      <c r="S38" s="23"/>
      <c r="T38" s="23"/>
      <c r="U38" s="23"/>
      <c r="V38" s="23"/>
      <c r="W38" s="23"/>
      <c r="X38" s="24" t="s">
        <v>108</v>
      </c>
      <c r="Y38" s="24"/>
      <c r="Z38" s="24"/>
      <c r="AA38" s="24"/>
      <c r="AB38" s="24"/>
      <c r="AC38" s="24"/>
    </row>
    <row r="39" customFormat="false" ht="16.5" hidden="false" customHeight="true" outlineLevel="0" collapsed="false">
      <c r="B39" s="12" t="s">
        <v>231</v>
      </c>
      <c r="C39" s="12"/>
      <c r="D39" s="12"/>
      <c r="E39" s="12"/>
      <c r="F39" s="12"/>
      <c r="G39" s="12"/>
      <c r="H39" s="12"/>
      <c r="I39" s="12"/>
      <c r="J39" s="12"/>
      <c r="K39" s="12"/>
      <c r="L39" s="12"/>
      <c r="M39" s="12"/>
      <c r="N39" s="12"/>
      <c r="O39" s="12"/>
      <c r="P39" s="12"/>
      <c r="Q39" s="12"/>
      <c r="R39" s="12"/>
      <c r="S39" s="12"/>
      <c r="T39" s="12"/>
      <c r="U39" s="12"/>
      <c r="V39" s="12"/>
      <c r="W39" s="12"/>
      <c r="X39" s="25" t="n">
        <v>10500</v>
      </c>
      <c r="Y39" s="25"/>
      <c r="Z39" s="25"/>
      <c r="AA39" s="25"/>
      <c r="AB39" s="25"/>
      <c r="AC39" s="25"/>
    </row>
    <row r="40" customFormat="false" ht="16.5" hidden="false" customHeight="true" outlineLevel="0" collapsed="false">
      <c r="B40" s="12" t="s">
        <v>232</v>
      </c>
      <c r="C40" s="12"/>
      <c r="D40" s="12"/>
      <c r="E40" s="12"/>
      <c r="F40" s="12"/>
      <c r="G40" s="12"/>
      <c r="H40" s="12"/>
      <c r="I40" s="12"/>
      <c r="J40" s="12"/>
      <c r="K40" s="12"/>
      <c r="L40" s="12"/>
      <c r="M40" s="12"/>
      <c r="N40" s="12"/>
      <c r="O40" s="12"/>
      <c r="P40" s="12"/>
      <c r="Q40" s="12"/>
      <c r="R40" s="12"/>
      <c r="S40" s="12"/>
      <c r="T40" s="12"/>
      <c r="U40" s="12"/>
      <c r="V40" s="12"/>
      <c r="W40" s="12"/>
      <c r="X40" s="25" t="n">
        <v>700</v>
      </c>
      <c r="Y40" s="25"/>
      <c r="Z40" s="25"/>
      <c r="AA40" s="25"/>
      <c r="AB40" s="25"/>
      <c r="AC40" s="25"/>
    </row>
    <row r="41" customFormat="false" ht="16.5" hidden="false" customHeight="true" outlineLevel="0" collapsed="false">
      <c r="B41" s="12" t="s">
        <v>233</v>
      </c>
      <c r="C41" s="12"/>
      <c r="D41" s="12"/>
      <c r="E41" s="12"/>
      <c r="F41" s="12"/>
      <c r="G41" s="12"/>
      <c r="H41" s="12"/>
      <c r="I41" s="12"/>
      <c r="J41" s="12"/>
      <c r="K41" s="12"/>
      <c r="L41" s="12"/>
      <c r="M41" s="12"/>
      <c r="N41" s="12"/>
      <c r="O41" s="12"/>
      <c r="P41" s="12"/>
      <c r="Q41" s="12"/>
      <c r="R41" s="12"/>
      <c r="S41" s="12"/>
      <c r="T41" s="12"/>
      <c r="U41" s="12"/>
      <c r="V41" s="12"/>
      <c r="W41" s="12"/>
      <c r="X41" s="25" t="n">
        <v>600</v>
      </c>
      <c r="Y41" s="25"/>
      <c r="Z41" s="25"/>
      <c r="AA41" s="25"/>
      <c r="AB41" s="25"/>
      <c r="AC41" s="25"/>
    </row>
    <row r="42" customFormat="false" ht="16.5" hidden="false" customHeight="true" outlineLevel="0" collapsed="false">
      <c r="B42" s="12" t="s">
        <v>234</v>
      </c>
      <c r="C42" s="12"/>
      <c r="D42" s="12"/>
      <c r="E42" s="12"/>
      <c r="F42" s="12"/>
      <c r="G42" s="12"/>
      <c r="H42" s="12"/>
      <c r="I42" s="12"/>
      <c r="J42" s="12"/>
      <c r="K42" s="12"/>
      <c r="L42" s="12"/>
      <c r="M42" s="12"/>
      <c r="N42" s="12"/>
      <c r="O42" s="12"/>
      <c r="P42" s="12"/>
      <c r="Q42" s="12"/>
      <c r="R42" s="12"/>
      <c r="S42" s="12"/>
      <c r="T42" s="12"/>
      <c r="U42" s="12"/>
      <c r="V42" s="12"/>
      <c r="W42" s="12"/>
      <c r="X42" s="25" t="n">
        <v>250</v>
      </c>
      <c r="Y42" s="25"/>
      <c r="Z42" s="25"/>
      <c r="AA42" s="25"/>
      <c r="AB42" s="25"/>
      <c r="AC42" s="25"/>
    </row>
    <row r="43" customFormat="false" ht="16.5" hidden="false" customHeight="true" outlineLevel="0" collapsed="false">
      <c r="B43" s="12" t="s">
        <v>235</v>
      </c>
      <c r="C43" s="12"/>
      <c r="D43" s="12"/>
      <c r="E43" s="12"/>
      <c r="F43" s="12"/>
      <c r="G43" s="12"/>
      <c r="H43" s="12"/>
      <c r="I43" s="12"/>
      <c r="J43" s="12"/>
      <c r="K43" s="12"/>
      <c r="L43" s="12"/>
      <c r="M43" s="12"/>
      <c r="N43" s="12"/>
      <c r="O43" s="12"/>
      <c r="P43" s="12"/>
      <c r="Q43" s="12"/>
      <c r="R43" s="12"/>
      <c r="S43" s="12"/>
      <c r="T43" s="12"/>
      <c r="U43" s="12"/>
      <c r="V43" s="12"/>
      <c r="W43" s="12"/>
      <c r="X43" s="25" t="n">
        <v>200</v>
      </c>
      <c r="Y43" s="25"/>
      <c r="Z43" s="25"/>
      <c r="AA43" s="25"/>
      <c r="AB43" s="25"/>
      <c r="AC43" s="25"/>
    </row>
    <row r="44" customFormat="false" ht="16.5" hidden="false" customHeight="true" outlineLevel="0" collapsed="false">
      <c r="B44" s="12" t="s">
        <v>236</v>
      </c>
      <c r="C44" s="12"/>
      <c r="D44" s="12"/>
      <c r="E44" s="12"/>
      <c r="F44" s="12"/>
      <c r="G44" s="12"/>
      <c r="H44" s="12"/>
      <c r="I44" s="12"/>
      <c r="J44" s="12"/>
      <c r="K44" s="12"/>
      <c r="L44" s="12"/>
      <c r="M44" s="12"/>
      <c r="N44" s="12"/>
      <c r="O44" s="12"/>
      <c r="P44" s="12"/>
      <c r="Q44" s="12"/>
      <c r="R44" s="12"/>
      <c r="S44" s="12"/>
      <c r="T44" s="12"/>
      <c r="U44" s="12"/>
      <c r="V44" s="12"/>
      <c r="W44" s="12"/>
      <c r="X44" s="26" t="n">
        <v>0.05</v>
      </c>
      <c r="Y44" s="26"/>
      <c r="Z44" s="26"/>
      <c r="AA44" s="26"/>
      <c r="AB44" s="26"/>
      <c r="AC44" s="26"/>
    </row>
    <row r="45" customFormat="false" ht="16.5" hidden="false" customHeight="true" outlineLevel="0" collapsed="false">
      <c r="B45" s="12" t="s">
        <v>237</v>
      </c>
      <c r="C45" s="12"/>
      <c r="D45" s="12"/>
      <c r="E45" s="12"/>
      <c r="F45" s="12"/>
      <c r="G45" s="12"/>
      <c r="H45" s="12"/>
      <c r="I45" s="12"/>
      <c r="J45" s="12"/>
      <c r="K45" s="12"/>
      <c r="L45" s="12"/>
      <c r="M45" s="12"/>
      <c r="N45" s="12"/>
      <c r="O45" s="12"/>
      <c r="P45" s="12"/>
      <c r="Q45" s="12"/>
      <c r="R45" s="12"/>
      <c r="S45" s="12"/>
      <c r="T45" s="12"/>
      <c r="U45" s="12"/>
      <c r="V45" s="12"/>
      <c r="W45" s="12"/>
      <c r="X45" s="26" t="n">
        <v>0.1</v>
      </c>
      <c r="Y45" s="26"/>
      <c r="Z45" s="26"/>
      <c r="AA45" s="26"/>
      <c r="AB45" s="26"/>
      <c r="AC45" s="26"/>
    </row>
    <row r="46" customFormat="false" ht="16.5" hidden="false" customHeight="true" outlineLevel="0" collapsed="false">
      <c r="B46" s="12" t="s">
        <v>238</v>
      </c>
      <c r="C46" s="12"/>
      <c r="D46" s="12"/>
      <c r="E46" s="12"/>
      <c r="F46" s="12"/>
      <c r="G46" s="12"/>
      <c r="H46" s="12"/>
      <c r="I46" s="12"/>
      <c r="J46" s="12"/>
      <c r="K46" s="12"/>
      <c r="L46" s="12"/>
      <c r="M46" s="12"/>
      <c r="N46" s="12"/>
      <c r="O46" s="12"/>
      <c r="P46" s="12"/>
      <c r="Q46" s="12"/>
      <c r="R46" s="12"/>
      <c r="S46" s="12"/>
      <c r="T46" s="12"/>
      <c r="U46" s="12"/>
      <c r="V46" s="12"/>
      <c r="W46" s="12"/>
      <c r="X46" s="26" t="n">
        <v>0.25</v>
      </c>
      <c r="Y46" s="26"/>
      <c r="Z46" s="26"/>
      <c r="AA46" s="26"/>
      <c r="AB46" s="26"/>
      <c r="AC46" s="26"/>
    </row>
    <row r="47" customFormat="false" ht="16.5" hidden="false" customHeight="true" outlineLevel="0" collapsed="false">
      <c r="B47" s="12" t="s">
        <v>239</v>
      </c>
      <c r="C47" s="12"/>
      <c r="D47" s="12"/>
      <c r="E47" s="12"/>
      <c r="F47" s="12"/>
      <c r="G47" s="12"/>
      <c r="H47" s="12"/>
      <c r="I47" s="12"/>
      <c r="J47" s="12"/>
      <c r="K47" s="12"/>
      <c r="L47" s="12"/>
      <c r="M47" s="12"/>
      <c r="N47" s="12"/>
      <c r="O47" s="12"/>
      <c r="P47" s="12"/>
      <c r="Q47" s="12"/>
      <c r="R47" s="12"/>
      <c r="S47" s="12"/>
      <c r="T47" s="12"/>
      <c r="U47" s="12"/>
      <c r="V47" s="12"/>
      <c r="W47" s="12"/>
      <c r="X47" s="26" t="n">
        <v>0.06</v>
      </c>
      <c r="Y47" s="26"/>
      <c r="Z47" s="26"/>
      <c r="AA47" s="26"/>
      <c r="AB47" s="26"/>
      <c r="AC47" s="26"/>
    </row>
    <row r="49" customFormat="false" ht="16.5" hidden="false" customHeight="true" outlineLevel="0" collapsed="false">
      <c r="B49" s="4" t="s">
        <v>240</v>
      </c>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1" customFormat="false" ht="18.75" hidden="false" customHeight="true" outlineLevel="0" collapsed="false">
      <c r="B51" s="3" t="s">
        <v>241</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ustomFormat="false" ht="15" hidden="false" customHeight="false" outlineLevel="0" collapsed="false">
      <c r="B52" s="34" t="s">
        <v>242</v>
      </c>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row>
    <row r="53" customFormat="false" ht="15" hidden="false" customHeight="false" outlineLevel="0" collapsed="false">
      <c r="B53" s="34" t="s">
        <v>243</v>
      </c>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row>
    <row r="54" customFormat="false" ht="15" hidden="false" customHeight="false" outlineLevel="0" collapsed="false">
      <c r="B54" s="35"/>
      <c r="C54" s="35"/>
      <c r="D54" s="35"/>
      <c r="E54" s="23" t="s">
        <v>119</v>
      </c>
      <c r="F54" s="23"/>
      <c r="G54" s="23"/>
      <c r="H54" s="23"/>
      <c r="I54" s="23"/>
      <c r="J54" s="23"/>
      <c r="K54" s="23"/>
      <c r="L54" s="23"/>
      <c r="M54" s="23"/>
      <c r="N54" s="23"/>
      <c r="O54" s="23"/>
      <c r="P54" s="23"/>
      <c r="Q54" s="23"/>
      <c r="R54" s="24" t="s">
        <v>123</v>
      </c>
      <c r="S54" s="24"/>
      <c r="T54" s="24"/>
      <c r="U54" s="24"/>
      <c r="V54" s="24"/>
      <c r="W54" s="24" t="s">
        <v>123</v>
      </c>
      <c r="X54" s="24"/>
      <c r="Y54" s="24"/>
      <c r="Z54" s="24"/>
      <c r="AA54" s="24"/>
      <c r="AB54" s="24" t="s">
        <v>123</v>
      </c>
      <c r="AC54" s="24"/>
      <c r="AD54" s="24"/>
      <c r="AE54" s="24"/>
      <c r="AF54" s="24"/>
    </row>
    <row r="55" customFormat="false" ht="17.25" hidden="false" customHeight="true" outlineLevel="0" collapsed="false">
      <c r="B55" s="36"/>
      <c r="C55" s="36"/>
      <c r="D55" s="36"/>
      <c r="E55" s="38" t="s">
        <v>205</v>
      </c>
      <c r="F55" s="38"/>
      <c r="G55" s="38"/>
      <c r="H55" s="38"/>
      <c r="I55" s="38"/>
      <c r="J55" s="38"/>
      <c r="K55" s="38"/>
      <c r="L55" s="38"/>
      <c r="M55" s="38"/>
      <c r="N55" s="38"/>
      <c r="O55" s="38"/>
      <c r="P55" s="38"/>
      <c r="Q55" s="38"/>
      <c r="AB55" s="27"/>
      <c r="AC55" s="27"/>
      <c r="AD55" s="27"/>
      <c r="AE55" s="27"/>
      <c r="AF55" s="28" t="str">
        <f aca="false">IF(AB55="","",IFERROR(IF(ABS(ABS(AB55)-ABS('Mock C Ans'!AB55))&lt;0.5,"✓","✗"),"✗"))</f>
        <v/>
      </c>
    </row>
    <row r="56" customFormat="false" ht="17.25" hidden="false" customHeight="true" outlineLevel="0" collapsed="false">
      <c r="B56" s="36" t="s">
        <v>138</v>
      </c>
      <c r="C56" s="36"/>
      <c r="D56" s="36"/>
      <c r="E56" s="38" t="s">
        <v>207</v>
      </c>
      <c r="F56" s="38"/>
      <c r="G56" s="38"/>
      <c r="H56" s="38"/>
      <c r="I56" s="38"/>
      <c r="J56" s="38"/>
      <c r="K56" s="38"/>
      <c r="L56" s="38"/>
      <c r="M56" s="38"/>
      <c r="N56" s="38"/>
      <c r="O56" s="38"/>
      <c r="P56" s="38"/>
      <c r="Q56" s="38"/>
      <c r="AB56" s="39"/>
      <c r="AC56" s="39"/>
      <c r="AD56" s="39"/>
      <c r="AE56" s="39"/>
      <c r="AF56" s="28" t="str">
        <f aca="false">IF(AB56="","",IFERROR(IF(ABS(ABS(AB56)-ABS('Mock C Ans'!AB56))&lt;0.5,"✓","✗"),"✗"))</f>
        <v/>
      </c>
    </row>
    <row r="57" customFormat="false" ht="17.25" hidden="false" customHeight="true" outlineLevel="0" collapsed="false">
      <c r="B57" s="36"/>
      <c r="C57" s="36"/>
      <c r="D57" s="36"/>
      <c r="E57" s="38" t="s">
        <v>244</v>
      </c>
      <c r="F57" s="38"/>
      <c r="G57" s="38"/>
      <c r="H57" s="38"/>
      <c r="I57" s="38"/>
      <c r="J57" s="38"/>
      <c r="K57" s="38"/>
      <c r="L57" s="38"/>
      <c r="M57" s="38"/>
      <c r="N57" s="38"/>
      <c r="O57" s="38"/>
      <c r="P57" s="38"/>
      <c r="Q57" s="38"/>
      <c r="AB57" s="27"/>
      <c r="AC57" s="27"/>
      <c r="AD57" s="27"/>
      <c r="AE57" s="27"/>
      <c r="AF57" s="28" t="str">
        <f aca="false">IF(AB57="","",IFERROR(IF(ABS(ABS(AB57)-ABS('Mock C Ans'!AB57))&lt;0.5,"✓","✗"),"✗"))</f>
        <v/>
      </c>
    </row>
    <row r="58" customFormat="false" ht="17.25" hidden="false" customHeight="true" outlineLevel="0" collapsed="false">
      <c r="B58" s="36" t="s">
        <v>138</v>
      </c>
      <c r="C58" s="36"/>
      <c r="D58" s="36"/>
      <c r="E58" s="37" t="s">
        <v>245</v>
      </c>
      <c r="F58" s="37"/>
      <c r="G58" s="37"/>
      <c r="H58" s="37"/>
      <c r="I58" s="37"/>
      <c r="J58" s="37"/>
      <c r="K58" s="37"/>
      <c r="L58" s="37"/>
      <c r="M58" s="37"/>
      <c r="N58" s="37"/>
      <c r="O58" s="37"/>
      <c r="P58" s="37"/>
      <c r="Q58" s="37"/>
    </row>
    <row r="59" customFormat="false" ht="17.25" hidden="false" customHeight="true" outlineLevel="0" collapsed="false">
      <c r="B59" s="36"/>
      <c r="C59" s="36"/>
      <c r="D59" s="36"/>
      <c r="E59" s="38" t="s">
        <v>246</v>
      </c>
      <c r="F59" s="38"/>
      <c r="G59" s="38"/>
      <c r="H59" s="38"/>
      <c r="I59" s="38"/>
      <c r="J59" s="38"/>
      <c r="K59" s="38"/>
      <c r="L59" s="38"/>
      <c r="M59" s="38"/>
      <c r="N59" s="38"/>
      <c r="O59" s="38"/>
      <c r="P59" s="38"/>
      <c r="Q59" s="38"/>
      <c r="W59" s="27"/>
      <c r="X59" s="27"/>
      <c r="Y59" s="27"/>
      <c r="Z59" s="27"/>
      <c r="AA59" s="28" t="str">
        <f aca="false">IF(W59="","",IFERROR(IF(ABS(ABS(W59)-ABS('Mock C Ans'!W59))&lt;0.5,"✓","✗"),"✗"))</f>
        <v/>
      </c>
    </row>
    <row r="60" customFormat="false" ht="17.25" hidden="false" customHeight="true" outlineLevel="0" collapsed="false">
      <c r="B60" s="36" t="s">
        <v>247</v>
      </c>
      <c r="C60" s="36"/>
      <c r="D60" s="36"/>
      <c r="E60" s="38" t="s">
        <v>206</v>
      </c>
      <c r="F60" s="38"/>
      <c r="G60" s="38"/>
      <c r="H60" s="38"/>
      <c r="I60" s="38"/>
      <c r="J60" s="38"/>
      <c r="K60" s="38"/>
      <c r="L60" s="38"/>
      <c r="M60" s="38"/>
      <c r="N60" s="38"/>
      <c r="O60" s="38"/>
      <c r="P60" s="38"/>
      <c r="Q60" s="38"/>
      <c r="R60" s="27"/>
      <c r="S60" s="27"/>
      <c r="T60" s="27"/>
      <c r="U60" s="27"/>
      <c r="V60" s="28" t="str">
        <f aca="false">IF(R60="","",IFERROR(IF(ABS(ABS(R60)-ABS('Mock C Ans'!R60))&lt;0.5,"✓","✗"),"✗"))</f>
        <v/>
      </c>
    </row>
    <row r="61" customFormat="false" ht="17.25" hidden="false" customHeight="true" outlineLevel="0" collapsed="false">
      <c r="B61" s="36" t="s">
        <v>138</v>
      </c>
      <c r="C61" s="36"/>
      <c r="D61" s="36"/>
      <c r="E61" s="38" t="s">
        <v>208</v>
      </c>
      <c r="F61" s="38"/>
      <c r="G61" s="38"/>
      <c r="H61" s="38"/>
      <c r="I61" s="38"/>
      <c r="J61" s="38"/>
      <c r="K61" s="38"/>
      <c r="L61" s="38"/>
      <c r="M61" s="38"/>
      <c r="N61" s="38"/>
      <c r="O61" s="38"/>
      <c r="P61" s="38"/>
      <c r="Q61" s="38"/>
      <c r="R61" s="27"/>
      <c r="S61" s="27"/>
      <c r="T61" s="27"/>
      <c r="U61" s="27"/>
      <c r="V61" s="28" t="str">
        <f aca="false">IF(R61="","",IFERROR(IF(ABS(ABS(R61)-ABS('Mock C Ans'!R61))&lt;0.5,"✓","✗"),"✗"))</f>
        <v/>
      </c>
    </row>
    <row r="62" customFormat="false" ht="17.25" hidden="false" customHeight="true" outlineLevel="0" collapsed="false">
      <c r="B62" s="36" t="s">
        <v>247</v>
      </c>
      <c r="C62" s="36"/>
      <c r="D62" s="36"/>
      <c r="E62" s="38" t="s">
        <v>209</v>
      </c>
      <c r="F62" s="38"/>
      <c r="G62" s="38"/>
      <c r="H62" s="38"/>
      <c r="I62" s="38"/>
      <c r="J62" s="38"/>
      <c r="K62" s="38"/>
      <c r="L62" s="38"/>
      <c r="M62" s="38"/>
      <c r="N62" s="38"/>
      <c r="O62" s="38"/>
      <c r="P62" s="38"/>
      <c r="Q62" s="38"/>
      <c r="R62" s="39"/>
      <c r="S62" s="39"/>
      <c r="T62" s="39"/>
      <c r="U62" s="39"/>
      <c r="V62" s="28" t="str">
        <f aca="false">IF(R62="","",IFERROR(IF(ABS(ABS(R62)-ABS('Mock C Ans'!R62))&lt;0.5,"✓","✗"),"✗"))</f>
        <v/>
      </c>
      <c r="W62" s="39"/>
      <c r="X62" s="39"/>
      <c r="Y62" s="39"/>
      <c r="Z62" s="39"/>
      <c r="AA62" s="28" t="str">
        <f aca="false">IF(W62="","",IFERROR(IF(ABS(ABS(W62)-ABS('Mock C Ans'!W62))&lt;0.5,"✓","✗"),"✗"))</f>
        <v/>
      </c>
    </row>
    <row r="63" customFormat="false" ht="17.25" hidden="false" customHeight="true" outlineLevel="0" collapsed="false">
      <c r="B63" s="36"/>
      <c r="C63" s="36"/>
      <c r="D63" s="36"/>
      <c r="E63" s="38" t="s">
        <v>248</v>
      </c>
      <c r="F63" s="38"/>
      <c r="G63" s="38"/>
      <c r="H63" s="38"/>
      <c r="I63" s="38"/>
      <c r="J63" s="38"/>
      <c r="K63" s="38"/>
      <c r="L63" s="38"/>
      <c r="M63" s="38"/>
      <c r="N63" s="38"/>
      <c r="O63" s="38"/>
      <c r="P63" s="38"/>
      <c r="Q63" s="38"/>
      <c r="W63" s="27"/>
      <c r="X63" s="27"/>
      <c r="Y63" s="27"/>
      <c r="Z63" s="27"/>
      <c r="AA63" s="28" t="str">
        <f aca="false">IF(W63="","",IFERROR(IF(ABS(ABS(W63)-ABS('Mock C Ans'!W63))&lt;0.5,"✓","✗"),"✗"))</f>
        <v/>
      </c>
    </row>
    <row r="64" customFormat="false" ht="17.25" hidden="false" customHeight="true" outlineLevel="0" collapsed="false">
      <c r="B64" s="36" t="s">
        <v>138</v>
      </c>
      <c r="C64" s="36"/>
      <c r="D64" s="36"/>
      <c r="E64" s="38" t="s">
        <v>249</v>
      </c>
      <c r="F64" s="38"/>
      <c r="G64" s="38"/>
      <c r="H64" s="38"/>
      <c r="I64" s="38"/>
      <c r="J64" s="38"/>
      <c r="K64" s="38"/>
      <c r="L64" s="38"/>
      <c r="M64" s="38"/>
      <c r="N64" s="38"/>
      <c r="O64" s="38"/>
      <c r="P64" s="38"/>
      <c r="Q64" s="38"/>
      <c r="W64" s="39"/>
      <c r="X64" s="39"/>
      <c r="Y64" s="39"/>
      <c r="Z64" s="39"/>
      <c r="AA64" s="28" t="str">
        <f aca="false">IF(W64="","",IFERROR(IF(ABS(ABS(W64)-ABS('Mock C Ans'!W64))&lt;0.5,"✓","✗"),"✗"))</f>
        <v/>
      </c>
      <c r="AB64" s="39"/>
      <c r="AC64" s="39"/>
      <c r="AD64" s="39"/>
      <c r="AE64" s="39"/>
      <c r="AF64" s="28" t="str">
        <f aca="false">IF(AB64="","",IFERROR(IF(ABS(ABS(AB64)-ABS('Mock C Ans'!AB64))&lt;0.5,"✓","✗"),"✗"))</f>
        <v/>
      </c>
    </row>
    <row r="65" customFormat="false" ht="17.25" hidden="false" customHeight="true" outlineLevel="0" collapsed="false">
      <c r="B65" s="36"/>
      <c r="C65" s="36"/>
      <c r="D65" s="36"/>
      <c r="E65" s="56" t="s">
        <v>250</v>
      </c>
      <c r="F65" s="56"/>
      <c r="G65" s="56"/>
      <c r="H65" s="56"/>
      <c r="I65" s="56"/>
      <c r="J65" s="56"/>
      <c r="K65" s="56"/>
      <c r="L65" s="56"/>
      <c r="M65" s="56"/>
      <c r="N65" s="56"/>
      <c r="O65" s="56"/>
      <c r="P65" s="56"/>
      <c r="Q65" s="56"/>
      <c r="AB65" s="27"/>
      <c r="AC65" s="27"/>
      <c r="AD65" s="27"/>
      <c r="AE65" s="27"/>
      <c r="AF65" s="28" t="str">
        <f aca="false">IF(AB65="","",IFERROR(IF(ABS(ABS(AB65)-ABS('Mock C Ans'!AB65))&lt;0.5,"✓","✗"),"✗"))</f>
        <v/>
      </c>
    </row>
    <row r="66" customFormat="false" ht="17.25" hidden="false" customHeight="true" outlineLevel="0" collapsed="false">
      <c r="B66" s="36" t="s">
        <v>247</v>
      </c>
      <c r="C66" s="36"/>
      <c r="D66" s="36"/>
      <c r="E66" s="37" t="s">
        <v>251</v>
      </c>
      <c r="F66" s="37"/>
      <c r="G66" s="37"/>
      <c r="H66" s="37"/>
      <c r="I66" s="37"/>
      <c r="J66" s="37"/>
      <c r="K66" s="37"/>
      <c r="L66" s="37"/>
      <c r="M66" s="37"/>
      <c r="N66" s="37"/>
      <c r="O66" s="37"/>
      <c r="P66" s="37"/>
      <c r="Q66" s="37"/>
    </row>
    <row r="67" customFormat="false" ht="17.25" hidden="false" customHeight="true" outlineLevel="0" collapsed="false">
      <c r="B67" s="36"/>
      <c r="C67" s="36"/>
      <c r="D67" s="36"/>
      <c r="E67" s="38" t="s">
        <v>217</v>
      </c>
      <c r="F67" s="38"/>
      <c r="G67" s="38"/>
      <c r="H67" s="38"/>
      <c r="I67" s="38"/>
      <c r="J67" s="38"/>
      <c r="K67" s="38"/>
      <c r="L67" s="38"/>
      <c r="M67" s="38"/>
      <c r="N67" s="38"/>
      <c r="O67" s="38"/>
      <c r="P67" s="38"/>
      <c r="Q67" s="38"/>
      <c r="W67" s="27"/>
      <c r="X67" s="27"/>
      <c r="Y67" s="27"/>
      <c r="Z67" s="27"/>
      <c r="AA67" s="28" t="str">
        <f aca="false">IF(W67="","",IFERROR(IF(ABS(ABS(W67)-ABS('Mock C Ans'!W67))&lt;0.5,"✓","✗"),"✗"))</f>
        <v/>
      </c>
    </row>
    <row r="68" customFormat="false" ht="17.25" hidden="false" customHeight="true" outlineLevel="0" collapsed="false">
      <c r="B68" s="36"/>
      <c r="C68" s="36"/>
      <c r="D68" s="36"/>
      <c r="E68" s="38" t="s">
        <v>218</v>
      </c>
      <c r="F68" s="38"/>
      <c r="G68" s="38"/>
      <c r="H68" s="38"/>
      <c r="I68" s="38"/>
      <c r="J68" s="38"/>
      <c r="K68" s="38"/>
      <c r="L68" s="38"/>
      <c r="M68" s="38"/>
      <c r="N68" s="38"/>
      <c r="O68" s="38"/>
      <c r="P68" s="38"/>
      <c r="Q68" s="38"/>
      <c r="W68" s="39"/>
      <c r="X68" s="39"/>
      <c r="Y68" s="39"/>
      <c r="Z68" s="39"/>
      <c r="AA68" s="28" t="str">
        <f aca="false">IF(W68="","",IFERROR(IF(ABS(ABS(W68)-ABS('Mock C Ans'!W68))&lt;0.5,"✓","✗"),"✗"))</f>
        <v/>
      </c>
      <c r="AB68" s="39"/>
      <c r="AC68" s="39"/>
      <c r="AD68" s="39"/>
      <c r="AE68" s="39"/>
      <c r="AF68" s="28" t="str">
        <f aca="false">IF(AB68="","",IFERROR(IF(ABS(ABS(AB68)-ABS('Mock C Ans'!AB68))&lt;0.5,"✓","✗"),"✗"))</f>
        <v/>
      </c>
    </row>
    <row r="69" customFormat="false" ht="17.25" hidden="false" customHeight="true" outlineLevel="0" collapsed="false">
      <c r="B69" s="36"/>
      <c r="C69" s="36"/>
      <c r="D69" s="36"/>
      <c r="E69" s="38"/>
      <c r="F69" s="38"/>
      <c r="G69" s="38"/>
      <c r="H69" s="38"/>
      <c r="I69" s="38"/>
      <c r="J69" s="38"/>
      <c r="K69" s="38"/>
      <c r="L69" s="38"/>
      <c r="M69" s="38"/>
      <c r="N69" s="38"/>
      <c r="O69" s="38"/>
      <c r="P69" s="38"/>
      <c r="Q69" s="38"/>
      <c r="AB69" s="27"/>
      <c r="AC69" s="27"/>
      <c r="AD69" s="27"/>
      <c r="AE69" s="27"/>
      <c r="AF69" s="28" t="str">
        <f aca="false">IF(AB69="","",IFERROR(IF(ABS(ABS(AB69)-ABS('Mock C Ans'!AB69))&lt;0.5,"✓","✗"),"✗"))</f>
        <v/>
      </c>
    </row>
    <row r="70" customFormat="false" ht="17.25" hidden="false" customHeight="true" outlineLevel="0" collapsed="false">
      <c r="B70" s="36" t="s">
        <v>138</v>
      </c>
      <c r="C70" s="36"/>
      <c r="D70" s="36"/>
      <c r="E70" s="37" t="s">
        <v>252</v>
      </c>
      <c r="F70" s="37"/>
      <c r="G70" s="37"/>
      <c r="H70" s="37"/>
      <c r="I70" s="37"/>
      <c r="J70" s="37"/>
      <c r="K70" s="37"/>
      <c r="L70" s="37"/>
      <c r="M70" s="37"/>
      <c r="N70" s="37"/>
      <c r="O70" s="37"/>
      <c r="P70" s="37"/>
      <c r="Q70" s="37"/>
    </row>
    <row r="71" customFormat="false" ht="17.25" hidden="false" customHeight="true" outlineLevel="0" collapsed="false">
      <c r="B71" s="36"/>
      <c r="C71" s="36"/>
      <c r="D71" s="36"/>
      <c r="E71" s="38" t="s">
        <v>212</v>
      </c>
      <c r="F71" s="38"/>
      <c r="G71" s="38"/>
      <c r="H71" s="38"/>
      <c r="I71" s="38"/>
      <c r="J71" s="38"/>
      <c r="K71" s="38"/>
      <c r="L71" s="38"/>
      <c r="M71" s="38"/>
      <c r="N71" s="38"/>
      <c r="O71" s="38"/>
      <c r="P71" s="38"/>
      <c r="Q71" s="38"/>
      <c r="W71" s="27"/>
      <c r="X71" s="27"/>
      <c r="Y71" s="27"/>
      <c r="Z71" s="27"/>
      <c r="AA71" s="28" t="str">
        <f aca="false">IF(W71="","",IFERROR(IF(ABS(ABS(W71)-ABS('Mock C Ans'!W71))&lt;0.5,"✓","✗"),"✗"))</f>
        <v/>
      </c>
    </row>
    <row r="72" customFormat="false" ht="17.25" hidden="false" customHeight="true" outlineLevel="0" collapsed="false">
      <c r="B72" s="36"/>
      <c r="C72" s="36"/>
      <c r="D72" s="36"/>
      <c r="E72" s="38" t="s">
        <v>213</v>
      </c>
      <c r="F72" s="38"/>
      <c r="G72" s="38"/>
      <c r="H72" s="38"/>
      <c r="I72" s="38"/>
      <c r="J72" s="38"/>
      <c r="K72" s="38"/>
      <c r="L72" s="38"/>
      <c r="M72" s="38"/>
      <c r="N72" s="38"/>
      <c r="O72" s="38"/>
      <c r="P72" s="38"/>
      <c r="Q72" s="38"/>
      <c r="W72" s="27"/>
      <c r="X72" s="27"/>
      <c r="Y72" s="27"/>
      <c r="Z72" s="27"/>
      <c r="AA72" s="28" t="str">
        <f aca="false">IF(W72="","",IFERROR(IF(ABS(ABS(W72)-ABS('Mock C Ans'!W72))&lt;0.5,"✓","✗"),"✗"))</f>
        <v/>
      </c>
    </row>
    <row r="73" customFormat="false" ht="17.25" hidden="false" customHeight="true" outlineLevel="0" collapsed="false">
      <c r="B73" s="36"/>
      <c r="C73" s="36"/>
      <c r="D73" s="36"/>
      <c r="E73" s="38" t="s">
        <v>214</v>
      </c>
      <c r="F73" s="38"/>
      <c r="G73" s="38"/>
      <c r="H73" s="38"/>
      <c r="I73" s="38"/>
      <c r="J73" s="38"/>
      <c r="K73" s="38"/>
      <c r="L73" s="38"/>
      <c r="M73" s="38"/>
      <c r="N73" s="38"/>
      <c r="O73" s="38"/>
      <c r="P73" s="38"/>
      <c r="Q73" s="38"/>
      <c r="W73" s="27"/>
      <c r="X73" s="27"/>
      <c r="Y73" s="27"/>
      <c r="Z73" s="27"/>
      <c r="AA73" s="28" t="str">
        <f aca="false">IF(W73="","",IFERROR(IF(ABS(ABS(W73)-ABS('Mock C Ans'!W73))&lt;0.5,"✓","✗"),"✗"))</f>
        <v/>
      </c>
    </row>
    <row r="74" customFormat="false" ht="17.25" hidden="false" customHeight="true" outlineLevel="0" collapsed="false">
      <c r="B74" s="36"/>
      <c r="C74" s="36"/>
      <c r="D74" s="36"/>
      <c r="E74" s="38" t="s">
        <v>215</v>
      </c>
      <c r="F74" s="38"/>
      <c r="G74" s="38"/>
      <c r="H74" s="38"/>
      <c r="I74" s="38"/>
      <c r="J74" s="38"/>
      <c r="K74" s="38"/>
      <c r="L74" s="38"/>
      <c r="M74" s="38"/>
      <c r="N74" s="38"/>
      <c r="O74" s="38"/>
      <c r="P74" s="38"/>
      <c r="Q74" s="38"/>
      <c r="W74" s="27"/>
      <c r="X74" s="27"/>
      <c r="Y74" s="27"/>
      <c r="Z74" s="27"/>
      <c r="AA74" s="28" t="str">
        <f aca="false">IF(W74="","",IFERROR(IF(ABS(ABS(W74)-ABS('Mock C Ans'!W74))&lt;0.5,"✓","✗"),"✗"))</f>
        <v/>
      </c>
    </row>
    <row r="75" customFormat="false" ht="17.25" hidden="false" customHeight="true" outlineLevel="0" collapsed="false">
      <c r="B75" s="36"/>
      <c r="C75" s="36"/>
      <c r="D75" s="36"/>
      <c r="E75" s="38" t="s">
        <v>210</v>
      </c>
      <c r="F75" s="38"/>
      <c r="G75" s="38"/>
      <c r="H75" s="38"/>
      <c r="I75" s="38"/>
      <c r="J75" s="38"/>
      <c r="K75" s="38"/>
      <c r="L75" s="38"/>
      <c r="M75" s="38"/>
      <c r="N75" s="38"/>
      <c r="O75" s="38"/>
      <c r="P75" s="38"/>
      <c r="Q75" s="38"/>
      <c r="W75" s="27"/>
      <c r="X75" s="27"/>
      <c r="Y75" s="27"/>
      <c r="Z75" s="27"/>
      <c r="AA75" s="28" t="str">
        <f aca="false">IF(W75="","",IFERROR(IF(ABS(ABS(W75)-ABS('Mock C Ans'!W75))&lt;0.5,"✓","✗"),"✗"))</f>
        <v/>
      </c>
    </row>
    <row r="76" customFormat="false" ht="17.25" hidden="false" customHeight="true" outlineLevel="0" collapsed="false">
      <c r="B76" s="36"/>
      <c r="C76" s="36"/>
      <c r="D76" s="36"/>
      <c r="E76" s="38" t="s">
        <v>216</v>
      </c>
      <c r="F76" s="38"/>
      <c r="G76" s="38"/>
      <c r="H76" s="38"/>
      <c r="I76" s="38"/>
      <c r="J76" s="38"/>
      <c r="K76" s="38"/>
      <c r="L76" s="38"/>
      <c r="M76" s="38"/>
      <c r="N76" s="38"/>
      <c r="O76" s="38"/>
      <c r="P76" s="38"/>
      <c r="Q76" s="38"/>
      <c r="W76" s="27"/>
      <c r="X76" s="27"/>
      <c r="Y76" s="27"/>
      <c r="Z76" s="27"/>
      <c r="AA76" s="28" t="str">
        <f aca="false">IF(W76="","",IFERROR(IF(ABS(ABS(W76)-ABS('Mock C Ans'!W76))&lt;0.5,"✓","✗"),"✗"))</f>
        <v/>
      </c>
    </row>
    <row r="77" customFormat="false" ht="17.25" hidden="false" customHeight="true" outlineLevel="0" collapsed="false">
      <c r="B77" s="36"/>
      <c r="C77" s="36"/>
      <c r="D77" s="36"/>
      <c r="E77" s="38" t="s">
        <v>125</v>
      </c>
      <c r="F77" s="38"/>
      <c r="G77" s="38"/>
      <c r="H77" s="38"/>
      <c r="I77" s="38"/>
      <c r="J77" s="38"/>
      <c r="K77" s="38"/>
      <c r="L77" s="38"/>
      <c r="M77" s="38"/>
      <c r="N77" s="38"/>
      <c r="O77" s="38"/>
      <c r="P77" s="38"/>
      <c r="Q77" s="38"/>
      <c r="W77" s="27"/>
      <c r="X77" s="27"/>
      <c r="Y77" s="27"/>
      <c r="Z77" s="27"/>
      <c r="AA77" s="28" t="str">
        <f aca="false">IF(W77="","",IFERROR(IF(ABS(ABS(W77)-ABS('Mock C Ans'!W77))&lt;0.5,"✓","✗"),"✗"))</f>
        <v/>
      </c>
    </row>
    <row r="78" customFormat="false" ht="17.25" hidden="false" customHeight="true" outlineLevel="0" collapsed="false">
      <c r="B78" s="36"/>
      <c r="C78" s="36"/>
      <c r="D78" s="36"/>
      <c r="E78" s="38" t="s">
        <v>253</v>
      </c>
      <c r="F78" s="38"/>
      <c r="G78" s="38"/>
      <c r="H78" s="38"/>
      <c r="I78" s="38"/>
      <c r="J78" s="38"/>
      <c r="K78" s="38"/>
      <c r="L78" s="38"/>
      <c r="M78" s="38"/>
      <c r="N78" s="38"/>
      <c r="O78" s="38"/>
      <c r="P78" s="38"/>
      <c r="Q78" s="38"/>
      <c r="W78" s="27"/>
      <c r="X78" s="27"/>
      <c r="Y78" s="27"/>
      <c r="Z78" s="27"/>
      <c r="AA78" s="28" t="str">
        <f aca="false">IF(W78="","",IFERROR(IF(ABS(ABS(W78)-ABS('Mock C Ans'!W78))&lt;0.5,"✓","✗"),"✗"))</f>
        <v/>
      </c>
    </row>
    <row r="79" customFormat="false" ht="17.25" hidden="false" customHeight="true" outlineLevel="0" collapsed="false">
      <c r="B79" s="36"/>
      <c r="C79" s="36"/>
      <c r="D79" s="36"/>
      <c r="E79" s="38" t="s">
        <v>254</v>
      </c>
      <c r="F79" s="38"/>
      <c r="G79" s="38"/>
      <c r="H79" s="38"/>
      <c r="I79" s="38"/>
      <c r="J79" s="38"/>
      <c r="K79" s="38"/>
      <c r="L79" s="38"/>
      <c r="M79" s="38"/>
      <c r="N79" s="38"/>
      <c r="O79" s="38"/>
      <c r="P79" s="38"/>
      <c r="Q79" s="38"/>
      <c r="W79" s="27"/>
      <c r="X79" s="27"/>
      <c r="Y79" s="27"/>
      <c r="Z79" s="27"/>
      <c r="AA79" s="28" t="str">
        <f aca="false">IF(W79="","",IFERROR(IF(ABS(ABS(W79)-ABS('Mock C Ans'!W79))&lt;0.5,"✓","✗"),"✗"))</f>
        <v/>
      </c>
    </row>
    <row r="80" customFormat="false" ht="17.25" hidden="false" customHeight="true" outlineLevel="0" collapsed="false">
      <c r="B80" s="36"/>
      <c r="C80" s="36"/>
      <c r="D80" s="36"/>
      <c r="E80" s="38" t="s">
        <v>255</v>
      </c>
      <c r="F80" s="38"/>
      <c r="G80" s="38"/>
      <c r="H80" s="38"/>
      <c r="I80" s="38"/>
      <c r="J80" s="38"/>
      <c r="K80" s="38"/>
      <c r="L80" s="38"/>
      <c r="M80" s="38"/>
      <c r="N80" s="38"/>
      <c r="O80" s="38"/>
      <c r="P80" s="38"/>
      <c r="Q80" s="38"/>
      <c r="W80" s="27"/>
      <c r="X80" s="27"/>
      <c r="Y80" s="27"/>
      <c r="Z80" s="27"/>
      <c r="AA80" s="28" t="str">
        <f aca="false">IF(W80="","",IFERROR(IF(ABS(ABS(W80)-ABS('Mock C Ans'!W80))&lt;0.5,"✓","✗"),"✗"))</f>
        <v/>
      </c>
    </row>
    <row r="81" customFormat="false" ht="17.25" hidden="false" customHeight="true" outlineLevel="0" collapsed="false">
      <c r="B81" s="36"/>
      <c r="C81" s="36"/>
      <c r="D81" s="36"/>
      <c r="E81" s="38" t="s">
        <v>256</v>
      </c>
      <c r="F81" s="38"/>
      <c r="G81" s="38"/>
      <c r="H81" s="38"/>
      <c r="I81" s="38"/>
      <c r="J81" s="38"/>
      <c r="K81" s="38"/>
      <c r="L81" s="38"/>
      <c r="M81" s="38"/>
      <c r="N81" s="38"/>
      <c r="O81" s="38"/>
      <c r="P81" s="38"/>
      <c r="Q81" s="38"/>
      <c r="W81" s="39"/>
      <c r="X81" s="39"/>
      <c r="Y81" s="39"/>
      <c r="Z81" s="39"/>
      <c r="AA81" s="28" t="str">
        <f aca="false">IF(W81="","",IFERROR(IF(ABS(ABS(W81)-ABS('Mock C Ans'!W81))&lt;0.5,"✓","✗"),"✗"))</f>
        <v/>
      </c>
      <c r="AB81" s="39"/>
      <c r="AC81" s="39"/>
      <c r="AD81" s="39"/>
      <c r="AE81" s="39"/>
      <c r="AF81" s="28" t="str">
        <f aca="false">IF(AB81="","",IFERROR(IF(ABS(ABS(AB81)-ABS('Mock C Ans'!AB81))&lt;0.5,"✓","✗"),"✗"))</f>
        <v/>
      </c>
    </row>
    <row r="82" customFormat="false" ht="17.25" hidden="false" customHeight="true" outlineLevel="0" collapsed="false">
      <c r="B82" s="36"/>
      <c r="C82" s="36"/>
      <c r="D82" s="36"/>
      <c r="E82" s="56" t="s">
        <v>257</v>
      </c>
      <c r="F82" s="56"/>
      <c r="G82" s="56"/>
      <c r="H82" s="56"/>
      <c r="I82" s="56"/>
      <c r="J82" s="56"/>
      <c r="K82" s="56"/>
      <c r="L82" s="56"/>
      <c r="M82" s="56"/>
      <c r="N82" s="56"/>
      <c r="O82" s="56"/>
      <c r="P82" s="56"/>
      <c r="Q82" s="56"/>
      <c r="AB82" s="51"/>
      <c r="AC82" s="51"/>
      <c r="AD82" s="51"/>
      <c r="AE82" s="51"/>
      <c r="AF82" s="28" t="str">
        <f aca="false">IF(AB82="","",IFERROR(IF(ABS(ABS(AB82)-ABS('Mock C Ans'!AB82))&lt;0.5,"✓","✗"),"✗"))</f>
        <v/>
      </c>
    </row>
    <row r="84" customFormat="false" ht="18.75" hidden="false" customHeight="true" outlineLevel="0" collapsed="false">
      <c r="B84" s="3" t="s">
        <v>258</v>
      </c>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ustomFormat="false" ht="15" hidden="false" customHeight="false" outlineLevel="0" collapsed="false">
      <c r="B85" s="34" t="s">
        <v>242</v>
      </c>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row>
    <row r="86" customFormat="false" ht="15" hidden="false" customHeight="false" outlineLevel="0" collapsed="false">
      <c r="B86" s="34" t="s">
        <v>259</v>
      </c>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row>
    <row r="87" customFormat="false" ht="15" hidden="false" customHeight="false" outlineLevel="0" collapsed="false">
      <c r="B87" s="35"/>
      <c r="C87" s="35"/>
      <c r="D87" s="35"/>
      <c r="E87" s="23" t="s">
        <v>119</v>
      </c>
      <c r="F87" s="23"/>
      <c r="G87" s="23"/>
      <c r="H87" s="23"/>
      <c r="I87" s="23"/>
      <c r="J87" s="23"/>
      <c r="K87" s="23"/>
      <c r="L87" s="23"/>
      <c r="M87" s="23"/>
      <c r="N87" s="23"/>
      <c r="O87" s="23"/>
      <c r="P87" s="23"/>
      <c r="Q87" s="23"/>
      <c r="R87" s="24" t="s">
        <v>123</v>
      </c>
      <c r="S87" s="24"/>
      <c r="T87" s="24"/>
      <c r="U87" s="24"/>
      <c r="V87" s="24"/>
      <c r="W87" s="24" t="s">
        <v>123</v>
      </c>
      <c r="X87" s="24"/>
      <c r="Y87" s="24"/>
      <c r="Z87" s="24"/>
      <c r="AA87" s="24"/>
      <c r="AB87" s="24" t="s">
        <v>123</v>
      </c>
      <c r="AC87" s="24"/>
      <c r="AD87" s="24"/>
      <c r="AE87" s="24"/>
      <c r="AF87" s="24"/>
    </row>
    <row r="88" customFormat="false" ht="30" hidden="false" customHeight="true" outlineLevel="0" collapsed="false">
      <c r="B88" s="35"/>
      <c r="C88" s="35"/>
      <c r="D88" s="35"/>
      <c r="E88" s="35"/>
      <c r="F88" s="35"/>
      <c r="G88" s="35"/>
      <c r="H88" s="35"/>
      <c r="I88" s="35"/>
      <c r="J88" s="35"/>
      <c r="K88" s="35"/>
      <c r="L88" s="35"/>
      <c r="M88" s="35"/>
      <c r="N88" s="35"/>
      <c r="O88" s="35"/>
      <c r="P88" s="35"/>
      <c r="Q88" s="35"/>
      <c r="R88" s="11" t="s">
        <v>133</v>
      </c>
      <c r="S88" s="11"/>
      <c r="T88" s="11"/>
      <c r="U88" s="11"/>
      <c r="V88" s="11"/>
      <c r="W88" s="11" t="s">
        <v>134</v>
      </c>
      <c r="X88" s="11"/>
      <c r="Y88" s="11"/>
      <c r="Z88" s="11"/>
      <c r="AA88" s="11"/>
      <c r="AB88" s="11" t="s">
        <v>135</v>
      </c>
      <c r="AC88" s="11"/>
      <c r="AD88" s="11"/>
      <c r="AE88" s="11"/>
      <c r="AF88" s="11"/>
    </row>
    <row r="89" customFormat="false" ht="17.25" hidden="false" customHeight="true" outlineLevel="0" collapsed="false">
      <c r="B89" s="36"/>
      <c r="C89" s="36"/>
      <c r="D89" s="36"/>
      <c r="E89" s="37" t="s">
        <v>260</v>
      </c>
      <c r="F89" s="37"/>
      <c r="G89" s="37"/>
      <c r="H89" s="37"/>
      <c r="I89" s="37"/>
      <c r="J89" s="37"/>
      <c r="K89" s="37"/>
      <c r="L89" s="37"/>
      <c r="M89" s="37"/>
      <c r="N89" s="37"/>
      <c r="O89" s="37"/>
      <c r="P89" s="37"/>
      <c r="Q89" s="37"/>
    </row>
    <row r="90" customFormat="false" ht="17.25" hidden="false" customHeight="true" outlineLevel="0" collapsed="false">
      <c r="B90" s="36"/>
      <c r="C90" s="36"/>
      <c r="D90" s="36"/>
      <c r="E90" s="38" t="s">
        <v>261</v>
      </c>
      <c r="F90" s="38"/>
      <c r="G90" s="38"/>
      <c r="H90" s="38"/>
      <c r="I90" s="38"/>
      <c r="J90" s="38"/>
      <c r="K90" s="38"/>
      <c r="L90" s="38"/>
      <c r="M90" s="38"/>
      <c r="N90" s="38"/>
      <c r="O90" s="38"/>
      <c r="P90" s="38"/>
      <c r="Q90" s="38"/>
      <c r="R90" s="27"/>
      <c r="S90" s="27"/>
      <c r="T90" s="27"/>
      <c r="U90" s="27"/>
      <c r="V90" s="28" t="str">
        <f aca="false">IF(R90="","",IFERROR(IF(ABS(ABS(R90)-ABS('Mock C Ans'!R90))&lt;0.5,"✓","✗"),"✗"))</f>
        <v/>
      </c>
      <c r="W90" s="27"/>
      <c r="X90" s="27"/>
      <c r="Y90" s="27"/>
      <c r="Z90" s="27"/>
      <c r="AA90" s="28" t="str">
        <f aca="false">IF(W90="","",IFERROR(IF(ABS(ABS(W90)-ABS('Mock C Ans'!W90))&lt;0.5,"✓","✗"),"✗"))</f>
        <v/>
      </c>
      <c r="AB90" s="27"/>
      <c r="AC90" s="27"/>
      <c r="AD90" s="27"/>
      <c r="AE90" s="27"/>
      <c r="AF90" s="28" t="str">
        <f aca="false">IF(AB90="","",IFERROR(IF(ABS(ABS(AB90)-ABS('Mock C Ans'!AB90))&lt;0.5,"✓","✗"),"✗"))</f>
        <v/>
      </c>
    </row>
    <row r="91" customFormat="false" ht="17.25" hidden="false" customHeight="true" outlineLevel="0" collapsed="false">
      <c r="B91" s="36"/>
      <c r="C91" s="36"/>
      <c r="D91" s="36"/>
      <c r="E91" s="38" t="s">
        <v>262</v>
      </c>
      <c r="F91" s="38"/>
      <c r="G91" s="38"/>
      <c r="H91" s="38"/>
      <c r="I91" s="38"/>
      <c r="J91" s="38"/>
      <c r="K91" s="38"/>
      <c r="L91" s="38"/>
      <c r="M91" s="38"/>
      <c r="N91" s="38"/>
      <c r="O91" s="38"/>
      <c r="P91" s="38"/>
      <c r="Q91" s="38"/>
      <c r="R91" s="27"/>
      <c r="S91" s="27"/>
      <c r="T91" s="27"/>
      <c r="U91" s="27"/>
      <c r="V91" s="28" t="str">
        <f aca="false">IF(R91="","",IFERROR(IF(ABS(ABS(R91)-ABS('Mock C Ans'!R91))&lt;0.5,"✓","✗"),"✗"))</f>
        <v/>
      </c>
      <c r="W91" s="27"/>
      <c r="X91" s="27"/>
      <c r="Y91" s="27"/>
      <c r="Z91" s="27"/>
      <c r="AA91" s="28" t="str">
        <f aca="false">IF(W91="","",IFERROR(IF(ABS(ABS(W91)-ABS('Mock C Ans'!W91))&lt;0.5,"✓","✗"),"✗"))</f>
        <v/>
      </c>
      <c r="AB91" s="27"/>
      <c r="AC91" s="27"/>
      <c r="AD91" s="27"/>
      <c r="AE91" s="27"/>
      <c r="AF91" s="28" t="str">
        <f aca="false">IF(AB91="","",IFERROR(IF(ABS(ABS(AB91)-ABS('Mock C Ans'!AB91))&lt;0.5,"✓","✗"),"✗"))</f>
        <v/>
      </c>
    </row>
    <row r="92" customFormat="false" ht="17.25" hidden="false" customHeight="true" outlineLevel="0" collapsed="false">
      <c r="B92" s="36"/>
      <c r="C92" s="36"/>
      <c r="D92" s="36"/>
      <c r="E92" s="38" t="s">
        <v>263</v>
      </c>
      <c r="F92" s="38"/>
      <c r="G92" s="38"/>
      <c r="H92" s="38"/>
      <c r="I92" s="38"/>
      <c r="J92" s="38"/>
      <c r="K92" s="38"/>
      <c r="L92" s="38"/>
      <c r="M92" s="38"/>
      <c r="N92" s="38"/>
      <c r="O92" s="38"/>
      <c r="P92" s="38"/>
      <c r="Q92" s="38"/>
      <c r="R92" s="39"/>
      <c r="S92" s="39"/>
      <c r="T92" s="39"/>
      <c r="U92" s="39"/>
      <c r="V92" s="28" t="str">
        <f aca="false">IF(R92="","",IFERROR(IF(ABS(ABS(R92)-ABS('Mock C Ans'!R92))&lt;0.5,"✓","✗"),"✗"))</f>
        <v/>
      </c>
      <c r="W92" s="39"/>
      <c r="X92" s="39"/>
      <c r="Y92" s="39"/>
      <c r="Z92" s="39"/>
      <c r="AA92" s="28" t="str">
        <f aca="false">IF(W92="","",IFERROR(IF(ABS(ABS(W92)-ABS('Mock C Ans'!W92))&lt;0.5,"✓","✗"),"✗"))</f>
        <v/>
      </c>
      <c r="AB92" s="39"/>
      <c r="AC92" s="39"/>
      <c r="AD92" s="39"/>
      <c r="AE92" s="39"/>
      <c r="AF92" s="28" t="str">
        <f aca="false">IF(AB92="","",IFERROR(IF(ABS(ABS(AB92)-ABS('Mock C Ans'!AB92))&lt;0.5,"✓","✗"),"✗"))</f>
        <v/>
      </c>
    </row>
    <row r="93" customFormat="false" ht="17.25" hidden="false" customHeight="true" outlineLevel="0" collapsed="false">
      <c r="B93" s="36"/>
      <c r="C93" s="36"/>
      <c r="D93" s="36"/>
      <c r="E93" s="56" t="s">
        <v>264</v>
      </c>
      <c r="F93" s="56"/>
      <c r="G93" s="56"/>
      <c r="H93" s="56"/>
      <c r="I93" s="56"/>
      <c r="J93" s="56"/>
      <c r="K93" s="56"/>
      <c r="L93" s="56"/>
      <c r="M93" s="56"/>
      <c r="N93" s="56"/>
      <c r="O93" s="56"/>
      <c r="P93" s="56"/>
      <c r="Q93" s="56"/>
      <c r="R93" s="27"/>
      <c r="S93" s="27"/>
      <c r="T93" s="27"/>
      <c r="U93" s="27"/>
      <c r="V93" s="28" t="str">
        <f aca="false">IF(R93="","",IFERROR(IF(ABS(ABS(R93)-ABS('Mock C Ans'!R93))&lt;0.5,"✓","✗"),"✗"))</f>
        <v/>
      </c>
      <c r="W93" s="27"/>
      <c r="X93" s="27"/>
      <c r="Y93" s="27"/>
      <c r="Z93" s="27"/>
      <c r="AA93" s="28" t="str">
        <f aca="false">IF(W93="","",IFERROR(IF(ABS(ABS(W93)-ABS('Mock C Ans'!W93))&lt;0.5,"✓","✗"),"✗"))</f>
        <v/>
      </c>
      <c r="AB93" s="27"/>
      <c r="AC93" s="27"/>
      <c r="AD93" s="27"/>
      <c r="AE93" s="27"/>
      <c r="AF93" s="28" t="str">
        <f aca="false">IF(AB93="","",IFERROR(IF(ABS(ABS(AB93)-ABS('Mock C Ans'!AB93))&lt;0.5,"✓","✗"),"✗"))</f>
        <v/>
      </c>
    </row>
    <row r="94" customFormat="false" ht="17.25" hidden="false" customHeight="true" outlineLevel="0" collapsed="false">
      <c r="B94" s="36"/>
      <c r="C94" s="36"/>
      <c r="D94" s="36"/>
      <c r="E94" s="37" t="s">
        <v>136</v>
      </c>
      <c r="F94" s="37"/>
      <c r="G94" s="37"/>
      <c r="H94" s="37"/>
      <c r="I94" s="37"/>
      <c r="J94" s="37"/>
      <c r="K94" s="37"/>
      <c r="L94" s="37"/>
      <c r="M94" s="37"/>
      <c r="N94" s="37"/>
      <c r="O94" s="37"/>
      <c r="P94" s="37"/>
      <c r="Q94" s="37"/>
    </row>
    <row r="95" customFormat="false" ht="17.25" hidden="false" customHeight="true" outlineLevel="0" collapsed="false">
      <c r="B95" s="36"/>
      <c r="C95" s="36"/>
      <c r="D95" s="36"/>
      <c r="E95" s="38" t="s">
        <v>265</v>
      </c>
      <c r="F95" s="38"/>
      <c r="G95" s="38"/>
      <c r="H95" s="38"/>
      <c r="I95" s="38"/>
      <c r="J95" s="38"/>
      <c r="K95" s="38"/>
      <c r="L95" s="38"/>
      <c r="M95" s="38"/>
      <c r="N95" s="38"/>
      <c r="O95" s="38"/>
      <c r="P95" s="38"/>
      <c r="Q95" s="38"/>
      <c r="W95" s="27"/>
      <c r="X95" s="27"/>
      <c r="Y95" s="27"/>
      <c r="Z95" s="27"/>
      <c r="AA95" s="28" t="str">
        <f aca="false">IF(W95="","",IFERROR(IF(ABS(ABS(W95)-ABS('Mock C Ans'!W95))&lt;0.5,"✓","✗"),"✗"))</f>
        <v/>
      </c>
    </row>
    <row r="96" customFormat="false" ht="17.25" hidden="false" customHeight="true" outlineLevel="0" collapsed="false">
      <c r="B96" s="36"/>
      <c r="C96" s="36"/>
      <c r="D96" s="36"/>
      <c r="E96" s="38" t="s">
        <v>137</v>
      </c>
      <c r="F96" s="38"/>
      <c r="G96" s="38"/>
      <c r="H96" s="38"/>
      <c r="I96" s="38"/>
      <c r="J96" s="38"/>
      <c r="K96" s="38"/>
      <c r="L96" s="38"/>
      <c r="M96" s="38"/>
      <c r="N96" s="38"/>
      <c r="O96" s="38"/>
      <c r="P96" s="38"/>
      <c r="Q96" s="38"/>
      <c r="R96" s="27"/>
      <c r="S96" s="27"/>
      <c r="T96" s="27"/>
      <c r="U96" s="27"/>
      <c r="V96" s="28" t="str">
        <f aca="false">IF(R96="","",IFERROR(IF(ABS(ABS(R96)-ABS('Mock C Ans'!R96))&lt;0.5,"✓","✗"),"✗"))</f>
        <v/>
      </c>
    </row>
    <row r="97" customFormat="false" ht="17.25" hidden="false" customHeight="true" outlineLevel="0" collapsed="false">
      <c r="B97" s="36" t="s">
        <v>138</v>
      </c>
      <c r="C97" s="36"/>
      <c r="D97" s="36"/>
      <c r="E97" s="38" t="s">
        <v>129</v>
      </c>
      <c r="F97" s="38"/>
      <c r="G97" s="38"/>
      <c r="H97" s="38"/>
      <c r="I97" s="38"/>
      <c r="J97" s="38"/>
      <c r="K97" s="38"/>
      <c r="L97" s="38"/>
      <c r="M97" s="38"/>
      <c r="N97" s="38"/>
      <c r="O97" s="38"/>
      <c r="P97" s="38"/>
      <c r="Q97" s="38"/>
      <c r="R97" s="39"/>
      <c r="S97" s="39"/>
      <c r="T97" s="39"/>
      <c r="U97" s="39"/>
      <c r="V97" s="28" t="str">
        <f aca="false">IF(R97="","",IFERROR(IF(ABS(ABS(R97)-ABS('Mock C Ans'!R97))&lt;0.5,"✓","✗"),"✗"))</f>
        <v/>
      </c>
      <c r="W97" s="27"/>
      <c r="X97" s="27"/>
      <c r="Y97" s="27"/>
      <c r="Z97" s="27"/>
      <c r="AA97" s="28" t="str">
        <f aca="false">IF(W97="","",IFERROR(IF(ABS(ABS(W97)-ABS('Mock C Ans'!W97))&lt;0.5,"✓","✗"),"✗"))</f>
        <v/>
      </c>
    </row>
    <row r="98" customFormat="false" ht="17.25" hidden="false" customHeight="true" outlineLevel="0" collapsed="false">
      <c r="B98" s="36"/>
      <c r="C98" s="36"/>
      <c r="D98" s="36"/>
      <c r="E98" s="38" t="s">
        <v>185</v>
      </c>
      <c r="F98" s="38"/>
      <c r="G98" s="38"/>
      <c r="H98" s="38"/>
      <c r="I98" s="38"/>
      <c r="J98" s="38"/>
      <c r="K98" s="38"/>
      <c r="L98" s="38"/>
      <c r="M98" s="38"/>
      <c r="N98" s="38"/>
      <c r="O98" s="38"/>
      <c r="P98" s="38"/>
      <c r="Q98" s="38"/>
      <c r="W98" s="27"/>
      <c r="X98" s="27"/>
      <c r="Y98" s="27"/>
      <c r="Z98" s="27"/>
      <c r="AA98" s="28" t="str">
        <f aca="false">IF(W98="","",IFERROR(IF(ABS(ABS(W98)-ABS('Mock C Ans'!W98))&lt;0.5,"✓","✗"),"✗"))</f>
        <v/>
      </c>
    </row>
    <row r="99" customFormat="false" ht="17.25" hidden="false" customHeight="true" outlineLevel="0" collapsed="false">
      <c r="B99" s="36"/>
      <c r="C99" s="36"/>
      <c r="D99" s="36"/>
      <c r="E99" s="38" t="s">
        <v>226</v>
      </c>
      <c r="F99" s="38"/>
      <c r="G99" s="38"/>
      <c r="H99" s="38"/>
      <c r="I99" s="38"/>
      <c r="J99" s="38"/>
      <c r="K99" s="38"/>
      <c r="L99" s="38"/>
      <c r="M99" s="38"/>
      <c r="N99" s="38"/>
      <c r="O99" s="38"/>
      <c r="P99" s="38"/>
      <c r="Q99" s="38"/>
      <c r="W99" s="39"/>
      <c r="X99" s="39"/>
      <c r="Y99" s="39"/>
      <c r="Z99" s="39"/>
      <c r="AA99" s="28" t="str">
        <f aca="false">IF(W99="","",IFERROR(IF(ABS(ABS(W99)-ABS('Mock C Ans'!W99))&lt;0.5,"✓","✗"),"✗"))</f>
        <v/>
      </c>
    </row>
    <row r="100" customFormat="false" ht="17.25" hidden="false" customHeight="true" outlineLevel="0" collapsed="false">
      <c r="B100" s="36"/>
      <c r="C100" s="36"/>
      <c r="D100" s="36"/>
      <c r="E100" s="56" t="s">
        <v>266</v>
      </c>
      <c r="F100" s="56"/>
      <c r="G100" s="56"/>
      <c r="H100" s="56"/>
      <c r="I100" s="56"/>
      <c r="J100" s="56"/>
      <c r="K100" s="56"/>
      <c r="L100" s="56"/>
      <c r="M100" s="56"/>
      <c r="N100" s="56"/>
      <c r="O100" s="56"/>
      <c r="P100" s="56"/>
      <c r="Q100" s="56"/>
      <c r="W100" s="27"/>
      <c r="X100" s="27"/>
      <c r="Y100" s="27"/>
      <c r="Z100" s="27"/>
      <c r="AA100" s="28" t="str">
        <f aca="false">IF(W100="","",IFERROR(IF(ABS(ABS(W100)-ABS('Mock C Ans'!W100))&lt;0.5,"✓","✗"),"✗"))</f>
        <v/>
      </c>
    </row>
    <row r="101" customFormat="false" ht="17.25" hidden="false" customHeight="true" outlineLevel="0" collapsed="false">
      <c r="B101" s="36" t="s">
        <v>138</v>
      </c>
      <c r="C101" s="36"/>
      <c r="D101" s="36"/>
      <c r="E101" s="37" t="s">
        <v>186</v>
      </c>
      <c r="F101" s="37"/>
      <c r="G101" s="37"/>
      <c r="H101" s="37"/>
      <c r="I101" s="37"/>
      <c r="J101" s="37"/>
      <c r="K101" s="37"/>
      <c r="L101" s="37"/>
      <c r="M101" s="37"/>
      <c r="N101" s="37"/>
      <c r="O101" s="37"/>
      <c r="P101" s="37"/>
      <c r="Q101" s="37"/>
    </row>
    <row r="102" customFormat="false" ht="17.25" hidden="false" customHeight="true" outlineLevel="0" collapsed="false">
      <c r="B102" s="36"/>
      <c r="C102" s="36"/>
      <c r="D102" s="36"/>
      <c r="E102" s="38" t="s">
        <v>224</v>
      </c>
      <c r="F102" s="38"/>
      <c r="G102" s="38"/>
      <c r="H102" s="38"/>
      <c r="I102" s="38"/>
      <c r="J102" s="38"/>
      <c r="K102" s="38"/>
      <c r="L102" s="38"/>
      <c r="M102" s="38"/>
      <c r="N102" s="38"/>
      <c r="O102" s="38"/>
      <c r="P102" s="38"/>
      <c r="Q102" s="38"/>
      <c r="W102" s="27"/>
      <c r="X102" s="27"/>
      <c r="Y102" s="27"/>
      <c r="Z102" s="27"/>
      <c r="AA102" s="28" t="str">
        <f aca="false">IF(W102="","",IFERROR(IF(ABS(ABS(W102)-ABS('Mock C Ans'!W102))&lt;0.5,"✓","✗"),"✗"))</f>
        <v/>
      </c>
    </row>
    <row r="103" customFormat="false" ht="17.25" hidden="false" customHeight="true" outlineLevel="0" collapsed="false">
      <c r="B103" s="36"/>
      <c r="C103" s="36"/>
      <c r="D103" s="36"/>
      <c r="E103" s="38" t="s">
        <v>267</v>
      </c>
      <c r="F103" s="38"/>
      <c r="G103" s="38"/>
      <c r="H103" s="38"/>
      <c r="I103" s="38"/>
      <c r="J103" s="38"/>
      <c r="K103" s="38"/>
      <c r="L103" s="38"/>
      <c r="M103" s="38"/>
      <c r="N103" s="38"/>
      <c r="O103" s="38"/>
      <c r="P103" s="38"/>
      <c r="Q103" s="38"/>
      <c r="W103" s="27"/>
      <c r="X103" s="27"/>
      <c r="Y103" s="27"/>
      <c r="Z103" s="27"/>
      <c r="AA103" s="28" t="str">
        <f aca="false">IF(W103="","",IFERROR(IF(ABS(ABS(W103)-ABS('Mock C Ans'!W103))&lt;0.5,"✓","✗"),"✗"))</f>
        <v/>
      </c>
    </row>
    <row r="104" customFormat="false" ht="17.25" hidden="false" customHeight="true" outlineLevel="0" collapsed="false">
      <c r="B104" s="36"/>
      <c r="C104" s="36"/>
      <c r="D104" s="36"/>
      <c r="E104" s="38" t="s">
        <v>225</v>
      </c>
      <c r="F104" s="38"/>
      <c r="G104" s="38"/>
      <c r="H104" s="38"/>
      <c r="I104" s="38"/>
      <c r="J104" s="38"/>
      <c r="K104" s="38"/>
      <c r="L104" s="38"/>
      <c r="M104" s="38"/>
      <c r="N104" s="38"/>
      <c r="O104" s="38"/>
      <c r="P104" s="38"/>
      <c r="Q104" s="38"/>
      <c r="W104" s="39"/>
      <c r="X104" s="39"/>
      <c r="Y104" s="39"/>
      <c r="Z104" s="39"/>
      <c r="AA104" s="28" t="str">
        <f aca="false">IF(W104="","",IFERROR(IF(ABS(ABS(W104)-ABS('Mock C Ans'!W104))&lt;0.5,"✓","✗"),"✗"))</f>
        <v/>
      </c>
    </row>
    <row r="105" customFormat="false" ht="17.25" hidden="false" customHeight="true" outlineLevel="0" collapsed="false">
      <c r="B105" s="36"/>
      <c r="C105" s="36"/>
      <c r="D105" s="36"/>
      <c r="E105" s="56" t="s">
        <v>268</v>
      </c>
      <c r="F105" s="56"/>
      <c r="G105" s="56"/>
      <c r="H105" s="56"/>
      <c r="I105" s="56"/>
      <c r="J105" s="56"/>
      <c r="K105" s="56"/>
      <c r="L105" s="56"/>
      <c r="M105" s="56"/>
      <c r="N105" s="56"/>
      <c r="O105" s="56"/>
      <c r="P105" s="56"/>
      <c r="Q105" s="56"/>
      <c r="W105" s="39"/>
      <c r="X105" s="39"/>
      <c r="Y105" s="39"/>
      <c r="Z105" s="39"/>
      <c r="AA105" s="28" t="str">
        <f aca="false">IF(W105="","",IFERROR(IF(ABS(ABS(W105)-ABS('Mock C Ans'!W105))&lt;0.5,"✓","✗"),"✗"))</f>
        <v/>
      </c>
    </row>
    <row r="106" customFormat="false" ht="17.25" hidden="false" customHeight="true" outlineLevel="0" collapsed="false">
      <c r="B106" s="36"/>
      <c r="C106" s="36"/>
      <c r="D106" s="36"/>
      <c r="E106" s="38" t="s">
        <v>269</v>
      </c>
      <c r="F106" s="38"/>
      <c r="G106" s="38"/>
      <c r="H106" s="38"/>
      <c r="I106" s="38"/>
      <c r="J106" s="38"/>
      <c r="K106" s="38"/>
      <c r="L106" s="38"/>
      <c r="M106" s="38"/>
      <c r="N106" s="38"/>
      <c r="O106" s="38"/>
      <c r="P106" s="38"/>
      <c r="Q106" s="38"/>
      <c r="AB106" s="39"/>
      <c r="AC106" s="39"/>
      <c r="AD106" s="39"/>
      <c r="AE106" s="39"/>
      <c r="AF106" s="28" t="str">
        <f aca="false">IF(AB106="","",IFERROR(IF(ABS(ABS(AB106)-ABS('Mock C Ans'!AB106))&lt;0.5,"✓","✗"),"✗"))</f>
        <v/>
      </c>
    </row>
    <row r="107" customFormat="false" ht="17.25" hidden="false" customHeight="true" outlineLevel="0" collapsed="false">
      <c r="B107" s="36"/>
      <c r="C107" s="36"/>
      <c r="D107" s="36"/>
      <c r="E107" s="38"/>
      <c r="F107" s="38"/>
      <c r="G107" s="38"/>
      <c r="H107" s="38"/>
      <c r="I107" s="38"/>
      <c r="J107" s="38"/>
      <c r="K107" s="38"/>
      <c r="L107" s="38"/>
      <c r="M107" s="38"/>
      <c r="N107" s="38"/>
      <c r="O107" s="38"/>
      <c r="P107" s="38"/>
      <c r="Q107" s="38"/>
      <c r="AB107" s="27"/>
      <c r="AC107" s="27"/>
      <c r="AD107" s="27"/>
      <c r="AE107" s="27"/>
      <c r="AF107" s="28" t="str">
        <f aca="false">IF(AB107="","",IFERROR(IF(ABS(ABS(AB107)-ABS('Mock C Ans'!AB107))&lt;0.5,"✓","✗"),"✗"))</f>
        <v/>
      </c>
    </row>
    <row r="108" customFormat="false" ht="17.25" hidden="false" customHeight="true" outlineLevel="0" collapsed="false">
      <c r="B108" s="36" t="s">
        <v>138</v>
      </c>
      <c r="C108" s="36"/>
      <c r="D108" s="36"/>
      <c r="E108" s="37" t="s">
        <v>270</v>
      </c>
      <c r="F108" s="37"/>
      <c r="G108" s="37"/>
      <c r="H108" s="37"/>
      <c r="I108" s="37"/>
      <c r="J108" s="37"/>
      <c r="K108" s="37"/>
      <c r="L108" s="37"/>
      <c r="M108" s="37"/>
      <c r="N108" s="37"/>
      <c r="O108" s="37"/>
      <c r="P108" s="37"/>
      <c r="Q108" s="37"/>
    </row>
    <row r="109" customFormat="false" ht="17.25" hidden="false" customHeight="true" outlineLevel="0" collapsed="false">
      <c r="B109" s="36"/>
      <c r="C109" s="36"/>
      <c r="D109" s="36"/>
      <c r="E109" s="38" t="s">
        <v>227</v>
      </c>
      <c r="F109" s="38"/>
      <c r="G109" s="38"/>
      <c r="H109" s="38"/>
      <c r="I109" s="38"/>
      <c r="J109" s="38"/>
      <c r="K109" s="38"/>
      <c r="L109" s="38"/>
      <c r="M109" s="38"/>
      <c r="N109" s="38"/>
      <c r="O109" s="38"/>
      <c r="P109" s="38"/>
      <c r="Q109" s="38"/>
      <c r="AB109" s="39"/>
      <c r="AC109" s="39"/>
      <c r="AD109" s="39"/>
      <c r="AE109" s="39"/>
      <c r="AF109" s="28" t="str">
        <f aca="false">IF(AB109="","",IFERROR(IF(ABS(ABS(AB109)-ABS('Mock C Ans'!AB109))&lt;0.5,"✓","✗"),"✗"))</f>
        <v/>
      </c>
    </row>
    <row r="110" customFormat="false" ht="17.25" hidden="false" customHeight="true" outlineLevel="0" collapsed="false">
      <c r="B110" s="36"/>
      <c r="C110" s="36"/>
      <c r="D110" s="36"/>
      <c r="E110" s="56" t="s">
        <v>271</v>
      </c>
      <c r="F110" s="56"/>
      <c r="G110" s="56"/>
      <c r="H110" s="56"/>
      <c r="I110" s="56"/>
      <c r="J110" s="56"/>
      <c r="K110" s="56"/>
      <c r="L110" s="56"/>
      <c r="M110" s="56"/>
      <c r="N110" s="56"/>
      <c r="O110" s="56"/>
      <c r="P110" s="56"/>
      <c r="Q110" s="56"/>
      <c r="AB110" s="51"/>
      <c r="AC110" s="51"/>
      <c r="AD110" s="51"/>
      <c r="AE110" s="51"/>
      <c r="AF110" s="28" t="str">
        <f aca="false">IF(AB110="","",IFERROR(IF(ABS(ABS(AB110)-ABS('Mock C Ans'!AB110))&lt;0.5,"✓","✗"),"✗"))</f>
        <v/>
      </c>
    </row>
    <row r="111" customFormat="false" ht="17.25" hidden="false" customHeight="true" outlineLevel="0" collapsed="false">
      <c r="B111" s="36"/>
      <c r="C111" s="36"/>
      <c r="D111" s="36"/>
      <c r="E111" s="37" t="s">
        <v>272</v>
      </c>
      <c r="F111" s="37"/>
      <c r="G111" s="37"/>
      <c r="H111" s="37"/>
      <c r="I111" s="37"/>
      <c r="J111" s="37"/>
      <c r="K111" s="37"/>
      <c r="L111" s="37"/>
      <c r="M111" s="37"/>
      <c r="N111" s="37"/>
      <c r="O111" s="37"/>
      <c r="P111" s="37"/>
      <c r="Q111" s="37"/>
    </row>
    <row r="112" customFormat="false" ht="17.25" hidden="false" customHeight="true" outlineLevel="0" collapsed="false">
      <c r="B112" s="36"/>
      <c r="C112" s="36"/>
      <c r="D112" s="36"/>
      <c r="E112" s="38" t="s">
        <v>273</v>
      </c>
      <c r="F112" s="38"/>
      <c r="G112" s="38"/>
      <c r="H112" s="38"/>
      <c r="I112" s="38"/>
      <c r="J112" s="38"/>
      <c r="K112" s="38"/>
      <c r="L112" s="38"/>
      <c r="M112" s="38"/>
      <c r="N112" s="38"/>
      <c r="O112" s="38"/>
      <c r="P112" s="38"/>
      <c r="Q112" s="38"/>
      <c r="AB112" s="27"/>
      <c r="AC112" s="27"/>
      <c r="AD112" s="27"/>
      <c r="AE112" s="27"/>
      <c r="AF112" s="28" t="str">
        <f aca="false">IF(AB112="","",IFERROR(IF(ABS(ABS(AB112)-ABS('Mock C Ans'!AB112))&lt;0.5,"✓","✗"),"✗"))</f>
        <v/>
      </c>
    </row>
    <row r="113" customFormat="false" ht="17.25" hidden="false" customHeight="true" outlineLevel="0" collapsed="false">
      <c r="B113" s="36" t="s">
        <v>247</v>
      </c>
      <c r="C113" s="36"/>
      <c r="D113" s="36"/>
      <c r="E113" s="38" t="s">
        <v>257</v>
      </c>
      <c r="F113" s="38"/>
      <c r="G113" s="38"/>
      <c r="H113" s="38"/>
      <c r="I113" s="38"/>
      <c r="J113" s="38"/>
      <c r="K113" s="38"/>
      <c r="L113" s="38"/>
      <c r="M113" s="38"/>
      <c r="N113" s="38"/>
      <c r="O113" s="38"/>
      <c r="P113" s="38"/>
      <c r="Q113" s="38"/>
      <c r="AB113" s="39"/>
      <c r="AC113" s="39"/>
      <c r="AD113" s="39"/>
      <c r="AE113" s="39"/>
      <c r="AF113" s="28" t="str">
        <f aca="false">IF(AB113="","",IFERROR(IF(ABS(ABS(AB113)-ABS('Mock C Ans'!AB113))&lt;0.5,"✓","✗"),"✗"))</f>
        <v/>
      </c>
    </row>
    <row r="114" customFormat="false" ht="17.25" hidden="false" customHeight="true" outlineLevel="0" collapsed="false">
      <c r="B114" s="36"/>
      <c r="C114" s="36"/>
      <c r="D114" s="36"/>
      <c r="E114" s="38"/>
      <c r="F114" s="38"/>
      <c r="G114" s="38"/>
      <c r="H114" s="38"/>
      <c r="I114" s="38"/>
      <c r="J114" s="38"/>
      <c r="K114" s="38"/>
      <c r="L114" s="38"/>
      <c r="M114" s="38"/>
      <c r="N114" s="38"/>
      <c r="O114" s="38"/>
      <c r="P114" s="38"/>
      <c r="Q114" s="38"/>
      <c r="AB114" s="27"/>
      <c r="AC114" s="27"/>
      <c r="AD114" s="27"/>
      <c r="AE114" s="27"/>
      <c r="AF114" s="28" t="str">
        <f aca="false">IF(AB114="","",IFERROR(IF(ABS(ABS(AB114)-ABS('Mock C Ans'!AB114))&lt;0.5,"✓","✗"),"✗"))</f>
        <v/>
      </c>
    </row>
    <row r="115" customFormat="false" ht="17.25" hidden="false" customHeight="true" outlineLevel="0" collapsed="false">
      <c r="B115" s="36" t="s">
        <v>138</v>
      </c>
      <c r="C115" s="36"/>
      <c r="D115" s="36"/>
      <c r="E115" s="38" t="s">
        <v>229</v>
      </c>
      <c r="F115" s="38"/>
      <c r="G115" s="38"/>
      <c r="H115" s="38"/>
      <c r="I115" s="38"/>
      <c r="J115" s="38"/>
      <c r="K115" s="38"/>
      <c r="L115" s="38"/>
      <c r="M115" s="38"/>
      <c r="N115" s="38"/>
      <c r="O115" s="38"/>
      <c r="P115" s="38"/>
      <c r="Q115" s="38"/>
      <c r="AB115" s="39"/>
      <c r="AC115" s="39"/>
      <c r="AD115" s="39"/>
      <c r="AE115" s="39"/>
      <c r="AF115" s="28" t="str">
        <f aca="false">IF(AB115="","",IFERROR(IF(ABS(ABS(AB115)-ABS('Mock C Ans'!AB115))&lt;0.5,"✓","✗"),"✗"))</f>
        <v/>
      </c>
    </row>
    <row r="116" customFormat="false" ht="17.25" hidden="false" customHeight="true" outlineLevel="0" collapsed="false">
      <c r="B116" s="36"/>
      <c r="C116" s="36"/>
      <c r="D116" s="36"/>
      <c r="E116" s="56" t="s">
        <v>274</v>
      </c>
      <c r="F116" s="56"/>
      <c r="G116" s="56"/>
      <c r="H116" s="56"/>
      <c r="I116" s="56"/>
      <c r="J116" s="56"/>
      <c r="K116" s="56"/>
      <c r="L116" s="56"/>
      <c r="M116" s="56"/>
      <c r="N116" s="56"/>
      <c r="O116" s="56"/>
      <c r="P116" s="56"/>
      <c r="Q116" s="56"/>
      <c r="AB116" s="51"/>
      <c r="AC116" s="51"/>
      <c r="AD116" s="51"/>
      <c r="AE116" s="51"/>
      <c r="AF116" s="28" t="str">
        <f aca="false">IF(AB116="","",IFERROR(IF(ABS(ABS(AB116)-ABS('Mock C Ans'!AB116))&lt;0.5,"✓","✗"),"✗"))</f>
        <v/>
      </c>
    </row>
  </sheetData>
  <mergeCells count="311">
    <mergeCell ref="B1:AF1"/>
    <mergeCell ref="B2:AF2"/>
    <mergeCell ref="B3:G3"/>
    <mergeCell ref="H3:AF3"/>
    <mergeCell ref="B5:AF5"/>
    <mergeCell ref="B6:AF6"/>
    <mergeCell ref="B7:T7"/>
    <mergeCell ref="U7:Z7"/>
    <mergeCell ref="AA7:AF7"/>
    <mergeCell ref="B8:T8"/>
    <mergeCell ref="U8:Z8"/>
    <mergeCell ref="AA8:AF8"/>
    <mergeCell ref="B9:T9"/>
    <mergeCell ref="U9:Z9"/>
    <mergeCell ref="AA9:AF9"/>
    <mergeCell ref="B10:T10"/>
    <mergeCell ref="U10:Z10"/>
    <mergeCell ref="AA10:AF10"/>
    <mergeCell ref="B11:T11"/>
    <mergeCell ref="U11:Z11"/>
    <mergeCell ref="AA11:AF11"/>
    <mergeCell ref="B12:T12"/>
    <mergeCell ref="U12:Z12"/>
    <mergeCell ref="AA12:AF12"/>
    <mergeCell ref="B13:T13"/>
    <mergeCell ref="U13:Z13"/>
    <mergeCell ref="AA13:AF13"/>
    <mergeCell ref="B14:T14"/>
    <mergeCell ref="U14:Z14"/>
    <mergeCell ref="AA14:AF14"/>
    <mergeCell ref="B15:T15"/>
    <mergeCell ref="U15:Z15"/>
    <mergeCell ref="AA15:AF15"/>
    <mergeCell ref="B16:T16"/>
    <mergeCell ref="U16:Z16"/>
    <mergeCell ref="AA16:AF16"/>
    <mergeCell ref="B17:T17"/>
    <mergeCell ref="U17:Z17"/>
    <mergeCell ref="AA17:AF17"/>
    <mergeCell ref="B18:T18"/>
    <mergeCell ref="U18:Z18"/>
    <mergeCell ref="AA18:AF18"/>
    <mergeCell ref="B19:T19"/>
    <mergeCell ref="U19:Z19"/>
    <mergeCell ref="AA19:AF19"/>
    <mergeCell ref="B20:T20"/>
    <mergeCell ref="U20:Z20"/>
    <mergeCell ref="AA20:AF20"/>
    <mergeCell ref="B21:T21"/>
    <mergeCell ref="U21:Z21"/>
    <mergeCell ref="AA21:AF21"/>
    <mergeCell ref="B22:T22"/>
    <mergeCell ref="U22:Z22"/>
    <mergeCell ref="AA22:AF22"/>
    <mergeCell ref="B23:T23"/>
    <mergeCell ref="U23:Z23"/>
    <mergeCell ref="AA23:AF23"/>
    <mergeCell ref="B24:T24"/>
    <mergeCell ref="U24:Z24"/>
    <mergeCell ref="AA24:AF24"/>
    <mergeCell ref="B25:T25"/>
    <mergeCell ref="U25:Z25"/>
    <mergeCell ref="AA25:AF25"/>
    <mergeCell ref="B26:T26"/>
    <mergeCell ref="U26:Z26"/>
    <mergeCell ref="AA26:AF26"/>
    <mergeCell ref="B27:T27"/>
    <mergeCell ref="U27:Z27"/>
    <mergeCell ref="AA27:AF27"/>
    <mergeCell ref="B28:T28"/>
    <mergeCell ref="U28:Z28"/>
    <mergeCell ref="AA28:AF28"/>
    <mergeCell ref="B29:T29"/>
    <mergeCell ref="U29:Z29"/>
    <mergeCell ref="AA29:AF29"/>
    <mergeCell ref="B30:T30"/>
    <mergeCell ref="U30:Z30"/>
    <mergeCell ref="AA30:AF30"/>
    <mergeCell ref="B31:T31"/>
    <mergeCell ref="U31:Z31"/>
    <mergeCell ref="AA31:AF31"/>
    <mergeCell ref="B32:T32"/>
    <mergeCell ref="U32:Z32"/>
    <mergeCell ref="AA32:AF32"/>
    <mergeCell ref="B33:T33"/>
    <mergeCell ref="U33:Z33"/>
    <mergeCell ref="AA33:AF33"/>
    <mergeCell ref="B34:T34"/>
    <mergeCell ref="U34:Z34"/>
    <mergeCell ref="AA34:AF34"/>
    <mergeCell ref="B35:T35"/>
    <mergeCell ref="U35:Z35"/>
    <mergeCell ref="AA35:AF35"/>
    <mergeCell ref="B36:T36"/>
    <mergeCell ref="U36:Z36"/>
    <mergeCell ref="AA36:AF36"/>
    <mergeCell ref="B38:W38"/>
    <mergeCell ref="X38:AC38"/>
    <mergeCell ref="B39:W39"/>
    <mergeCell ref="X39:AC39"/>
    <mergeCell ref="B40:W40"/>
    <mergeCell ref="X40:AC40"/>
    <mergeCell ref="B41:W41"/>
    <mergeCell ref="X41:AC41"/>
    <mergeCell ref="B42:W42"/>
    <mergeCell ref="X42:AC42"/>
    <mergeCell ref="B43:W43"/>
    <mergeCell ref="X43:AC43"/>
    <mergeCell ref="B44:W44"/>
    <mergeCell ref="X44:AC44"/>
    <mergeCell ref="B45:W45"/>
    <mergeCell ref="X45:AC45"/>
    <mergeCell ref="B46:W46"/>
    <mergeCell ref="X46:AC46"/>
    <mergeCell ref="B47:W47"/>
    <mergeCell ref="X47:AC47"/>
    <mergeCell ref="B49:AF49"/>
    <mergeCell ref="B51:AF51"/>
    <mergeCell ref="B52:AF52"/>
    <mergeCell ref="B53:AF53"/>
    <mergeCell ref="B54:D54"/>
    <mergeCell ref="E54:Q54"/>
    <mergeCell ref="R54:V54"/>
    <mergeCell ref="W54:AA54"/>
    <mergeCell ref="AB54:AF54"/>
    <mergeCell ref="B55:D55"/>
    <mergeCell ref="E55:Q55"/>
    <mergeCell ref="AB55:AE55"/>
    <mergeCell ref="B56:D56"/>
    <mergeCell ref="E56:Q56"/>
    <mergeCell ref="AB56:AE56"/>
    <mergeCell ref="B57:D57"/>
    <mergeCell ref="E57:Q57"/>
    <mergeCell ref="AB57:AE57"/>
    <mergeCell ref="B58:D58"/>
    <mergeCell ref="E58:Q58"/>
    <mergeCell ref="B59:D59"/>
    <mergeCell ref="E59:Q59"/>
    <mergeCell ref="W59:Z59"/>
    <mergeCell ref="B60:D60"/>
    <mergeCell ref="E60:Q60"/>
    <mergeCell ref="R60:U60"/>
    <mergeCell ref="B61:D61"/>
    <mergeCell ref="E61:Q61"/>
    <mergeCell ref="R61:U61"/>
    <mergeCell ref="B62:D62"/>
    <mergeCell ref="E62:Q62"/>
    <mergeCell ref="R62:U62"/>
    <mergeCell ref="W62:Z62"/>
    <mergeCell ref="B63:D63"/>
    <mergeCell ref="E63:Q63"/>
    <mergeCell ref="W63:Z63"/>
    <mergeCell ref="B64:D64"/>
    <mergeCell ref="E64:Q64"/>
    <mergeCell ref="W64:Z64"/>
    <mergeCell ref="AB64:AE64"/>
    <mergeCell ref="B65:D65"/>
    <mergeCell ref="E65:Q65"/>
    <mergeCell ref="AB65:AE65"/>
    <mergeCell ref="B66:D66"/>
    <mergeCell ref="E66:Q66"/>
    <mergeCell ref="B67:D67"/>
    <mergeCell ref="E67:Q67"/>
    <mergeCell ref="W67:Z67"/>
    <mergeCell ref="B68:D68"/>
    <mergeCell ref="E68:Q68"/>
    <mergeCell ref="W68:Z68"/>
    <mergeCell ref="AB68:AE68"/>
    <mergeCell ref="B69:D69"/>
    <mergeCell ref="E69:Q69"/>
    <mergeCell ref="AB69:AE69"/>
    <mergeCell ref="B70:D70"/>
    <mergeCell ref="E70:Q70"/>
    <mergeCell ref="B71:D71"/>
    <mergeCell ref="E71:Q71"/>
    <mergeCell ref="W71:Z71"/>
    <mergeCell ref="B72:D72"/>
    <mergeCell ref="E72:Q72"/>
    <mergeCell ref="W72:Z72"/>
    <mergeCell ref="B73:D73"/>
    <mergeCell ref="E73:Q73"/>
    <mergeCell ref="W73:Z73"/>
    <mergeCell ref="B74:D74"/>
    <mergeCell ref="E74:Q74"/>
    <mergeCell ref="W74:Z74"/>
    <mergeCell ref="B75:D75"/>
    <mergeCell ref="E75:Q75"/>
    <mergeCell ref="W75:Z75"/>
    <mergeCell ref="B76:D76"/>
    <mergeCell ref="E76:Q76"/>
    <mergeCell ref="W76:Z76"/>
    <mergeCell ref="B77:D77"/>
    <mergeCell ref="E77:Q77"/>
    <mergeCell ref="W77:Z77"/>
    <mergeCell ref="B78:D78"/>
    <mergeCell ref="E78:Q78"/>
    <mergeCell ref="W78:Z78"/>
    <mergeCell ref="B79:D79"/>
    <mergeCell ref="E79:Q79"/>
    <mergeCell ref="W79:Z79"/>
    <mergeCell ref="B80:D80"/>
    <mergeCell ref="E80:Q80"/>
    <mergeCell ref="W80:Z80"/>
    <mergeCell ref="B81:D81"/>
    <mergeCell ref="E81:Q81"/>
    <mergeCell ref="W81:Z81"/>
    <mergeCell ref="AB81:AE81"/>
    <mergeCell ref="B82:D82"/>
    <mergeCell ref="E82:Q82"/>
    <mergeCell ref="AB82:AE82"/>
    <mergeCell ref="B84:AF84"/>
    <mergeCell ref="B85:AF85"/>
    <mergeCell ref="B86:AF86"/>
    <mergeCell ref="B87:D87"/>
    <mergeCell ref="E87:Q87"/>
    <mergeCell ref="R87:V87"/>
    <mergeCell ref="W87:AA87"/>
    <mergeCell ref="AB87:AF87"/>
    <mergeCell ref="B88:D88"/>
    <mergeCell ref="E88:Q88"/>
    <mergeCell ref="R88:V88"/>
    <mergeCell ref="W88:AA88"/>
    <mergeCell ref="AB88:AF88"/>
    <mergeCell ref="B89:D89"/>
    <mergeCell ref="E89:Q89"/>
    <mergeCell ref="B90:D90"/>
    <mergeCell ref="E90:Q90"/>
    <mergeCell ref="R90:U90"/>
    <mergeCell ref="W90:Z90"/>
    <mergeCell ref="AB90:AE90"/>
    <mergeCell ref="B91:D91"/>
    <mergeCell ref="E91:Q91"/>
    <mergeCell ref="R91:U91"/>
    <mergeCell ref="W91:Z91"/>
    <mergeCell ref="AB91:AE91"/>
    <mergeCell ref="B92:D92"/>
    <mergeCell ref="E92:Q92"/>
    <mergeCell ref="R92:U92"/>
    <mergeCell ref="W92:Z92"/>
    <mergeCell ref="AB92:AE92"/>
    <mergeCell ref="B93:D93"/>
    <mergeCell ref="E93:Q93"/>
    <mergeCell ref="R93:U93"/>
    <mergeCell ref="W93:Z93"/>
    <mergeCell ref="AB93:AE93"/>
    <mergeCell ref="B94:D94"/>
    <mergeCell ref="E94:Q94"/>
    <mergeCell ref="B95:D95"/>
    <mergeCell ref="E95:Q95"/>
    <mergeCell ref="W95:Z95"/>
    <mergeCell ref="B96:D96"/>
    <mergeCell ref="E96:Q96"/>
    <mergeCell ref="R96:U96"/>
    <mergeCell ref="B97:D97"/>
    <mergeCell ref="E97:Q97"/>
    <mergeCell ref="R97:U97"/>
    <mergeCell ref="W97:Z97"/>
    <mergeCell ref="B98:D98"/>
    <mergeCell ref="E98:Q98"/>
    <mergeCell ref="W98:Z98"/>
    <mergeCell ref="B99:D99"/>
    <mergeCell ref="E99:Q99"/>
    <mergeCell ref="W99:Z99"/>
    <mergeCell ref="B100:D100"/>
    <mergeCell ref="E100:Q100"/>
    <mergeCell ref="W100:Z100"/>
    <mergeCell ref="B101:D101"/>
    <mergeCell ref="E101:Q101"/>
    <mergeCell ref="B102:D102"/>
    <mergeCell ref="E102:Q102"/>
    <mergeCell ref="W102:Z102"/>
    <mergeCell ref="B103:D103"/>
    <mergeCell ref="E103:Q103"/>
    <mergeCell ref="W103:Z103"/>
    <mergeCell ref="B104:D104"/>
    <mergeCell ref="E104:Q104"/>
    <mergeCell ref="W104:Z104"/>
    <mergeCell ref="B105:D105"/>
    <mergeCell ref="E105:Q105"/>
    <mergeCell ref="W105:Z105"/>
    <mergeCell ref="B106:D106"/>
    <mergeCell ref="E106:Q106"/>
    <mergeCell ref="AB106:AE106"/>
    <mergeCell ref="B107:D107"/>
    <mergeCell ref="E107:Q107"/>
    <mergeCell ref="AB107:AE107"/>
    <mergeCell ref="B108:D108"/>
    <mergeCell ref="E108:Q108"/>
    <mergeCell ref="B109:D109"/>
    <mergeCell ref="E109:Q109"/>
    <mergeCell ref="AB109:AE109"/>
    <mergeCell ref="B110:D110"/>
    <mergeCell ref="E110:Q110"/>
    <mergeCell ref="AB110:AE110"/>
    <mergeCell ref="B111:D111"/>
    <mergeCell ref="E111:Q111"/>
    <mergeCell ref="B112:D112"/>
    <mergeCell ref="E112:Q112"/>
    <mergeCell ref="AB112:AE112"/>
    <mergeCell ref="B113:D113"/>
    <mergeCell ref="E113:Q113"/>
    <mergeCell ref="AB113:AE113"/>
    <mergeCell ref="B114:D114"/>
    <mergeCell ref="E114:Q114"/>
    <mergeCell ref="AB114:AE114"/>
    <mergeCell ref="B115:D115"/>
    <mergeCell ref="E115:Q115"/>
    <mergeCell ref="AB115:AE115"/>
    <mergeCell ref="B116:D116"/>
    <mergeCell ref="E116:Q116"/>
    <mergeCell ref="AB116:AE116"/>
  </mergeCells>
  <conditionalFormatting sqref="B4:AG117">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B1:AF74"/>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275</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7" t="s">
        <v>276</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row>
    <row r="3" customFormat="false" ht="15" hidden="false" customHeight="false" outlineLevel="0" collapsed="false">
      <c r="B3" s="17" t="s">
        <v>277</v>
      </c>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row>
    <row r="5" customFormat="false" ht="16.5" hidden="false" customHeight="true" outlineLevel="0" collapsed="false">
      <c r="B5" s="4" t="s">
        <v>55</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7.25" hidden="false" customHeight="true" outlineLevel="0" collapsed="false">
      <c r="B6" s="19" t="s">
        <v>56</v>
      </c>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row>
    <row r="7" customFormat="false" ht="16.5" hidden="false" customHeight="true" outlineLevel="0" collapsed="false">
      <c r="C7" s="4" t="s">
        <v>57</v>
      </c>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ustomFormat="false" ht="16.5" hidden="false" customHeight="true" outlineLevel="0" collapsed="false">
      <c r="C8" s="4" t="s">
        <v>58</v>
      </c>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ustomFormat="false" ht="16.5" hidden="false" customHeight="true" outlineLevel="0" collapsed="false">
      <c r="C9" s="4" t="s">
        <v>59</v>
      </c>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ustomFormat="false" ht="16.5" hidden="false" customHeight="true" outlineLevel="0" collapsed="false">
      <c r="C10" s="4" t="s">
        <v>60</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customFormat="false" ht="17.25" hidden="false" customHeight="true" outlineLevel="0" collapsed="false">
      <c r="B11" s="20" t="s">
        <v>61</v>
      </c>
      <c r="C11" s="20"/>
      <c r="D11" s="20"/>
      <c r="E11" s="20"/>
      <c r="F11" s="20"/>
      <c r="G11" s="20"/>
      <c r="H11" s="20"/>
      <c r="I11" s="20"/>
      <c r="J11" s="20"/>
      <c r="K11" s="20"/>
      <c r="L11" s="20"/>
      <c r="M11" s="20"/>
      <c r="N11" s="20"/>
      <c r="O11" s="20"/>
      <c r="P11" s="20"/>
      <c r="Q11" s="20"/>
      <c r="R11" s="20"/>
      <c r="S11" s="20"/>
      <c r="T11" s="57" t="str">
        <f aca="false">"A"</f>
        <v>A</v>
      </c>
      <c r="U11" s="57"/>
      <c r="V11" s="57"/>
      <c r="W11" s="57"/>
      <c r="X11" s="57"/>
      <c r="Y11" s="57"/>
      <c r="Z11" s="57"/>
      <c r="AA11" s="57"/>
      <c r="AB11" s="57"/>
    </row>
    <row r="13" customFormat="false" ht="17.25" hidden="false" customHeight="true" outlineLevel="0" collapsed="false">
      <c r="B13" s="19" t="s">
        <v>62</v>
      </c>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row>
    <row r="14" customFormat="false" ht="16.5" hidden="false" customHeight="true" outlineLevel="0" collapsed="false">
      <c r="C14" s="4" t="s">
        <v>63</v>
      </c>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customFormat="false" ht="16.5" hidden="false" customHeight="true" outlineLevel="0" collapsed="false">
      <c r="C15" s="4" t="s">
        <v>64</v>
      </c>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customFormat="false" ht="16.5" hidden="false" customHeight="true" outlineLevel="0" collapsed="false">
      <c r="C16" s="4" t="s">
        <v>65</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ustomFormat="false" ht="16.5" hidden="false" customHeight="true" outlineLevel="0" collapsed="false">
      <c r="C17" s="4" t="s">
        <v>66</v>
      </c>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ustomFormat="false" ht="17.25" hidden="false" customHeight="true" outlineLevel="0" collapsed="false">
      <c r="B18" s="20" t="s">
        <v>61</v>
      </c>
      <c r="C18" s="20"/>
      <c r="D18" s="20"/>
      <c r="E18" s="20"/>
      <c r="F18" s="20"/>
      <c r="G18" s="20"/>
      <c r="H18" s="20"/>
      <c r="I18" s="20"/>
      <c r="J18" s="20"/>
      <c r="K18" s="20"/>
      <c r="L18" s="20"/>
      <c r="M18" s="20"/>
      <c r="N18" s="20"/>
      <c r="O18" s="20"/>
      <c r="P18" s="20"/>
      <c r="Q18" s="20"/>
      <c r="R18" s="20"/>
      <c r="S18" s="20"/>
      <c r="T18" s="57" t="str">
        <f aca="false">"B"</f>
        <v>B</v>
      </c>
      <c r="U18" s="57"/>
      <c r="V18" s="57"/>
      <c r="W18" s="57"/>
      <c r="X18" s="57"/>
      <c r="Y18" s="57"/>
      <c r="Z18" s="57"/>
      <c r="AA18" s="57"/>
      <c r="AB18" s="57"/>
    </row>
    <row r="20" customFormat="false" ht="17.25" hidden="false" customHeight="true" outlineLevel="0" collapsed="false">
      <c r="B20" s="19" t="s">
        <v>67</v>
      </c>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row>
    <row r="21" customFormat="false" ht="16.5" hidden="false" customHeight="true" outlineLevel="0" collapsed="false">
      <c r="C21" s="4" t="s">
        <v>68</v>
      </c>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ustomFormat="false" ht="16.5" hidden="false" customHeight="true" outlineLevel="0" collapsed="false">
      <c r="C22" s="4" t="s">
        <v>69</v>
      </c>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ustomFormat="false" ht="16.5" hidden="false" customHeight="true" outlineLevel="0" collapsed="false">
      <c r="C23" s="4" t="s">
        <v>70</v>
      </c>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ustomFormat="false" ht="16.5" hidden="false" customHeight="true" outlineLevel="0" collapsed="false">
      <c r="C24" s="4" t="s">
        <v>71</v>
      </c>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ustomFormat="false" ht="17.25" hidden="false" customHeight="true" outlineLevel="0" collapsed="false">
      <c r="B25" s="20" t="s">
        <v>61</v>
      </c>
      <c r="C25" s="20"/>
      <c r="D25" s="20"/>
      <c r="E25" s="20"/>
      <c r="F25" s="20"/>
      <c r="G25" s="20"/>
      <c r="H25" s="20"/>
      <c r="I25" s="20"/>
      <c r="J25" s="20"/>
      <c r="K25" s="20"/>
      <c r="L25" s="20"/>
      <c r="M25" s="20"/>
      <c r="N25" s="20"/>
      <c r="O25" s="20"/>
      <c r="P25" s="20"/>
      <c r="Q25" s="20"/>
      <c r="R25" s="20"/>
      <c r="S25" s="20"/>
      <c r="T25" s="57" t="str">
        <f aca="false">"C"</f>
        <v>C</v>
      </c>
      <c r="U25" s="57"/>
      <c r="V25" s="57"/>
      <c r="W25" s="57"/>
      <c r="X25" s="57"/>
      <c r="Y25" s="57"/>
      <c r="Z25" s="57"/>
      <c r="AA25" s="57"/>
      <c r="AB25" s="57"/>
    </row>
    <row r="27" customFormat="false" ht="17.25" hidden="false" customHeight="true" outlineLevel="0" collapsed="false">
      <c r="B27" s="19" t="s">
        <v>72</v>
      </c>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row>
    <row r="28" customFormat="false" ht="16.5" hidden="false" customHeight="true" outlineLevel="0" collapsed="false">
      <c r="C28" s="4" t="s">
        <v>68</v>
      </c>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ustomFormat="false" ht="16.5" hidden="false" customHeight="true" outlineLevel="0" collapsed="false">
      <c r="C29" s="4" t="s">
        <v>73</v>
      </c>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ustomFormat="false" ht="16.5" hidden="false" customHeight="true" outlineLevel="0" collapsed="false">
      <c r="C30" s="4" t="s">
        <v>74</v>
      </c>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ustomFormat="false" ht="16.5" hidden="false" customHeight="true" outlineLevel="0" collapsed="false">
      <c r="C31" s="4" t="s">
        <v>75</v>
      </c>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ustomFormat="false" ht="17.25" hidden="false" customHeight="true" outlineLevel="0" collapsed="false">
      <c r="B32" s="20" t="s">
        <v>61</v>
      </c>
      <c r="C32" s="20"/>
      <c r="D32" s="20"/>
      <c r="E32" s="20"/>
      <c r="F32" s="20"/>
      <c r="G32" s="20"/>
      <c r="H32" s="20"/>
      <c r="I32" s="20"/>
      <c r="J32" s="20"/>
      <c r="K32" s="20"/>
      <c r="L32" s="20"/>
      <c r="M32" s="20"/>
      <c r="N32" s="20"/>
      <c r="O32" s="20"/>
      <c r="P32" s="20"/>
      <c r="Q32" s="20"/>
      <c r="R32" s="20"/>
      <c r="S32" s="20"/>
      <c r="T32" s="57" t="str">
        <f aca="false">"D"</f>
        <v>D</v>
      </c>
      <c r="U32" s="57"/>
      <c r="V32" s="57"/>
      <c r="W32" s="57"/>
      <c r="X32" s="57"/>
      <c r="Y32" s="57"/>
      <c r="Z32" s="57"/>
      <c r="AA32" s="57"/>
      <c r="AB32" s="57"/>
    </row>
    <row r="34" customFormat="false" ht="17.25" hidden="false" customHeight="true" outlineLevel="0" collapsed="false">
      <c r="B34" s="19" t="s">
        <v>76</v>
      </c>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row>
    <row r="35" customFormat="false" ht="16.5" hidden="false" customHeight="true" outlineLevel="0" collapsed="false">
      <c r="C35" s="4" t="s">
        <v>77</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ustomFormat="false" ht="16.5" hidden="false" customHeight="true" outlineLevel="0" collapsed="false">
      <c r="C36" s="4" t="s">
        <v>78</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ustomFormat="false" ht="16.5" hidden="false" customHeight="true" outlineLevel="0" collapsed="false">
      <c r="C37" s="4" t="s">
        <v>79</v>
      </c>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ustomFormat="false" ht="16.5" hidden="false" customHeight="true" outlineLevel="0" collapsed="false">
      <c r="C38" s="4" t="s">
        <v>80</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ustomFormat="false" ht="17.25" hidden="false" customHeight="true" outlineLevel="0" collapsed="false">
      <c r="B39" s="20" t="s">
        <v>61</v>
      </c>
      <c r="C39" s="20"/>
      <c r="D39" s="20"/>
      <c r="E39" s="20"/>
      <c r="F39" s="20"/>
      <c r="G39" s="20"/>
      <c r="H39" s="20"/>
      <c r="I39" s="20"/>
      <c r="J39" s="20"/>
      <c r="K39" s="20"/>
      <c r="L39" s="20"/>
      <c r="M39" s="20"/>
      <c r="N39" s="20"/>
      <c r="O39" s="20"/>
      <c r="P39" s="20"/>
      <c r="Q39" s="20"/>
      <c r="R39" s="20"/>
      <c r="S39" s="20"/>
      <c r="T39" s="57" t="str">
        <f aca="false">"A"</f>
        <v>A</v>
      </c>
      <c r="U39" s="57"/>
      <c r="V39" s="57"/>
      <c r="W39" s="57"/>
      <c r="X39" s="57"/>
      <c r="Y39" s="57"/>
      <c r="Z39" s="57"/>
      <c r="AA39" s="57"/>
      <c r="AB39" s="57"/>
    </row>
    <row r="41" customFormat="false" ht="17.25" hidden="false" customHeight="true" outlineLevel="0" collapsed="false">
      <c r="B41" s="19" t="s">
        <v>81</v>
      </c>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row>
    <row r="42" customFormat="false" ht="16.5" hidden="false" customHeight="true" outlineLevel="0" collapsed="false">
      <c r="C42" s="4" t="s">
        <v>82</v>
      </c>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ustomFormat="false" ht="16.5" hidden="false" customHeight="true" outlineLevel="0" collapsed="false">
      <c r="C43" s="4" t="s">
        <v>83</v>
      </c>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ustomFormat="false" ht="16.5" hidden="false" customHeight="true" outlineLevel="0" collapsed="false">
      <c r="C44" s="4" t="s">
        <v>84</v>
      </c>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ustomFormat="false" ht="16.5" hidden="false" customHeight="true" outlineLevel="0" collapsed="false">
      <c r="C45" s="4" t="s">
        <v>85</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ustomFormat="false" ht="17.25" hidden="false" customHeight="true" outlineLevel="0" collapsed="false">
      <c r="B46" s="20" t="s">
        <v>61</v>
      </c>
      <c r="C46" s="20"/>
      <c r="D46" s="20"/>
      <c r="E46" s="20"/>
      <c r="F46" s="20"/>
      <c r="G46" s="20"/>
      <c r="H46" s="20"/>
      <c r="I46" s="20"/>
      <c r="J46" s="20"/>
      <c r="K46" s="20"/>
      <c r="L46" s="20"/>
      <c r="M46" s="20"/>
      <c r="N46" s="20"/>
      <c r="O46" s="20"/>
      <c r="P46" s="20"/>
      <c r="Q46" s="20"/>
      <c r="R46" s="20"/>
      <c r="S46" s="20"/>
      <c r="T46" s="57" t="str">
        <f aca="false">"C"</f>
        <v>C</v>
      </c>
      <c r="U46" s="57"/>
      <c r="V46" s="57"/>
      <c r="W46" s="57"/>
      <c r="X46" s="57"/>
      <c r="Y46" s="57"/>
      <c r="Z46" s="57"/>
      <c r="AA46" s="57"/>
      <c r="AB46" s="57"/>
    </row>
    <row r="48" customFormat="false" ht="17.25" hidden="false" customHeight="true" outlineLevel="0" collapsed="false">
      <c r="B48" s="19" t="s">
        <v>86</v>
      </c>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row>
    <row r="49" customFormat="false" ht="16.5" hidden="false" customHeight="true" outlineLevel="0" collapsed="false">
      <c r="C49" s="4" t="s">
        <v>87</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ustomFormat="false" ht="16.5" hidden="false" customHeight="true" outlineLevel="0" collapsed="false">
      <c r="C50" s="4" t="s">
        <v>88</v>
      </c>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ustomFormat="false" ht="16.5" hidden="false" customHeight="true" outlineLevel="0" collapsed="false">
      <c r="C51" s="4" t="s">
        <v>89</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ustomFormat="false" ht="16.5" hidden="false" customHeight="true" outlineLevel="0" collapsed="false">
      <c r="C52" s="4" t="s">
        <v>90</v>
      </c>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ustomFormat="false" ht="17.25" hidden="false" customHeight="true" outlineLevel="0" collapsed="false">
      <c r="B53" s="20" t="s">
        <v>61</v>
      </c>
      <c r="C53" s="20"/>
      <c r="D53" s="20"/>
      <c r="E53" s="20"/>
      <c r="F53" s="20"/>
      <c r="G53" s="20"/>
      <c r="H53" s="20"/>
      <c r="I53" s="20"/>
      <c r="J53" s="20"/>
      <c r="K53" s="20"/>
      <c r="L53" s="20"/>
      <c r="M53" s="20"/>
      <c r="N53" s="20"/>
      <c r="O53" s="20"/>
      <c r="P53" s="20"/>
      <c r="Q53" s="20"/>
      <c r="R53" s="20"/>
      <c r="S53" s="20"/>
      <c r="T53" s="57" t="str">
        <f aca="false">"B"</f>
        <v>B</v>
      </c>
      <c r="U53" s="57"/>
      <c r="V53" s="57"/>
      <c r="W53" s="57"/>
      <c r="X53" s="57"/>
      <c r="Y53" s="57"/>
      <c r="Z53" s="57"/>
      <c r="AA53" s="57"/>
      <c r="AB53" s="57"/>
    </row>
    <row r="55" customFormat="false" ht="17.25" hidden="false" customHeight="true" outlineLevel="0" collapsed="false">
      <c r="B55" s="19" t="s">
        <v>91</v>
      </c>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row>
    <row r="56" customFormat="false" ht="16.5" hidden="false" customHeight="true" outlineLevel="0" collapsed="false">
      <c r="C56" s="4" t="s">
        <v>92</v>
      </c>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ustomFormat="false" ht="16.5" hidden="false" customHeight="true" outlineLevel="0" collapsed="false">
      <c r="C57" s="4" t="s">
        <v>93</v>
      </c>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ustomFormat="false" ht="16.5" hidden="false" customHeight="true" outlineLevel="0" collapsed="false">
      <c r="C58" s="4" t="s">
        <v>94</v>
      </c>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ustomFormat="false" ht="16.5" hidden="false" customHeight="true" outlineLevel="0" collapsed="false">
      <c r="C59" s="4" t="s">
        <v>95</v>
      </c>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ustomFormat="false" ht="17.25" hidden="false" customHeight="true" outlineLevel="0" collapsed="false">
      <c r="B60" s="20" t="s">
        <v>61</v>
      </c>
      <c r="C60" s="20"/>
      <c r="D60" s="20"/>
      <c r="E60" s="20"/>
      <c r="F60" s="20"/>
      <c r="G60" s="20"/>
      <c r="H60" s="20"/>
      <c r="I60" s="20"/>
      <c r="J60" s="20"/>
      <c r="K60" s="20"/>
      <c r="L60" s="20"/>
      <c r="M60" s="20"/>
      <c r="N60" s="20"/>
      <c r="O60" s="20"/>
      <c r="P60" s="20"/>
      <c r="Q60" s="20"/>
      <c r="R60" s="20"/>
      <c r="S60" s="20"/>
      <c r="T60" s="57" t="str">
        <f aca="false">"D"</f>
        <v>D</v>
      </c>
      <c r="U60" s="57"/>
      <c r="V60" s="57"/>
      <c r="W60" s="57"/>
      <c r="X60" s="57"/>
      <c r="Y60" s="57"/>
      <c r="Z60" s="57"/>
      <c r="AA60" s="57"/>
      <c r="AB60" s="57"/>
    </row>
    <row r="62" customFormat="false" ht="17.25" hidden="false" customHeight="true" outlineLevel="0" collapsed="false">
      <c r="B62" s="19" t="s">
        <v>96</v>
      </c>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row>
    <row r="63" customFormat="false" ht="16.5" hidden="false" customHeight="true" outlineLevel="0" collapsed="false">
      <c r="C63" s="4" t="s">
        <v>97</v>
      </c>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ustomFormat="false" ht="16.5" hidden="false" customHeight="true" outlineLevel="0" collapsed="false">
      <c r="C64" s="4" t="s">
        <v>98</v>
      </c>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ustomFormat="false" ht="16.5" hidden="false" customHeight="true" outlineLevel="0" collapsed="false">
      <c r="C65" s="4" t="s">
        <v>99</v>
      </c>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ustomFormat="false" ht="16.5" hidden="false" customHeight="true" outlineLevel="0" collapsed="false">
      <c r="C66" s="4" t="s">
        <v>100</v>
      </c>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ustomFormat="false" ht="17.25" hidden="false" customHeight="true" outlineLevel="0" collapsed="false">
      <c r="B67" s="20" t="s">
        <v>61</v>
      </c>
      <c r="C67" s="20"/>
      <c r="D67" s="20"/>
      <c r="E67" s="20"/>
      <c r="F67" s="20"/>
      <c r="G67" s="20"/>
      <c r="H67" s="20"/>
      <c r="I67" s="20"/>
      <c r="J67" s="20"/>
      <c r="K67" s="20"/>
      <c r="L67" s="20"/>
      <c r="M67" s="20"/>
      <c r="N67" s="20"/>
      <c r="O67" s="20"/>
      <c r="P67" s="20"/>
      <c r="Q67" s="20"/>
      <c r="R67" s="20"/>
      <c r="S67" s="20"/>
      <c r="T67" s="57" t="str">
        <f aca="false">"B"</f>
        <v>B</v>
      </c>
      <c r="U67" s="57"/>
      <c r="V67" s="57"/>
      <c r="W67" s="57"/>
      <c r="X67" s="57"/>
      <c r="Y67" s="57"/>
      <c r="Z67" s="57"/>
      <c r="AA67" s="57"/>
      <c r="AB67" s="57"/>
    </row>
    <row r="69" customFormat="false" ht="17.25" hidden="false" customHeight="true" outlineLevel="0" collapsed="false">
      <c r="B69" s="19" t="s">
        <v>101</v>
      </c>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row>
    <row r="70" customFormat="false" ht="16.5" hidden="false" customHeight="true" outlineLevel="0" collapsed="false">
      <c r="C70" s="4" t="s">
        <v>102</v>
      </c>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ustomFormat="false" ht="16.5" hidden="false" customHeight="true" outlineLevel="0" collapsed="false">
      <c r="C71" s="4" t="s">
        <v>103</v>
      </c>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ustomFormat="false" ht="16.5" hidden="false" customHeight="true" outlineLevel="0" collapsed="false">
      <c r="C72" s="4" t="s">
        <v>104</v>
      </c>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ustomFormat="false" ht="16.5" hidden="false" customHeight="true" outlineLevel="0" collapsed="false">
      <c r="C73" s="4" t="s">
        <v>105</v>
      </c>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ustomFormat="false" ht="17.25" hidden="false" customHeight="true" outlineLevel="0" collapsed="false">
      <c r="B74" s="20" t="s">
        <v>61</v>
      </c>
      <c r="C74" s="20"/>
      <c r="D74" s="20"/>
      <c r="E74" s="20"/>
      <c r="F74" s="20"/>
      <c r="G74" s="20"/>
      <c r="H74" s="20"/>
      <c r="I74" s="20"/>
      <c r="J74" s="20"/>
      <c r="K74" s="20"/>
      <c r="L74" s="20"/>
      <c r="M74" s="20"/>
      <c r="N74" s="20"/>
      <c r="O74" s="20"/>
      <c r="P74" s="20"/>
      <c r="Q74" s="20"/>
      <c r="R74" s="20"/>
      <c r="S74" s="20"/>
      <c r="T74" s="57" t="str">
        <f aca="false">"C"</f>
        <v>C</v>
      </c>
      <c r="U74" s="57"/>
      <c r="V74" s="57"/>
      <c r="W74" s="57"/>
      <c r="X74" s="57"/>
      <c r="Y74" s="57"/>
      <c r="Z74" s="57"/>
      <c r="AA74" s="57"/>
      <c r="AB74" s="57"/>
    </row>
  </sheetData>
  <mergeCells count="74">
    <mergeCell ref="B1:AF1"/>
    <mergeCell ref="B2:AF2"/>
    <mergeCell ref="B3:AF3"/>
    <mergeCell ref="B5:AF5"/>
    <mergeCell ref="B6:AF6"/>
    <mergeCell ref="C7:AF7"/>
    <mergeCell ref="C8:AF8"/>
    <mergeCell ref="C9:AF9"/>
    <mergeCell ref="C10:AF10"/>
    <mergeCell ref="B11:S11"/>
    <mergeCell ref="T11:AB11"/>
    <mergeCell ref="B13:AF13"/>
    <mergeCell ref="C14:AF14"/>
    <mergeCell ref="C15:AF15"/>
    <mergeCell ref="C16:AF16"/>
    <mergeCell ref="C17:AF17"/>
    <mergeCell ref="B18:S18"/>
    <mergeCell ref="T18:AB18"/>
    <mergeCell ref="B20:AF20"/>
    <mergeCell ref="C21:AF21"/>
    <mergeCell ref="C22:AF22"/>
    <mergeCell ref="C23:AF23"/>
    <mergeCell ref="C24:AF24"/>
    <mergeCell ref="B25:S25"/>
    <mergeCell ref="T25:AB25"/>
    <mergeCell ref="B27:AF27"/>
    <mergeCell ref="C28:AF28"/>
    <mergeCell ref="C29:AF29"/>
    <mergeCell ref="C30:AF30"/>
    <mergeCell ref="C31:AF31"/>
    <mergeCell ref="B32:S32"/>
    <mergeCell ref="T32:AB32"/>
    <mergeCell ref="B34:AF34"/>
    <mergeCell ref="C35:AF35"/>
    <mergeCell ref="C36:AF36"/>
    <mergeCell ref="C37:AF37"/>
    <mergeCell ref="C38:AF38"/>
    <mergeCell ref="B39:S39"/>
    <mergeCell ref="T39:AB39"/>
    <mergeCell ref="B41:AF41"/>
    <mergeCell ref="C42:AF42"/>
    <mergeCell ref="C43:AF43"/>
    <mergeCell ref="C44:AF44"/>
    <mergeCell ref="C45:AF45"/>
    <mergeCell ref="B46:S46"/>
    <mergeCell ref="T46:AB46"/>
    <mergeCell ref="B48:AF48"/>
    <mergeCell ref="C49:AF49"/>
    <mergeCell ref="C50:AF50"/>
    <mergeCell ref="C51:AF51"/>
    <mergeCell ref="C52:AF52"/>
    <mergeCell ref="B53:S53"/>
    <mergeCell ref="T53:AB53"/>
    <mergeCell ref="B55:AF55"/>
    <mergeCell ref="C56:AF56"/>
    <mergeCell ref="C57:AF57"/>
    <mergeCell ref="C58:AF58"/>
    <mergeCell ref="C59:AF59"/>
    <mergeCell ref="B60:S60"/>
    <mergeCell ref="T60:AB60"/>
    <mergeCell ref="B62:AF62"/>
    <mergeCell ref="C63:AF63"/>
    <mergeCell ref="C64:AF64"/>
    <mergeCell ref="C65:AF65"/>
    <mergeCell ref="C66:AF66"/>
    <mergeCell ref="B67:S67"/>
    <mergeCell ref="T67:AB67"/>
    <mergeCell ref="B69:AF69"/>
    <mergeCell ref="C70:AF70"/>
    <mergeCell ref="C71:AF71"/>
    <mergeCell ref="C72:AF72"/>
    <mergeCell ref="C73:AF73"/>
    <mergeCell ref="B74:S74"/>
    <mergeCell ref="T74:AB74"/>
  </mergeCells>
  <conditionalFormatting sqref="B1:AG75">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B1:AF34"/>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278</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7" t="s">
        <v>276</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row>
    <row r="3" customFormat="false" ht="15" hidden="false" customHeight="false" outlineLevel="0" collapsed="false">
      <c r="B3" s="17" t="s">
        <v>277</v>
      </c>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row>
    <row r="5" customFormat="false" ht="30" hidden="false" customHeight="true" outlineLevel="0" collapsed="false">
      <c r="B5" s="4" t="s">
        <v>106</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5" hidden="false" customHeight="false" outlineLevel="0" collapsed="false">
      <c r="B6" s="23" t="s">
        <v>107</v>
      </c>
      <c r="C6" s="23"/>
      <c r="D6" s="23"/>
      <c r="E6" s="23"/>
      <c r="F6" s="23"/>
      <c r="G6" s="23"/>
      <c r="H6" s="23"/>
      <c r="I6" s="23"/>
      <c r="J6" s="23"/>
      <c r="K6" s="23"/>
      <c r="L6" s="23"/>
      <c r="M6" s="23"/>
      <c r="N6" s="23"/>
      <c r="O6" s="23"/>
      <c r="P6" s="23"/>
      <c r="Q6" s="23"/>
      <c r="R6" s="23"/>
      <c r="S6" s="23"/>
      <c r="T6" s="23"/>
      <c r="U6" s="23"/>
      <c r="V6" s="23"/>
      <c r="W6" s="23"/>
      <c r="X6" s="24" t="s">
        <v>108</v>
      </c>
      <c r="Y6" s="24"/>
      <c r="Z6" s="24"/>
      <c r="AA6" s="24"/>
      <c r="AB6" s="24"/>
      <c r="AC6" s="24"/>
    </row>
    <row r="7" customFormat="false" ht="16.5" hidden="false" customHeight="true" outlineLevel="0" collapsed="false">
      <c r="B7" s="12" t="s">
        <v>109</v>
      </c>
      <c r="C7" s="12"/>
      <c r="D7" s="12"/>
      <c r="E7" s="12"/>
      <c r="F7" s="12"/>
      <c r="G7" s="12"/>
      <c r="H7" s="12"/>
      <c r="I7" s="12"/>
      <c r="J7" s="12"/>
      <c r="K7" s="12"/>
      <c r="L7" s="12"/>
      <c r="M7" s="12"/>
      <c r="N7" s="12"/>
      <c r="O7" s="12"/>
      <c r="P7" s="12"/>
      <c r="Q7" s="12"/>
      <c r="R7" s="12"/>
      <c r="S7" s="12"/>
      <c r="T7" s="12"/>
      <c r="U7" s="12"/>
      <c r="V7" s="12"/>
      <c r="W7" s="12"/>
      <c r="X7" s="58" t="n">
        <f aca="false">'Mock B1'!X7</f>
        <v>45600</v>
      </c>
      <c r="Y7" s="58"/>
      <c r="Z7" s="58"/>
      <c r="AA7" s="58"/>
      <c r="AB7" s="58"/>
      <c r="AC7" s="58"/>
    </row>
    <row r="8" customFormat="false" ht="16.5" hidden="false" customHeight="true" outlineLevel="0" collapsed="false">
      <c r="B8" s="12" t="s">
        <v>110</v>
      </c>
      <c r="C8" s="12"/>
      <c r="D8" s="12"/>
      <c r="E8" s="12"/>
      <c r="F8" s="12"/>
      <c r="G8" s="12"/>
      <c r="H8" s="12"/>
      <c r="I8" s="12"/>
      <c r="J8" s="12"/>
      <c r="K8" s="12"/>
      <c r="L8" s="12"/>
      <c r="M8" s="12"/>
      <c r="N8" s="12"/>
      <c r="O8" s="12"/>
      <c r="P8" s="12"/>
      <c r="Q8" s="12"/>
      <c r="R8" s="12"/>
      <c r="S8" s="12"/>
      <c r="T8" s="12"/>
      <c r="U8" s="12"/>
      <c r="V8" s="12"/>
      <c r="W8" s="12"/>
      <c r="X8" s="58" t="n">
        <f aca="false">'Mock B1'!X8</f>
        <v>1600</v>
      </c>
      <c r="Y8" s="58"/>
      <c r="Z8" s="58"/>
      <c r="AA8" s="58"/>
      <c r="AB8" s="58"/>
      <c r="AC8" s="58"/>
    </row>
    <row r="9" customFormat="false" ht="16.5" hidden="false" customHeight="true" outlineLevel="0" collapsed="false">
      <c r="B9" s="12" t="s">
        <v>111</v>
      </c>
      <c r="C9" s="12"/>
      <c r="D9" s="12"/>
      <c r="E9" s="12"/>
      <c r="F9" s="12"/>
      <c r="G9" s="12"/>
      <c r="H9" s="12"/>
      <c r="I9" s="12"/>
      <c r="J9" s="12"/>
      <c r="K9" s="12"/>
      <c r="L9" s="12"/>
      <c r="M9" s="12"/>
      <c r="N9" s="12"/>
      <c r="O9" s="12"/>
      <c r="P9" s="12"/>
      <c r="Q9" s="12"/>
      <c r="R9" s="12"/>
      <c r="S9" s="12"/>
      <c r="T9" s="12"/>
      <c r="U9" s="12"/>
      <c r="V9" s="12"/>
      <c r="W9" s="12"/>
      <c r="X9" s="58" t="n">
        <f aca="false">'Mock B1'!X9</f>
        <v>1500</v>
      </c>
      <c r="Y9" s="58"/>
      <c r="Z9" s="58"/>
      <c r="AA9" s="58"/>
      <c r="AB9" s="58"/>
      <c r="AC9" s="58"/>
    </row>
    <row r="10" customFormat="false" ht="16.5" hidden="false" customHeight="true" outlineLevel="0" collapsed="false">
      <c r="B10" s="12" t="s">
        <v>112</v>
      </c>
      <c r="C10" s="12"/>
      <c r="D10" s="12"/>
      <c r="E10" s="12"/>
      <c r="F10" s="12"/>
      <c r="G10" s="12"/>
      <c r="H10" s="12"/>
      <c r="I10" s="12"/>
      <c r="J10" s="12"/>
      <c r="K10" s="12"/>
      <c r="L10" s="12"/>
      <c r="M10" s="12"/>
      <c r="N10" s="12"/>
      <c r="O10" s="12"/>
      <c r="P10" s="12"/>
      <c r="Q10" s="12"/>
      <c r="R10" s="12"/>
      <c r="S10" s="12"/>
      <c r="T10" s="12"/>
      <c r="U10" s="12"/>
      <c r="V10" s="12"/>
      <c r="W10" s="12"/>
      <c r="X10" s="59" t="n">
        <f aca="false">'Mock B1'!X10</f>
        <v>0.04</v>
      </c>
      <c r="Y10" s="59"/>
      <c r="Z10" s="59"/>
      <c r="AA10" s="59"/>
      <c r="AB10" s="59"/>
      <c r="AC10" s="59"/>
    </row>
    <row r="13" customFormat="false" ht="18.75" hidden="false" customHeight="true" outlineLevel="0" collapsed="false">
      <c r="B13" s="3" t="s">
        <v>113</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ustomFormat="false" ht="17.25" hidden="false" customHeight="true" outlineLevel="0" collapsed="false">
      <c r="B14" s="20" t="s">
        <v>114</v>
      </c>
      <c r="C14" s="20"/>
      <c r="D14" s="20"/>
      <c r="E14" s="20"/>
      <c r="F14" s="20"/>
      <c r="G14" s="20"/>
      <c r="H14" s="20"/>
      <c r="I14" s="20"/>
      <c r="J14" s="20"/>
      <c r="K14" s="20"/>
      <c r="L14" s="20"/>
      <c r="M14" s="20"/>
      <c r="N14" s="20"/>
      <c r="O14" s="20"/>
      <c r="P14" s="20"/>
      <c r="Q14" s="20"/>
      <c r="R14" s="20"/>
      <c r="S14" s="20"/>
      <c r="T14" s="20"/>
      <c r="U14" s="20"/>
      <c r="V14" s="20"/>
      <c r="W14" s="20"/>
      <c r="X14" s="60" t="n">
        <f aca="false">$X$7-$X$8</f>
        <v>44000</v>
      </c>
      <c r="Y14" s="60"/>
      <c r="Z14" s="60"/>
      <c r="AA14" s="60"/>
      <c r="AB14" s="60"/>
    </row>
    <row r="15" customFormat="false" ht="17.25" hidden="false" customHeight="true" outlineLevel="0" collapsed="false">
      <c r="B15" s="20" t="s">
        <v>115</v>
      </c>
      <c r="C15" s="20"/>
      <c r="D15" s="20"/>
      <c r="E15" s="20"/>
      <c r="F15" s="20"/>
      <c r="G15" s="20"/>
      <c r="H15" s="20"/>
      <c r="I15" s="20"/>
      <c r="J15" s="20"/>
      <c r="K15" s="20"/>
      <c r="L15" s="20"/>
      <c r="M15" s="20"/>
      <c r="N15" s="20"/>
      <c r="O15" s="20"/>
      <c r="P15" s="20"/>
      <c r="Q15" s="20"/>
      <c r="R15" s="20"/>
      <c r="S15" s="20"/>
      <c r="T15" s="20"/>
      <c r="U15" s="20"/>
      <c r="V15" s="20"/>
      <c r="W15" s="20"/>
      <c r="X15" s="60" t="n">
        <f aca="false">ROUND($X$14*$X$10,2)</f>
        <v>1760</v>
      </c>
      <c r="Y15" s="60"/>
      <c r="Z15" s="60"/>
      <c r="AA15" s="60"/>
      <c r="AB15" s="60"/>
    </row>
    <row r="16" customFormat="false" ht="17.25" hidden="false" customHeight="true" outlineLevel="0" collapsed="false">
      <c r="B16" s="20" t="s">
        <v>116</v>
      </c>
      <c r="C16" s="20"/>
      <c r="D16" s="20"/>
      <c r="E16" s="20"/>
      <c r="F16" s="20"/>
      <c r="G16" s="20"/>
      <c r="H16" s="20"/>
      <c r="I16" s="20"/>
      <c r="J16" s="20"/>
      <c r="K16" s="20"/>
      <c r="L16" s="20"/>
      <c r="M16" s="20"/>
      <c r="N16" s="20"/>
      <c r="O16" s="20"/>
      <c r="P16" s="20"/>
      <c r="Q16" s="20"/>
      <c r="R16" s="20"/>
      <c r="S16" s="20"/>
      <c r="T16" s="20"/>
      <c r="U16" s="20"/>
      <c r="V16" s="20"/>
      <c r="W16" s="20"/>
      <c r="X16" s="60" t="n">
        <f aca="false">$X$15-$X$9</f>
        <v>260</v>
      </c>
      <c r="Y16" s="60"/>
      <c r="Z16" s="60"/>
      <c r="AA16" s="60"/>
      <c r="AB16" s="60"/>
    </row>
    <row r="18" customFormat="false" ht="18.75" hidden="false" customHeight="true" outlineLevel="0" collapsed="false">
      <c r="B18" s="3" t="s">
        <v>117</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ustomFormat="false" ht="15" hidden="false" customHeight="false" outlineLevel="0" collapsed="false">
      <c r="B19" s="23" t="s">
        <v>118</v>
      </c>
      <c r="C19" s="23"/>
      <c r="D19" s="23"/>
      <c r="E19" s="23" t="s">
        <v>119</v>
      </c>
      <c r="F19" s="23"/>
      <c r="G19" s="23"/>
      <c r="H19" s="23"/>
      <c r="I19" s="23"/>
      <c r="J19" s="23"/>
      <c r="K19" s="23"/>
      <c r="L19" s="23"/>
      <c r="M19" s="23"/>
      <c r="N19" s="23"/>
      <c r="O19" s="23"/>
      <c r="P19" s="23"/>
      <c r="Q19" s="23"/>
      <c r="R19" s="23"/>
      <c r="S19" s="23"/>
      <c r="T19" s="23"/>
      <c r="U19" s="24" t="s">
        <v>120</v>
      </c>
      <c r="V19" s="24"/>
      <c r="W19" s="24"/>
      <c r="X19" s="24"/>
      <c r="Y19" s="24"/>
      <c r="Z19" s="24"/>
      <c r="AA19" s="24" t="s">
        <v>121</v>
      </c>
      <c r="AB19" s="24"/>
      <c r="AC19" s="24"/>
      <c r="AD19" s="24"/>
      <c r="AE19" s="24"/>
      <c r="AF19" s="24"/>
    </row>
    <row r="20" customFormat="false" ht="16.5" hidden="false" customHeight="true" outlineLevel="0" collapsed="false">
      <c r="B20" s="29" t="s">
        <v>122</v>
      </c>
      <c r="C20" s="29"/>
      <c r="D20" s="29"/>
      <c r="E20" s="30"/>
      <c r="F20" s="30"/>
      <c r="G20" s="30"/>
      <c r="H20" s="30"/>
      <c r="I20" s="30"/>
      <c r="J20" s="30"/>
      <c r="K20" s="30"/>
      <c r="L20" s="30"/>
      <c r="M20" s="30"/>
      <c r="N20" s="30"/>
      <c r="O20" s="30"/>
      <c r="P20" s="30"/>
      <c r="Q20" s="30"/>
      <c r="R20" s="30"/>
      <c r="S20" s="30"/>
      <c r="T20" s="30"/>
      <c r="U20" s="31" t="s">
        <v>123</v>
      </c>
      <c r="V20" s="31"/>
      <c r="W20" s="31"/>
      <c r="X20" s="31"/>
      <c r="Y20" s="31"/>
      <c r="Z20" s="31"/>
      <c r="AA20" s="31" t="s">
        <v>123</v>
      </c>
      <c r="AB20" s="31"/>
      <c r="AC20" s="31"/>
      <c r="AD20" s="31"/>
      <c r="AE20" s="31"/>
      <c r="AF20" s="31"/>
    </row>
    <row r="21" customFormat="false" ht="16.5" hidden="false" customHeight="true" outlineLevel="0" collapsed="false">
      <c r="B21" s="30" t="s">
        <v>124</v>
      </c>
      <c r="C21" s="30"/>
      <c r="D21" s="30"/>
      <c r="E21" s="30" t="s">
        <v>125</v>
      </c>
      <c r="F21" s="30"/>
      <c r="G21" s="30"/>
      <c r="H21" s="30"/>
      <c r="I21" s="30"/>
      <c r="J21" s="30"/>
      <c r="K21" s="30"/>
      <c r="L21" s="30"/>
      <c r="M21" s="30"/>
      <c r="N21" s="30"/>
      <c r="O21" s="30"/>
      <c r="P21" s="30"/>
      <c r="Q21" s="30"/>
      <c r="R21" s="30"/>
      <c r="S21" s="30"/>
      <c r="T21" s="30"/>
      <c r="U21" s="60" t="n">
        <f aca="false">$X$8</f>
        <v>1600</v>
      </c>
      <c r="V21" s="60"/>
      <c r="W21" s="60"/>
      <c r="X21" s="60"/>
      <c r="Y21" s="60"/>
      <c r="Z21" s="30"/>
      <c r="AA21" s="30"/>
      <c r="AB21" s="30"/>
      <c r="AC21" s="30"/>
      <c r="AD21" s="30"/>
      <c r="AE21" s="30"/>
      <c r="AF21" s="30"/>
    </row>
    <row r="22" customFormat="false" ht="16.5" hidden="false" customHeight="true" outlineLevel="0" collapsed="false">
      <c r="B22" s="30"/>
      <c r="C22" s="30"/>
      <c r="D22" s="30"/>
      <c r="E22" s="32" t="s">
        <v>126</v>
      </c>
      <c r="F22" s="32"/>
      <c r="G22" s="32"/>
      <c r="H22" s="32"/>
      <c r="I22" s="32"/>
      <c r="J22" s="32"/>
      <c r="K22" s="32"/>
      <c r="L22" s="32"/>
      <c r="M22" s="32"/>
      <c r="N22" s="32"/>
      <c r="O22" s="32"/>
      <c r="P22" s="32"/>
      <c r="Q22" s="32"/>
      <c r="R22" s="32"/>
      <c r="S22" s="32"/>
      <c r="T22" s="32"/>
      <c r="U22" s="30"/>
      <c r="V22" s="30"/>
      <c r="W22" s="30"/>
      <c r="X22" s="30"/>
      <c r="Y22" s="30"/>
      <c r="Z22" s="30"/>
      <c r="AA22" s="60" t="n">
        <f aca="false">$X$8</f>
        <v>1600</v>
      </c>
      <c r="AB22" s="60"/>
      <c r="AC22" s="60"/>
      <c r="AD22" s="60"/>
      <c r="AE22" s="60"/>
      <c r="AF22" s="30"/>
    </row>
    <row r="23" customFormat="false" ht="17.25" hidden="false" customHeight="true" outlineLevel="0" collapsed="false">
      <c r="B23" s="30"/>
      <c r="C23" s="30"/>
      <c r="D23" s="30"/>
      <c r="E23" s="33" t="s">
        <v>127</v>
      </c>
      <c r="F23" s="33"/>
      <c r="G23" s="33"/>
      <c r="H23" s="33"/>
      <c r="I23" s="33"/>
      <c r="J23" s="33"/>
      <c r="K23" s="33"/>
      <c r="L23" s="33"/>
      <c r="M23" s="33"/>
      <c r="N23" s="33"/>
      <c r="O23" s="33"/>
      <c r="P23" s="33"/>
      <c r="Q23" s="33"/>
      <c r="R23" s="33"/>
      <c r="S23" s="33"/>
      <c r="T23" s="33"/>
      <c r="U23" s="30"/>
      <c r="V23" s="30"/>
      <c r="W23" s="30"/>
      <c r="X23" s="30"/>
      <c r="Y23" s="30"/>
      <c r="Z23" s="30"/>
      <c r="AA23" s="30"/>
      <c r="AB23" s="30"/>
      <c r="AC23" s="30"/>
      <c r="AD23" s="30"/>
      <c r="AE23" s="30"/>
      <c r="AF23" s="30"/>
    </row>
    <row r="24" customFormat="false" ht="16.5" hidden="false" customHeight="true" outlineLevel="0" collapsed="false">
      <c r="B24" s="30" t="s">
        <v>124</v>
      </c>
      <c r="C24" s="30"/>
      <c r="D24" s="30"/>
      <c r="E24" s="30" t="s">
        <v>128</v>
      </c>
      <c r="F24" s="30"/>
      <c r="G24" s="30"/>
      <c r="H24" s="30"/>
      <c r="I24" s="30"/>
      <c r="J24" s="30"/>
      <c r="K24" s="30"/>
      <c r="L24" s="30"/>
      <c r="M24" s="30"/>
      <c r="N24" s="30"/>
      <c r="O24" s="30"/>
      <c r="P24" s="30"/>
      <c r="Q24" s="30"/>
      <c r="R24" s="30"/>
      <c r="S24" s="30"/>
      <c r="T24" s="30"/>
      <c r="U24" s="60" t="n">
        <f aca="false">$X$16</f>
        <v>260</v>
      </c>
      <c r="V24" s="60"/>
      <c r="W24" s="60"/>
      <c r="X24" s="60"/>
      <c r="Y24" s="60"/>
      <c r="Z24" s="30"/>
      <c r="AA24" s="30"/>
      <c r="AB24" s="30"/>
      <c r="AC24" s="30"/>
      <c r="AD24" s="30"/>
      <c r="AE24" s="30"/>
      <c r="AF24" s="30"/>
    </row>
    <row r="25" customFormat="false" ht="16.5" hidden="false" customHeight="true" outlineLevel="0" collapsed="false">
      <c r="B25" s="30"/>
      <c r="C25" s="30"/>
      <c r="D25" s="30"/>
      <c r="E25" s="32" t="s">
        <v>129</v>
      </c>
      <c r="F25" s="32"/>
      <c r="G25" s="32"/>
      <c r="H25" s="32"/>
      <c r="I25" s="32"/>
      <c r="J25" s="32"/>
      <c r="K25" s="32"/>
      <c r="L25" s="32"/>
      <c r="M25" s="32"/>
      <c r="N25" s="32"/>
      <c r="O25" s="32"/>
      <c r="P25" s="32"/>
      <c r="Q25" s="32"/>
      <c r="R25" s="32"/>
      <c r="S25" s="32"/>
      <c r="T25" s="32"/>
      <c r="U25" s="30"/>
      <c r="V25" s="30"/>
      <c r="W25" s="30"/>
      <c r="X25" s="30"/>
      <c r="Y25" s="30"/>
      <c r="Z25" s="30"/>
      <c r="AA25" s="60" t="n">
        <f aca="false">$X$16</f>
        <v>260</v>
      </c>
      <c r="AB25" s="60"/>
      <c r="AC25" s="60"/>
      <c r="AD25" s="60"/>
      <c r="AE25" s="60"/>
      <c r="AF25" s="30"/>
    </row>
    <row r="26" customFormat="false" ht="17.25" hidden="false" customHeight="true" outlineLevel="0" collapsed="false">
      <c r="B26" s="30"/>
      <c r="C26" s="30"/>
      <c r="D26" s="30"/>
      <c r="E26" s="33" t="s">
        <v>130</v>
      </c>
      <c r="F26" s="33"/>
      <c r="G26" s="33"/>
      <c r="H26" s="33"/>
      <c r="I26" s="33"/>
      <c r="J26" s="33"/>
      <c r="K26" s="33"/>
      <c r="L26" s="33"/>
      <c r="M26" s="33"/>
      <c r="N26" s="33"/>
      <c r="O26" s="33"/>
      <c r="P26" s="33"/>
      <c r="Q26" s="33"/>
      <c r="R26" s="33"/>
      <c r="S26" s="33"/>
      <c r="T26" s="33"/>
      <c r="U26" s="30"/>
      <c r="V26" s="30"/>
      <c r="W26" s="30"/>
      <c r="X26" s="30"/>
      <c r="Y26" s="30"/>
      <c r="Z26" s="30"/>
      <c r="AA26" s="30"/>
      <c r="AB26" s="30"/>
      <c r="AC26" s="30"/>
      <c r="AD26" s="30"/>
      <c r="AE26" s="30"/>
      <c r="AF26" s="30"/>
    </row>
    <row r="28" customFormat="false" ht="18.75" hidden="false" customHeight="true" outlineLevel="0" collapsed="false">
      <c r="B28" s="3" t="s">
        <v>131</v>
      </c>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ustomFormat="false" ht="15" hidden="false" customHeight="false" outlineLevel="0" collapsed="false">
      <c r="B29" s="34" t="s">
        <v>132</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customFormat="false" ht="15" hidden="false" customHeight="false" outlineLevel="0" collapsed="false">
      <c r="B30" s="35"/>
      <c r="C30" s="35"/>
      <c r="D30" s="35"/>
      <c r="E30" s="23" t="s">
        <v>119</v>
      </c>
      <c r="F30" s="23"/>
      <c r="G30" s="23"/>
      <c r="H30" s="23"/>
      <c r="I30" s="23"/>
      <c r="J30" s="23"/>
      <c r="K30" s="23"/>
      <c r="L30" s="23"/>
      <c r="M30" s="23"/>
      <c r="N30" s="23"/>
      <c r="O30" s="23"/>
      <c r="P30" s="23"/>
      <c r="Q30" s="23"/>
      <c r="R30" s="24" t="s">
        <v>123</v>
      </c>
      <c r="S30" s="24"/>
      <c r="T30" s="24"/>
      <c r="U30" s="24"/>
      <c r="V30" s="24"/>
      <c r="W30" s="24" t="s">
        <v>123</v>
      </c>
      <c r="X30" s="24"/>
      <c r="Y30" s="24"/>
      <c r="Z30" s="24"/>
      <c r="AA30" s="24"/>
      <c r="AB30" s="24" t="s">
        <v>123</v>
      </c>
      <c r="AC30" s="24"/>
      <c r="AD30" s="24"/>
      <c r="AE30" s="24"/>
      <c r="AF30" s="24"/>
    </row>
    <row r="31" customFormat="false" ht="30" hidden="false" customHeight="true" outlineLevel="0" collapsed="false">
      <c r="B31" s="35"/>
      <c r="C31" s="35"/>
      <c r="D31" s="35"/>
      <c r="E31" s="35"/>
      <c r="F31" s="35"/>
      <c r="G31" s="35"/>
      <c r="H31" s="35"/>
      <c r="I31" s="35"/>
      <c r="J31" s="35"/>
      <c r="K31" s="35"/>
      <c r="L31" s="35"/>
      <c r="M31" s="35"/>
      <c r="N31" s="35"/>
      <c r="O31" s="35"/>
      <c r="P31" s="35"/>
      <c r="Q31" s="35"/>
      <c r="R31" s="11" t="s">
        <v>133</v>
      </c>
      <c r="S31" s="11"/>
      <c r="T31" s="11"/>
      <c r="U31" s="11"/>
      <c r="V31" s="11"/>
      <c r="W31" s="11" t="s">
        <v>134</v>
      </c>
      <c r="X31" s="11"/>
      <c r="Y31" s="11"/>
      <c r="Z31" s="11"/>
      <c r="AA31" s="11"/>
      <c r="AB31" s="11" t="s">
        <v>135</v>
      </c>
      <c r="AC31" s="11"/>
      <c r="AD31" s="11"/>
      <c r="AE31" s="11"/>
      <c r="AF31" s="11"/>
    </row>
    <row r="32" customFormat="false" ht="17.25" hidden="false" customHeight="true" outlineLevel="0" collapsed="false">
      <c r="B32" s="36"/>
      <c r="C32" s="36"/>
      <c r="D32" s="36"/>
      <c r="E32" s="37" t="s">
        <v>136</v>
      </c>
      <c r="F32" s="37"/>
      <c r="G32" s="37"/>
      <c r="H32" s="37"/>
      <c r="I32" s="37"/>
      <c r="J32" s="37"/>
      <c r="K32" s="37"/>
      <c r="L32" s="37"/>
      <c r="M32" s="37"/>
      <c r="N32" s="37"/>
      <c r="O32" s="37"/>
      <c r="P32" s="37"/>
      <c r="Q32" s="37"/>
    </row>
    <row r="33" customFormat="false" ht="17.25" hidden="false" customHeight="true" outlineLevel="0" collapsed="false">
      <c r="B33" s="36"/>
      <c r="C33" s="36"/>
      <c r="D33" s="36"/>
      <c r="E33" s="38" t="s">
        <v>137</v>
      </c>
      <c r="F33" s="38"/>
      <c r="G33" s="38"/>
      <c r="H33" s="38"/>
      <c r="I33" s="38"/>
      <c r="J33" s="38"/>
      <c r="K33" s="38"/>
      <c r="L33" s="38"/>
      <c r="M33" s="38"/>
      <c r="N33" s="38"/>
      <c r="O33" s="38"/>
      <c r="P33" s="38"/>
      <c r="Q33" s="38"/>
      <c r="R33" s="60" t="n">
        <f aca="false">$X$14</f>
        <v>44000</v>
      </c>
      <c r="S33" s="60"/>
      <c r="T33" s="60"/>
      <c r="U33" s="60"/>
    </row>
    <row r="34" customFormat="false" ht="17.25" hidden="false" customHeight="true" outlineLevel="0" collapsed="false">
      <c r="B34" s="36" t="s">
        <v>138</v>
      </c>
      <c r="C34" s="36"/>
      <c r="D34" s="36"/>
      <c r="E34" s="38" t="s">
        <v>129</v>
      </c>
      <c r="F34" s="38"/>
      <c r="G34" s="38"/>
      <c r="H34" s="38"/>
      <c r="I34" s="38"/>
      <c r="J34" s="38"/>
      <c r="K34" s="38"/>
      <c r="L34" s="38"/>
      <c r="M34" s="38"/>
      <c r="N34" s="38"/>
      <c r="O34" s="38"/>
      <c r="P34" s="38"/>
      <c r="Q34" s="38"/>
      <c r="R34" s="61" t="n">
        <f aca="false">-$X$15</f>
        <v>-1760</v>
      </c>
      <c r="S34" s="61"/>
      <c r="T34" s="61"/>
      <c r="U34" s="61"/>
      <c r="W34" s="60" t="n">
        <f aca="false">$X$14-$X$15</f>
        <v>42240</v>
      </c>
      <c r="X34" s="60"/>
      <c r="Y34" s="60"/>
      <c r="Z34" s="60"/>
    </row>
  </sheetData>
  <mergeCells count="75">
    <mergeCell ref="B1:AF1"/>
    <mergeCell ref="B2:AF2"/>
    <mergeCell ref="B3:AF3"/>
    <mergeCell ref="B5:AF5"/>
    <mergeCell ref="B6:W6"/>
    <mergeCell ref="X6:AC6"/>
    <mergeCell ref="B7:W7"/>
    <mergeCell ref="X7:AC7"/>
    <mergeCell ref="B8:W8"/>
    <mergeCell ref="X8:AC8"/>
    <mergeCell ref="B9:W9"/>
    <mergeCell ref="X9:AC9"/>
    <mergeCell ref="B10:W10"/>
    <mergeCell ref="X10:AC10"/>
    <mergeCell ref="B13:AF13"/>
    <mergeCell ref="B14:W14"/>
    <mergeCell ref="X14:AB14"/>
    <mergeCell ref="B15:W15"/>
    <mergeCell ref="X15:AB15"/>
    <mergeCell ref="B16:W16"/>
    <mergeCell ref="X16:AB16"/>
    <mergeCell ref="B18:AF18"/>
    <mergeCell ref="B19:D19"/>
    <mergeCell ref="E19:T19"/>
    <mergeCell ref="U19:Z19"/>
    <mergeCell ref="AA19:AF19"/>
    <mergeCell ref="B20:D20"/>
    <mergeCell ref="E20:T20"/>
    <mergeCell ref="U20:Z20"/>
    <mergeCell ref="AA20:AF20"/>
    <mergeCell ref="B21:D21"/>
    <mergeCell ref="E21:T21"/>
    <mergeCell ref="U21:Y21"/>
    <mergeCell ref="AA21:AF21"/>
    <mergeCell ref="B22:D22"/>
    <mergeCell ref="E22:T22"/>
    <mergeCell ref="U22:Z22"/>
    <mergeCell ref="AA22:AE22"/>
    <mergeCell ref="B23:D23"/>
    <mergeCell ref="E23:T23"/>
    <mergeCell ref="U23:Z23"/>
    <mergeCell ref="AA23:AF23"/>
    <mergeCell ref="B24:D24"/>
    <mergeCell ref="E24:T24"/>
    <mergeCell ref="U24:Y24"/>
    <mergeCell ref="AA24:AF24"/>
    <mergeCell ref="B25:D25"/>
    <mergeCell ref="E25:T25"/>
    <mergeCell ref="U25:Z25"/>
    <mergeCell ref="AA25:AE25"/>
    <mergeCell ref="B26:D26"/>
    <mergeCell ref="E26:T26"/>
    <mergeCell ref="U26:Z26"/>
    <mergeCell ref="AA26:AF26"/>
    <mergeCell ref="B28:AF28"/>
    <mergeCell ref="B29:AF29"/>
    <mergeCell ref="B30:D30"/>
    <mergeCell ref="E30:Q30"/>
    <mergeCell ref="R30:V30"/>
    <mergeCell ref="W30:AA30"/>
    <mergeCell ref="AB30:AF30"/>
    <mergeCell ref="B31:D31"/>
    <mergeCell ref="E31:Q31"/>
    <mergeCell ref="R31:V31"/>
    <mergeCell ref="W31:AA31"/>
    <mergeCell ref="AB31:AF31"/>
    <mergeCell ref="B32:D32"/>
    <mergeCell ref="E32:Q32"/>
    <mergeCell ref="B33:D33"/>
    <mergeCell ref="E33:Q33"/>
    <mergeCell ref="R33:U33"/>
    <mergeCell ref="B34:D34"/>
    <mergeCell ref="E34:Q34"/>
    <mergeCell ref="R34:U34"/>
    <mergeCell ref="W34:Z34"/>
  </mergeCells>
  <conditionalFormatting sqref="B1:AG35">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B1:AF28"/>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279</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7" t="s">
        <v>276</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row>
    <row r="3" customFormat="false" ht="15" hidden="false" customHeight="false" outlineLevel="0" collapsed="false">
      <c r="B3" s="17" t="s">
        <v>277</v>
      </c>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row>
    <row r="5" customFormat="false" ht="30" hidden="false" customHeight="true" outlineLevel="0" collapsed="false">
      <c r="B5" s="4" t="s">
        <v>139</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5" hidden="false" customHeight="false" outlineLevel="0" collapsed="false">
      <c r="B6" s="23" t="s">
        <v>107</v>
      </c>
      <c r="C6" s="23"/>
      <c r="D6" s="23"/>
      <c r="E6" s="23"/>
      <c r="F6" s="23"/>
      <c r="G6" s="23"/>
      <c r="H6" s="23"/>
      <c r="I6" s="23"/>
      <c r="J6" s="23"/>
      <c r="K6" s="23"/>
      <c r="L6" s="23"/>
      <c r="M6" s="23"/>
      <c r="N6" s="23"/>
      <c r="O6" s="23"/>
      <c r="P6" s="23"/>
      <c r="Q6" s="23"/>
      <c r="R6" s="23"/>
      <c r="S6" s="23"/>
      <c r="T6" s="23"/>
      <c r="U6" s="23"/>
      <c r="V6" s="23"/>
      <c r="W6" s="23"/>
      <c r="X6" s="24" t="s">
        <v>108</v>
      </c>
      <c r="Y6" s="24"/>
      <c r="Z6" s="24"/>
      <c r="AA6" s="24"/>
      <c r="AB6" s="24"/>
      <c r="AC6" s="24"/>
    </row>
    <row r="7" customFormat="false" ht="16.5" hidden="false" customHeight="true" outlineLevel="0" collapsed="false">
      <c r="B7" s="12" t="s">
        <v>140</v>
      </c>
      <c r="C7" s="12"/>
      <c r="D7" s="12"/>
      <c r="E7" s="12"/>
      <c r="F7" s="12"/>
      <c r="G7" s="12"/>
      <c r="H7" s="12"/>
      <c r="I7" s="12"/>
      <c r="J7" s="12"/>
      <c r="K7" s="12"/>
      <c r="L7" s="12"/>
      <c r="M7" s="12"/>
      <c r="N7" s="12"/>
      <c r="O7" s="12"/>
      <c r="P7" s="12"/>
      <c r="Q7" s="12"/>
      <c r="R7" s="12"/>
      <c r="S7" s="12"/>
      <c r="T7" s="12"/>
      <c r="U7" s="12"/>
      <c r="V7" s="12"/>
      <c r="W7" s="12"/>
      <c r="X7" s="58" t="n">
        <f aca="false">'Mock B2'!X7</f>
        <v>48000</v>
      </c>
      <c r="Y7" s="58"/>
      <c r="Z7" s="58"/>
      <c r="AA7" s="58"/>
      <c r="AB7" s="58"/>
      <c r="AC7" s="58"/>
    </row>
    <row r="8" customFormat="false" ht="16.5" hidden="false" customHeight="true" outlineLevel="0" collapsed="false">
      <c r="B8" s="12" t="s">
        <v>141</v>
      </c>
      <c r="C8" s="12"/>
      <c r="D8" s="12"/>
      <c r="E8" s="12"/>
      <c r="F8" s="12"/>
      <c r="G8" s="12"/>
      <c r="H8" s="12"/>
      <c r="I8" s="12"/>
      <c r="J8" s="12"/>
      <c r="K8" s="12"/>
      <c r="L8" s="12"/>
      <c r="M8" s="12"/>
      <c r="N8" s="12"/>
      <c r="O8" s="12"/>
      <c r="P8" s="12"/>
      <c r="Q8" s="12"/>
      <c r="R8" s="12"/>
      <c r="S8" s="12"/>
      <c r="T8" s="12"/>
      <c r="U8" s="12"/>
      <c r="V8" s="12"/>
      <c r="W8" s="12"/>
      <c r="X8" s="59" t="n">
        <f aca="false">'Mock B2'!X8</f>
        <v>0.25</v>
      </c>
      <c r="Y8" s="59"/>
      <c r="Z8" s="59"/>
      <c r="AA8" s="59"/>
      <c r="AB8" s="59"/>
      <c r="AC8" s="59"/>
    </row>
    <row r="9" customFormat="false" ht="16.5" hidden="false" customHeight="true" outlineLevel="0" collapsed="false">
      <c r="B9" s="12" t="s">
        <v>142</v>
      </c>
      <c r="C9" s="12"/>
      <c r="D9" s="12"/>
      <c r="E9" s="12"/>
      <c r="F9" s="12"/>
      <c r="G9" s="12"/>
      <c r="H9" s="12"/>
      <c r="I9" s="12"/>
      <c r="J9" s="12"/>
      <c r="K9" s="12"/>
      <c r="L9" s="12"/>
      <c r="M9" s="12"/>
      <c r="N9" s="12"/>
      <c r="O9" s="12"/>
      <c r="P9" s="12"/>
      <c r="Q9" s="12"/>
      <c r="R9" s="12"/>
      <c r="S9" s="12"/>
      <c r="T9" s="12"/>
      <c r="U9" s="12"/>
      <c r="V9" s="12"/>
      <c r="W9" s="12"/>
      <c r="X9" s="58" t="n">
        <f aca="false">'Mock B2'!X9</f>
        <v>25000</v>
      </c>
      <c r="Y9" s="58"/>
      <c r="Z9" s="58"/>
      <c r="AA9" s="58"/>
      <c r="AB9" s="58"/>
      <c r="AC9" s="58"/>
    </row>
    <row r="12" customFormat="false" ht="18.75" hidden="false" customHeight="true" outlineLevel="0" collapsed="false">
      <c r="B12" s="3" t="s">
        <v>143</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7.25" hidden="false" customHeight="true" outlineLevel="0" collapsed="false">
      <c r="B13" s="20" t="s">
        <v>144</v>
      </c>
      <c r="C13" s="20"/>
      <c r="D13" s="20"/>
      <c r="E13" s="20"/>
      <c r="F13" s="20"/>
      <c r="G13" s="20"/>
      <c r="H13" s="20"/>
      <c r="I13" s="20"/>
      <c r="J13" s="20"/>
      <c r="K13" s="20"/>
      <c r="L13" s="20"/>
      <c r="M13" s="20"/>
      <c r="N13" s="20"/>
      <c r="O13" s="20"/>
      <c r="P13" s="20"/>
      <c r="Q13" s="20"/>
      <c r="R13" s="20"/>
      <c r="S13" s="20"/>
      <c r="T13" s="20"/>
      <c r="U13" s="20"/>
      <c r="V13" s="20"/>
      <c r="W13" s="20"/>
      <c r="X13" s="60" t="n">
        <f aca="false">ROUND($X$7*$X$8,2)</f>
        <v>12000</v>
      </c>
      <c r="Y13" s="60"/>
      <c r="Z13" s="60"/>
      <c r="AA13" s="60"/>
      <c r="AB13" s="60"/>
    </row>
    <row r="14" customFormat="false" ht="17.25" hidden="false" customHeight="true" outlineLevel="0" collapsed="false">
      <c r="B14" s="20" t="s">
        <v>145</v>
      </c>
      <c r="C14" s="20"/>
      <c r="D14" s="20"/>
      <c r="E14" s="20"/>
      <c r="F14" s="20"/>
      <c r="G14" s="20"/>
      <c r="H14" s="20"/>
      <c r="I14" s="20"/>
      <c r="J14" s="20"/>
      <c r="K14" s="20"/>
      <c r="L14" s="20"/>
      <c r="M14" s="20"/>
      <c r="N14" s="20"/>
      <c r="O14" s="20"/>
      <c r="P14" s="20"/>
      <c r="Q14" s="20"/>
      <c r="R14" s="20"/>
      <c r="S14" s="20"/>
      <c r="T14" s="20"/>
      <c r="U14" s="20"/>
      <c r="V14" s="20"/>
      <c r="W14" s="20"/>
      <c r="X14" s="60" t="n">
        <f aca="false">ROUND(($X$7-$X$13)*$X$8,2)</f>
        <v>9000</v>
      </c>
      <c r="Y14" s="60"/>
      <c r="Z14" s="60"/>
      <c r="AA14" s="60"/>
      <c r="AB14" s="60"/>
    </row>
    <row r="15" customFormat="false" ht="17.25" hidden="false" customHeight="true" outlineLevel="0" collapsed="false">
      <c r="B15" s="20" t="s">
        <v>146</v>
      </c>
      <c r="C15" s="20"/>
      <c r="D15" s="20"/>
      <c r="E15" s="20"/>
      <c r="F15" s="20"/>
      <c r="G15" s="20"/>
      <c r="H15" s="20"/>
      <c r="I15" s="20"/>
      <c r="J15" s="20"/>
      <c r="K15" s="20"/>
      <c r="L15" s="20"/>
      <c r="M15" s="20"/>
      <c r="N15" s="20"/>
      <c r="O15" s="20"/>
      <c r="P15" s="20"/>
      <c r="Q15" s="20"/>
      <c r="R15" s="20"/>
      <c r="S15" s="20"/>
      <c r="T15" s="20"/>
      <c r="U15" s="20"/>
      <c r="V15" s="20"/>
      <c r="W15" s="20"/>
      <c r="X15" s="60" t="n">
        <f aca="false">$X$7-$X$13-$X$14</f>
        <v>27000</v>
      </c>
      <c r="Y15" s="60"/>
      <c r="Z15" s="60"/>
      <c r="AA15" s="60"/>
      <c r="AB15" s="60"/>
    </row>
    <row r="17" customFormat="false" ht="18.75" hidden="false" customHeight="true" outlineLevel="0" collapsed="false">
      <c r="B17" s="3" t="s">
        <v>147</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ustomFormat="false" ht="15" hidden="false" customHeight="false" outlineLevel="0" collapsed="false">
      <c r="B18" s="18" t="s">
        <v>148</v>
      </c>
      <c r="C18" s="18"/>
      <c r="D18" s="18"/>
      <c r="E18" s="34" t="s">
        <v>149</v>
      </c>
      <c r="F18" s="34"/>
      <c r="G18" s="34"/>
      <c r="H18" s="34"/>
      <c r="I18" s="34"/>
      <c r="J18" s="34"/>
      <c r="K18" s="34"/>
      <c r="L18" s="34"/>
      <c r="M18" s="34"/>
      <c r="N18" s="34"/>
      <c r="O18" s="34"/>
      <c r="P18" s="34"/>
      <c r="Q18" s="34"/>
      <c r="R18" s="34"/>
      <c r="S18" s="34"/>
      <c r="T18" s="34"/>
      <c r="U18" s="34"/>
      <c r="V18" s="34"/>
      <c r="W18" s="34"/>
      <c r="X18" s="34"/>
      <c r="Y18" s="34"/>
      <c r="Z18" s="34"/>
      <c r="AA18" s="34"/>
      <c r="AB18" s="34"/>
      <c r="AC18" s="34"/>
      <c r="AD18" s="40" t="s">
        <v>150</v>
      </c>
      <c r="AE18" s="40"/>
      <c r="AF18" s="40"/>
    </row>
    <row r="19" customFormat="false" ht="15" hidden="false" customHeight="false" outlineLevel="0" collapsed="false">
      <c r="B19" s="41" t="s">
        <v>118</v>
      </c>
      <c r="C19" s="41"/>
      <c r="D19" s="41"/>
      <c r="E19" s="41" t="s">
        <v>119</v>
      </c>
      <c r="F19" s="41"/>
      <c r="G19" s="41"/>
      <c r="H19" s="41"/>
      <c r="I19" s="41"/>
      <c r="J19" s="41"/>
      <c r="K19" s="41"/>
      <c r="L19" s="42" t="s">
        <v>151</v>
      </c>
      <c r="M19" s="43" t="s">
        <v>152</v>
      </c>
      <c r="N19" s="43"/>
      <c r="O19" s="43"/>
      <c r="P19" s="43"/>
      <c r="Q19" s="44"/>
      <c r="R19" s="45" t="s">
        <v>118</v>
      </c>
      <c r="S19" s="45"/>
      <c r="T19" s="45"/>
      <c r="U19" s="41" t="s">
        <v>119</v>
      </c>
      <c r="V19" s="41"/>
      <c r="W19" s="41"/>
      <c r="X19" s="41"/>
      <c r="Y19" s="41"/>
      <c r="Z19" s="41"/>
      <c r="AA19" s="41"/>
      <c r="AB19" s="42" t="s">
        <v>151</v>
      </c>
      <c r="AC19" s="43" t="s">
        <v>152</v>
      </c>
      <c r="AD19" s="43"/>
      <c r="AE19" s="43"/>
      <c r="AF19" s="43"/>
    </row>
    <row r="20" customFormat="false" ht="16.5" hidden="false" customHeight="true" outlineLevel="0" collapsed="false">
      <c r="B20" s="46" t="s">
        <v>153</v>
      </c>
      <c r="C20" s="46"/>
      <c r="D20" s="46"/>
      <c r="M20" s="47" t="s">
        <v>123</v>
      </c>
      <c r="N20" s="47"/>
      <c r="O20" s="47"/>
      <c r="R20" s="48" t="s">
        <v>153</v>
      </c>
      <c r="S20" s="48"/>
      <c r="T20" s="48"/>
      <c r="AC20" s="47" t="s">
        <v>123</v>
      </c>
      <c r="AD20" s="47"/>
      <c r="AE20" s="47"/>
    </row>
    <row r="21" customFormat="false" ht="17.25" hidden="false" customHeight="true" outlineLevel="0" collapsed="false">
      <c r="B21" s="6" t="s">
        <v>154</v>
      </c>
      <c r="C21" s="6"/>
      <c r="D21" s="6"/>
      <c r="E21" s="38" t="s">
        <v>155</v>
      </c>
      <c r="F21" s="38"/>
      <c r="G21" s="38"/>
      <c r="H21" s="38"/>
      <c r="I21" s="38"/>
      <c r="J21" s="38"/>
      <c r="K21" s="38"/>
      <c r="L21" s="49" t="s">
        <v>156</v>
      </c>
      <c r="M21" s="60" t="n">
        <f aca="false">$X$7</f>
        <v>48000</v>
      </c>
      <c r="N21" s="60"/>
      <c r="O21" s="60"/>
      <c r="R21" s="50" t="s">
        <v>154</v>
      </c>
      <c r="S21" s="50"/>
      <c r="T21" s="50"/>
      <c r="U21" s="38" t="s">
        <v>157</v>
      </c>
      <c r="V21" s="38"/>
      <c r="W21" s="38"/>
      <c r="X21" s="38"/>
      <c r="Y21" s="38"/>
      <c r="Z21" s="38"/>
      <c r="AA21" s="38"/>
      <c r="AB21" s="49" t="s">
        <v>156</v>
      </c>
      <c r="AC21" s="60" t="n">
        <f aca="false">$X$13+$X$14</f>
        <v>21000</v>
      </c>
      <c r="AD21" s="60"/>
      <c r="AE21" s="60"/>
    </row>
    <row r="22" customFormat="false" ht="17.25" hidden="false" customHeight="true" outlineLevel="0" collapsed="false">
      <c r="R22" s="50" t="s">
        <v>154</v>
      </c>
      <c r="S22" s="50"/>
      <c r="T22" s="50"/>
      <c r="U22" s="38" t="s">
        <v>158</v>
      </c>
      <c r="V22" s="38"/>
      <c r="W22" s="38"/>
      <c r="X22" s="38"/>
      <c r="Y22" s="38"/>
      <c r="Z22" s="38"/>
      <c r="AA22" s="38"/>
      <c r="AB22" s="49" t="s">
        <v>159</v>
      </c>
      <c r="AC22" s="60" t="n">
        <f aca="false">$X$9</f>
        <v>25000</v>
      </c>
      <c r="AD22" s="60"/>
      <c r="AE22" s="60"/>
    </row>
    <row r="23" customFormat="false" ht="17.25" hidden="false" customHeight="true" outlineLevel="0" collapsed="false">
      <c r="R23" s="50" t="s">
        <v>124</v>
      </c>
      <c r="S23" s="50"/>
      <c r="T23" s="50"/>
      <c r="U23" s="38" t="s">
        <v>160</v>
      </c>
      <c r="V23" s="38"/>
      <c r="W23" s="38"/>
      <c r="X23" s="38"/>
      <c r="Y23" s="38"/>
      <c r="Z23" s="38"/>
      <c r="AA23" s="38"/>
      <c r="AB23" s="49" t="s">
        <v>161</v>
      </c>
      <c r="AC23" s="60" t="n">
        <f aca="false">$X$15-$X$9</f>
        <v>2000</v>
      </c>
      <c r="AD23" s="60"/>
      <c r="AE23" s="60"/>
    </row>
    <row r="24" customFormat="false" ht="16.5" hidden="false" customHeight="true" outlineLevel="0" collapsed="false">
      <c r="M24" s="62" t="n">
        <f aca="false">SUM(M20:M23)</f>
        <v>48000</v>
      </c>
      <c r="N24" s="62"/>
      <c r="O24" s="62"/>
      <c r="R24" s="52"/>
      <c r="AC24" s="62" t="n">
        <f aca="false">SUM(AC20:AC23)</f>
        <v>48000</v>
      </c>
      <c r="AD24" s="62"/>
      <c r="AE24" s="62"/>
    </row>
    <row r="26" customFormat="false" ht="18.75" hidden="false" customHeight="true" outlineLevel="0" collapsed="false">
      <c r="B26" s="3" t="s">
        <v>162</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ustomFormat="false" ht="17.25" hidden="false" customHeight="true" outlineLevel="0" collapsed="false">
      <c r="B27" s="20" t="s">
        <v>163</v>
      </c>
      <c r="C27" s="20"/>
      <c r="D27" s="20"/>
      <c r="E27" s="20"/>
      <c r="F27" s="20"/>
      <c r="G27" s="20"/>
      <c r="H27" s="20"/>
      <c r="I27" s="20"/>
      <c r="J27" s="20"/>
      <c r="K27" s="20"/>
      <c r="L27" s="20"/>
      <c r="M27" s="20"/>
      <c r="N27" s="20"/>
      <c r="O27" s="20"/>
      <c r="P27" s="20"/>
      <c r="Q27" s="20"/>
      <c r="R27" s="20"/>
      <c r="S27" s="20"/>
      <c r="T27" s="57" t="str">
        <f aca="false">"Expense in the SPL"</f>
        <v>Expense in the SPL</v>
      </c>
      <c r="U27" s="57"/>
      <c r="V27" s="57"/>
      <c r="W27" s="57"/>
      <c r="X27" s="57"/>
      <c r="Y27" s="57"/>
      <c r="Z27" s="57"/>
      <c r="AA27" s="57"/>
      <c r="AB27" s="57"/>
    </row>
    <row r="28" customFormat="false" ht="17.25" hidden="false" customHeight="true" outlineLevel="0" collapsed="false">
      <c r="B28" s="20" t="s">
        <v>164</v>
      </c>
      <c r="C28" s="20"/>
      <c r="D28" s="20"/>
      <c r="E28" s="20"/>
      <c r="F28" s="20"/>
      <c r="G28" s="20"/>
      <c r="H28" s="20"/>
      <c r="I28" s="20"/>
      <c r="J28" s="20"/>
      <c r="K28" s="20"/>
      <c r="L28" s="20"/>
      <c r="M28" s="20"/>
      <c r="N28" s="20"/>
      <c r="O28" s="20"/>
      <c r="P28" s="20"/>
      <c r="Q28" s="20"/>
      <c r="R28" s="20"/>
      <c r="S28" s="20"/>
      <c r="T28" s="57" t="str">
        <f aca="false">"Accruals"</f>
        <v>Accruals</v>
      </c>
      <c r="U28" s="57"/>
      <c r="V28" s="57"/>
      <c r="W28" s="57"/>
      <c r="X28" s="57"/>
      <c r="Y28" s="57"/>
      <c r="Z28" s="57"/>
      <c r="AA28" s="57"/>
      <c r="AB28" s="57"/>
    </row>
  </sheetData>
  <mergeCells count="52">
    <mergeCell ref="B1:AF1"/>
    <mergeCell ref="B2:AF2"/>
    <mergeCell ref="B3:AF3"/>
    <mergeCell ref="B5:AF5"/>
    <mergeCell ref="B6:W6"/>
    <mergeCell ref="X6:AC6"/>
    <mergeCell ref="B7:W7"/>
    <mergeCell ref="X7:AC7"/>
    <mergeCell ref="B8:W8"/>
    <mergeCell ref="X8:AC8"/>
    <mergeCell ref="B9:W9"/>
    <mergeCell ref="X9:AC9"/>
    <mergeCell ref="B12:AF12"/>
    <mergeCell ref="B13:W13"/>
    <mergeCell ref="X13:AB13"/>
    <mergeCell ref="B14:W14"/>
    <mergeCell ref="X14:AB14"/>
    <mergeCell ref="B15:W15"/>
    <mergeCell ref="X15:AB15"/>
    <mergeCell ref="B17:AF17"/>
    <mergeCell ref="B18:D18"/>
    <mergeCell ref="E18:AC18"/>
    <mergeCell ref="AD18:AF18"/>
    <mergeCell ref="B19:D19"/>
    <mergeCell ref="E19:K19"/>
    <mergeCell ref="M19:P19"/>
    <mergeCell ref="R19:T19"/>
    <mergeCell ref="U19:AA19"/>
    <mergeCell ref="AC19:AF19"/>
    <mergeCell ref="B20:D20"/>
    <mergeCell ref="M20:O20"/>
    <mergeCell ref="R20:T20"/>
    <mergeCell ref="AC20:AE20"/>
    <mergeCell ref="B21:D21"/>
    <mergeCell ref="E21:K21"/>
    <mergeCell ref="M21:O21"/>
    <mergeCell ref="R21:T21"/>
    <mergeCell ref="U21:AA21"/>
    <mergeCell ref="AC21:AE21"/>
    <mergeCell ref="R22:T22"/>
    <mergeCell ref="U22:AA22"/>
    <mergeCell ref="AC22:AE22"/>
    <mergeCell ref="R23:T23"/>
    <mergeCell ref="U23:AA23"/>
    <mergeCell ref="AC23:AE23"/>
    <mergeCell ref="M24:O24"/>
    <mergeCell ref="AC24:AE24"/>
    <mergeCell ref="B26:AF26"/>
    <mergeCell ref="B27:S27"/>
    <mergeCell ref="T27:AB27"/>
    <mergeCell ref="B28:S28"/>
    <mergeCell ref="T28:AB28"/>
  </mergeCells>
  <conditionalFormatting sqref="B1:AG29">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B1:AF39"/>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280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7" t="s">
        <v>276</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row>
    <row r="3" customFormat="false" ht="15" hidden="false" customHeight="false" outlineLevel="0" collapsed="false">
      <c r="B3" s="17" t="s">
        <v>277</v>
      </c>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row>
    <row r="5" customFormat="false" ht="16.5" hidden="false" customHeight="true" outlineLevel="0" collapsed="false">
      <c r="B5" s="4" t="s">
        <v>165</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6.5" hidden="false" customHeight="true" outlineLevel="0" collapsed="false">
      <c r="C6" s="4" t="s">
        <v>166</v>
      </c>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ustomFormat="false" ht="16.5" hidden="false" customHeight="true" outlineLevel="0" collapsed="false">
      <c r="C7" s="4" t="s">
        <v>167</v>
      </c>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ustomFormat="false" ht="15" hidden="false" customHeight="false" outlineLevel="0" collapsed="false">
      <c r="B8" s="23" t="s">
        <v>107</v>
      </c>
      <c r="C8" s="23"/>
      <c r="D8" s="23"/>
      <c r="E8" s="23"/>
      <c r="F8" s="23"/>
      <c r="G8" s="23"/>
      <c r="H8" s="23"/>
      <c r="I8" s="23"/>
      <c r="J8" s="23"/>
      <c r="K8" s="23"/>
      <c r="L8" s="23"/>
      <c r="M8" s="23"/>
      <c r="N8" s="23"/>
      <c r="O8" s="23"/>
      <c r="P8" s="23"/>
      <c r="Q8" s="23"/>
      <c r="R8" s="23"/>
      <c r="S8" s="23"/>
      <c r="T8" s="23"/>
      <c r="U8" s="23"/>
      <c r="V8" s="23"/>
      <c r="W8" s="23"/>
      <c r="X8" s="24" t="s">
        <v>108</v>
      </c>
      <c r="Y8" s="24"/>
      <c r="Z8" s="24"/>
      <c r="AA8" s="24"/>
      <c r="AB8" s="24"/>
      <c r="AC8" s="24"/>
    </row>
    <row r="9" customFormat="false" ht="16.5" hidden="false" customHeight="true" outlineLevel="0" collapsed="false">
      <c r="B9" s="12" t="s">
        <v>168</v>
      </c>
      <c r="C9" s="12"/>
      <c r="D9" s="12"/>
      <c r="E9" s="12"/>
      <c r="F9" s="12"/>
      <c r="G9" s="12"/>
      <c r="H9" s="12"/>
      <c r="I9" s="12"/>
      <c r="J9" s="12"/>
      <c r="K9" s="12"/>
      <c r="L9" s="12"/>
      <c r="M9" s="12"/>
      <c r="N9" s="12"/>
      <c r="O9" s="12"/>
      <c r="P9" s="12"/>
      <c r="Q9" s="12"/>
      <c r="R9" s="12"/>
      <c r="S9" s="12"/>
      <c r="T9" s="12"/>
      <c r="U9" s="12"/>
      <c r="V9" s="12"/>
      <c r="W9" s="12"/>
      <c r="X9" s="58" t="n">
        <f aca="false">'Mock B3'!X9</f>
        <v>900</v>
      </c>
      <c r="Y9" s="58"/>
      <c r="Z9" s="58"/>
      <c r="AA9" s="58"/>
      <c r="AB9" s="58"/>
      <c r="AC9" s="58"/>
    </row>
    <row r="10" customFormat="false" ht="16.5" hidden="false" customHeight="true" outlineLevel="0" collapsed="false">
      <c r="B10" s="12" t="s">
        <v>169</v>
      </c>
      <c r="C10" s="12"/>
      <c r="D10" s="12"/>
      <c r="E10" s="12"/>
      <c r="F10" s="12"/>
      <c r="G10" s="12"/>
      <c r="H10" s="12"/>
      <c r="I10" s="12"/>
      <c r="J10" s="12"/>
      <c r="K10" s="12"/>
      <c r="L10" s="12"/>
      <c r="M10" s="12"/>
      <c r="N10" s="12"/>
      <c r="O10" s="12"/>
      <c r="P10" s="12"/>
      <c r="Q10" s="12"/>
      <c r="R10" s="12"/>
      <c r="S10" s="12"/>
      <c r="T10" s="12"/>
      <c r="U10" s="12"/>
      <c r="V10" s="12"/>
      <c r="W10" s="12"/>
      <c r="X10" s="58" t="n">
        <f aca="false">'Mock B3'!X10</f>
        <v>9900</v>
      </c>
      <c r="Y10" s="58"/>
      <c r="Z10" s="58"/>
      <c r="AA10" s="58"/>
      <c r="AB10" s="58"/>
      <c r="AC10" s="58"/>
    </row>
    <row r="11" customFormat="false" ht="16.5" hidden="false" customHeight="true" outlineLevel="0" collapsed="false">
      <c r="B11" s="12" t="s">
        <v>170</v>
      </c>
      <c r="C11" s="12"/>
      <c r="D11" s="12"/>
      <c r="E11" s="12"/>
      <c r="F11" s="12"/>
      <c r="G11" s="12"/>
      <c r="H11" s="12"/>
      <c r="I11" s="12"/>
      <c r="J11" s="12"/>
      <c r="K11" s="12"/>
      <c r="L11" s="12"/>
      <c r="M11" s="12"/>
      <c r="N11" s="12"/>
      <c r="O11" s="12"/>
      <c r="P11" s="12"/>
      <c r="Q11" s="12"/>
      <c r="R11" s="12"/>
      <c r="S11" s="12"/>
      <c r="T11" s="12"/>
      <c r="U11" s="12"/>
      <c r="V11" s="12"/>
      <c r="W11" s="12"/>
      <c r="X11" s="58" t="n">
        <f aca="false">'Mock B3'!X11</f>
        <v>400</v>
      </c>
      <c r="Y11" s="58"/>
      <c r="Z11" s="58"/>
      <c r="AA11" s="58"/>
      <c r="AB11" s="58"/>
      <c r="AC11" s="58"/>
    </row>
    <row r="12" customFormat="false" ht="16.5" hidden="false" customHeight="true" outlineLevel="0" collapsed="false">
      <c r="B12" s="12" t="s">
        <v>171</v>
      </c>
      <c r="C12" s="12"/>
      <c r="D12" s="12"/>
      <c r="E12" s="12"/>
      <c r="F12" s="12"/>
      <c r="G12" s="12"/>
      <c r="H12" s="12"/>
      <c r="I12" s="12"/>
      <c r="J12" s="12"/>
      <c r="K12" s="12"/>
      <c r="L12" s="12"/>
      <c r="M12" s="12"/>
      <c r="N12" s="12"/>
      <c r="O12" s="12"/>
      <c r="P12" s="12"/>
      <c r="Q12" s="12"/>
      <c r="R12" s="12"/>
      <c r="S12" s="12"/>
      <c r="T12" s="12"/>
      <c r="U12" s="12"/>
      <c r="V12" s="12"/>
      <c r="W12" s="12"/>
      <c r="X12" s="58" t="n">
        <f aca="false">'Mock B3'!X12</f>
        <v>3000</v>
      </c>
      <c r="Y12" s="58"/>
      <c r="Z12" s="58"/>
      <c r="AA12" s="58"/>
      <c r="AB12" s="58"/>
      <c r="AC12" s="58"/>
    </row>
    <row r="13" customFormat="false" ht="16.5" hidden="false" customHeight="true" outlineLevel="0" collapsed="false">
      <c r="B13" s="12" t="s">
        <v>172</v>
      </c>
      <c r="C13" s="12"/>
      <c r="D13" s="12"/>
      <c r="E13" s="12"/>
      <c r="F13" s="12"/>
      <c r="G13" s="12"/>
      <c r="H13" s="12"/>
      <c r="I13" s="12"/>
      <c r="J13" s="12"/>
      <c r="K13" s="12"/>
      <c r="L13" s="12"/>
      <c r="M13" s="12"/>
      <c r="N13" s="12"/>
      <c r="O13" s="12"/>
      <c r="P13" s="12"/>
      <c r="Q13" s="12"/>
      <c r="R13" s="12"/>
      <c r="S13" s="12"/>
      <c r="T13" s="12"/>
      <c r="U13" s="12"/>
      <c r="V13" s="12"/>
      <c r="W13" s="12"/>
      <c r="X13" s="63" t="n">
        <f aca="false">'Mock B3'!X13</f>
        <v>9</v>
      </c>
      <c r="Y13" s="63"/>
      <c r="Z13" s="63"/>
      <c r="AA13" s="63"/>
      <c r="AB13" s="63"/>
      <c r="AC13" s="63"/>
    </row>
    <row r="16" customFormat="false" ht="18.75" hidden="false" customHeight="true" outlineLevel="0" collapsed="false">
      <c r="B16" s="3" t="s">
        <v>173</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ustomFormat="false" ht="17.25" hidden="false" customHeight="true" outlineLevel="0" collapsed="false">
      <c r="B17" s="20" t="s">
        <v>174</v>
      </c>
      <c r="C17" s="20"/>
      <c r="D17" s="20"/>
      <c r="E17" s="20"/>
      <c r="F17" s="20"/>
      <c r="G17" s="20"/>
      <c r="H17" s="20"/>
      <c r="I17" s="20"/>
      <c r="J17" s="20"/>
      <c r="K17" s="20"/>
      <c r="L17" s="20"/>
      <c r="M17" s="20"/>
      <c r="N17" s="20"/>
      <c r="O17" s="20"/>
      <c r="P17" s="20"/>
      <c r="Q17" s="20"/>
      <c r="R17" s="20"/>
      <c r="S17" s="20"/>
      <c r="T17" s="20"/>
      <c r="U17" s="20"/>
      <c r="V17" s="20"/>
      <c r="W17" s="20"/>
      <c r="X17" s="60" t="n">
        <f aca="false">12*$X$9</f>
        <v>10800</v>
      </c>
      <c r="Y17" s="60"/>
      <c r="Z17" s="60"/>
      <c r="AA17" s="60"/>
      <c r="AB17" s="60"/>
    </row>
    <row r="18" customFormat="false" ht="17.25" hidden="false" customHeight="true" outlineLevel="0" collapsed="false">
      <c r="B18" s="20" t="s">
        <v>175</v>
      </c>
      <c r="C18" s="20"/>
      <c r="D18" s="20"/>
      <c r="E18" s="20"/>
      <c r="F18" s="20"/>
      <c r="G18" s="20"/>
      <c r="H18" s="20"/>
      <c r="I18" s="20"/>
      <c r="J18" s="20"/>
      <c r="K18" s="20"/>
      <c r="L18" s="20"/>
      <c r="M18" s="20"/>
      <c r="N18" s="20"/>
      <c r="O18" s="20"/>
      <c r="P18" s="20"/>
      <c r="Q18" s="20"/>
      <c r="R18" s="20"/>
      <c r="S18" s="20"/>
      <c r="T18" s="20"/>
      <c r="U18" s="20"/>
      <c r="V18" s="20"/>
      <c r="W18" s="20"/>
      <c r="X18" s="60" t="n">
        <f aca="false">12*$X$9-$X$10</f>
        <v>900</v>
      </c>
      <c r="Y18" s="60"/>
      <c r="Z18" s="60"/>
      <c r="AA18" s="60"/>
      <c r="AB18" s="60"/>
    </row>
    <row r="19" customFormat="false" ht="17.25" hidden="false" customHeight="true" outlineLevel="0" collapsed="false">
      <c r="B19" s="20" t="s">
        <v>176</v>
      </c>
      <c r="C19" s="20"/>
      <c r="D19" s="20"/>
      <c r="E19" s="20"/>
      <c r="F19" s="20"/>
      <c r="G19" s="20"/>
      <c r="H19" s="20"/>
      <c r="I19" s="20"/>
      <c r="J19" s="20"/>
      <c r="K19" s="20"/>
      <c r="L19" s="20"/>
      <c r="M19" s="20"/>
      <c r="N19" s="20"/>
      <c r="O19" s="20"/>
      <c r="P19" s="20"/>
      <c r="Q19" s="20"/>
      <c r="R19" s="20"/>
      <c r="S19" s="20"/>
      <c r="T19" s="20"/>
      <c r="U19" s="20"/>
      <c r="V19" s="20"/>
      <c r="W19" s="20"/>
      <c r="X19" s="60" t="n">
        <f aca="false">$X$11+$X$12*$X$13/12</f>
        <v>2650</v>
      </c>
      <c r="Y19" s="60"/>
      <c r="Z19" s="60"/>
      <c r="AA19" s="60"/>
      <c r="AB19" s="60"/>
    </row>
    <row r="20" customFormat="false" ht="17.25" hidden="false" customHeight="true" outlineLevel="0" collapsed="false">
      <c r="B20" s="20" t="s">
        <v>177</v>
      </c>
      <c r="C20" s="20"/>
      <c r="D20" s="20"/>
      <c r="E20" s="20"/>
      <c r="F20" s="20"/>
      <c r="G20" s="20"/>
      <c r="H20" s="20"/>
      <c r="I20" s="20"/>
      <c r="J20" s="20"/>
      <c r="K20" s="20"/>
      <c r="L20" s="20"/>
      <c r="M20" s="20"/>
      <c r="N20" s="20"/>
      <c r="O20" s="20"/>
      <c r="P20" s="20"/>
      <c r="Q20" s="20"/>
      <c r="R20" s="20"/>
      <c r="S20" s="20"/>
      <c r="T20" s="20"/>
      <c r="U20" s="20"/>
      <c r="V20" s="20"/>
      <c r="W20" s="20"/>
      <c r="X20" s="60" t="n">
        <f aca="false">$X$12*(12-$X$13)/12</f>
        <v>750</v>
      </c>
      <c r="Y20" s="60"/>
      <c r="Z20" s="60"/>
      <c r="AA20" s="60"/>
      <c r="AB20" s="60"/>
    </row>
    <row r="22" customFormat="false" ht="18.75" hidden="false" customHeight="true" outlineLevel="0" collapsed="false">
      <c r="B22" s="3" t="s">
        <v>178</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5" hidden="false" customHeight="false" outlineLevel="0" collapsed="false">
      <c r="B23" s="18" t="s">
        <v>148</v>
      </c>
      <c r="C23" s="18"/>
      <c r="D23" s="18"/>
      <c r="E23" s="34" t="s">
        <v>179</v>
      </c>
      <c r="F23" s="34"/>
      <c r="G23" s="34"/>
      <c r="H23" s="34"/>
      <c r="I23" s="34"/>
      <c r="J23" s="34"/>
      <c r="K23" s="34"/>
      <c r="L23" s="34"/>
      <c r="M23" s="34"/>
      <c r="N23" s="34"/>
      <c r="O23" s="34"/>
      <c r="P23" s="34"/>
      <c r="Q23" s="34"/>
      <c r="R23" s="34"/>
      <c r="S23" s="34"/>
      <c r="T23" s="34"/>
      <c r="U23" s="34"/>
      <c r="V23" s="34"/>
      <c r="W23" s="34"/>
      <c r="X23" s="34"/>
      <c r="Y23" s="34"/>
      <c r="Z23" s="34"/>
      <c r="AA23" s="34"/>
      <c r="AB23" s="34"/>
      <c r="AC23" s="34"/>
      <c r="AD23" s="40" t="s">
        <v>150</v>
      </c>
      <c r="AE23" s="40"/>
      <c r="AF23" s="40"/>
    </row>
    <row r="24" customFormat="false" ht="15" hidden="false" customHeight="false" outlineLevel="0" collapsed="false">
      <c r="B24" s="41" t="s">
        <v>118</v>
      </c>
      <c r="C24" s="41"/>
      <c r="D24" s="41"/>
      <c r="E24" s="41" t="s">
        <v>119</v>
      </c>
      <c r="F24" s="41"/>
      <c r="G24" s="41"/>
      <c r="H24" s="41"/>
      <c r="I24" s="41"/>
      <c r="J24" s="41"/>
      <c r="K24" s="41"/>
      <c r="L24" s="42" t="s">
        <v>151</v>
      </c>
      <c r="M24" s="43" t="s">
        <v>152</v>
      </c>
      <c r="N24" s="43"/>
      <c r="O24" s="43"/>
      <c r="P24" s="43"/>
      <c r="Q24" s="44"/>
      <c r="R24" s="45" t="s">
        <v>118</v>
      </c>
      <c r="S24" s="45"/>
      <c r="T24" s="45"/>
      <c r="U24" s="41" t="s">
        <v>119</v>
      </c>
      <c r="V24" s="41"/>
      <c r="W24" s="41"/>
      <c r="X24" s="41"/>
      <c r="Y24" s="41"/>
      <c r="Z24" s="41"/>
      <c r="AA24" s="41"/>
      <c r="AB24" s="42" t="s">
        <v>151</v>
      </c>
      <c r="AC24" s="43" t="s">
        <v>152</v>
      </c>
      <c r="AD24" s="43"/>
      <c r="AE24" s="43"/>
      <c r="AF24" s="43"/>
    </row>
    <row r="25" customFormat="false" ht="16.5" hidden="false" customHeight="true" outlineLevel="0" collapsed="false">
      <c r="B25" s="46" t="s">
        <v>122</v>
      </c>
      <c r="C25" s="46"/>
      <c r="D25" s="46"/>
      <c r="M25" s="47" t="s">
        <v>123</v>
      </c>
      <c r="N25" s="47"/>
      <c r="O25" s="47"/>
      <c r="R25" s="48" t="s">
        <v>122</v>
      </c>
      <c r="S25" s="48"/>
      <c r="T25" s="48"/>
      <c r="AC25" s="47" t="s">
        <v>123</v>
      </c>
      <c r="AD25" s="47"/>
      <c r="AE25" s="47"/>
    </row>
    <row r="26" customFormat="false" ht="17.25" hidden="false" customHeight="true" outlineLevel="0" collapsed="false">
      <c r="B26" s="6" t="s">
        <v>154</v>
      </c>
      <c r="C26" s="6"/>
      <c r="D26" s="6"/>
      <c r="E26" s="38" t="s">
        <v>180</v>
      </c>
      <c r="F26" s="38"/>
      <c r="G26" s="38"/>
      <c r="H26" s="38"/>
      <c r="I26" s="38"/>
      <c r="J26" s="38"/>
      <c r="K26" s="38"/>
      <c r="L26" s="49"/>
      <c r="M26" s="60" t="n">
        <f aca="false">$X$11</f>
        <v>400</v>
      </c>
      <c r="N26" s="60"/>
      <c r="O26" s="60"/>
      <c r="R26" s="50" t="s">
        <v>124</v>
      </c>
      <c r="S26" s="50"/>
      <c r="T26" s="50"/>
      <c r="U26" s="38" t="s">
        <v>181</v>
      </c>
      <c r="V26" s="38"/>
      <c r="W26" s="38"/>
      <c r="X26" s="38"/>
      <c r="Y26" s="38"/>
      <c r="Z26" s="38"/>
      <c r="AA26" s="38"/>
      <c r="AB26" s="49" t="s">
        <v>156</v>
      </c>
      <c r="AC26" s="60" t="n">
        <f aca="false">$X$11+$X$12*$X$13/12</f>
        <v>2650</v>
      </c>
      <c r="AD26" s="60"/>
      <c r="AE26" s="60"/>
    </row>
    <row r="27" customFormat="false" ht="17.25" hidden="false" customHeight="true" outlineLevel="0" collapsed="false">
      <c r="B27" s="6" t="s">
        <v>182</v>
      </c>
      <c r="C27" s="6"/>
      <c r="D27" s="6"/>
      <c r="E27" s="38" t="s">
        <v>158</v>
      </c>
      <c r="F27" s="38"/>
      <c r="G27" s="38"/>
      <c r="H27" s="38"/>
      <c r="I27" s="38"/>
      <c r="J27" s="38"/>
      <c r="K27" s="38"/>
      <c r="L27" s="49" t="s">
        <v>159</v>
      </c>
      <c r="M27" s="60" t="n">
        <f aca="false">$X$12</f>
        <v>3000</v>
      </c>
      <c r="N27" s="60"/>
      <c r="O27" s="60"/>
      <c r="R27" s="50" t="s">
        <v>124</v>
      </c>
      <c r="S27" s="50"/>
      <c r="T27" s="50"/>
      <c r="U27" s="38" t="s">
        <v>183</v>
      </c>
      <c r="V27" s="38"/>
      <c r="W27" s="38"/>
      <c r="X27" s="38"/>
      <c r="Y27" s="38"/>
      <c r="Z27" s="38"/>
      <c r="AA27" s="38"/>
      <c r="AB27" s="49"/>
      <c r="AC27" s="60" t="n">
        <f aca="false">$X$12*(12-$X$13)/12</f>
        <v>750</v>
      </c>
      <c r="AD27" s="60"/>
      <c r="AE27" s="60"/>
    </row>
    <row r="28" customFormat="false" ht="16.5" hidden="false" customHeight="true" outlineLevel="0" collapsed="false">
      <c r="M28" s="62" t="n">
        <f aca="false">SUM(M25:M27)</f>
        <v>3400</v>
      </c>
      <c r="N28" s="62"/>
      <c r="O28" s="62"/>
      <c r="R28" s="52"/>
      <c r="AC28" s="62" t="n">
        <f aca="false">SUM(AC25:AC27)</f>
        <v>3400</v>
      </c>
      <c r="AD28" s="62"/>
      <c r="AE28" s="62"/>
    </row>
    <row r="29" customFormat="false" ht="16.5" hidden="false" customHeight="true" outlineLevel="0" collapsed="false">
      <c r="B29" s="46" t="s">
        <v>153</v>
      </c>
      <c r="C29" s="46"/>
      <c r="D29" s="46"/>
      <c r="R29" s="52"/>
    </row>
    <row r="30" customFormat="false" ht="17.25" hidden="false" customHeight="true" outlineLevel="0" collapsed="false">
      <c r="B30" s="6" t="s">
        <v>154</v>
      </c>
      <c r="C30" s="6"/>
      <c r="D30" s="6"/>
      <c r="E30" s="38" t="s">
        <v>180</v>
      </c>
      <c r="F30" s="38"/>
      <c r="G30" s="38"/>
      <c r="H30" s="38"/>
      <c r="I30" s="38"/>
      <c r="J30" s="38"/>
      <c r="K30" s="38"/>
      <c r="L30" s="49"/>
      <c r="M30" s="60" t="n">
        <f aca="false">$X$12*(12-$X$13)/12</f>
        <v>750</v>
      </c>
      <c r="N30" s="60"/>
      <c r="O30" s="60"/>
      <c r="R30" s="52"/>
    </row>
    <row r="32" customFormat="false" ht="18.75" hidden="false" customHeight="true" outlineLevel="0" collapsed="false">
      <c r="B32" s="3" t="s">
        <v>184</v>
      </c>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ustomFormat="false" ht="15" hidden="false" customHeight="false" outlineLevel="0" collapsed="false">
      <c r="B33" s="34" t="s">
        <v>132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customFormat="false" ht="15" hidden="false" customHeight="false" outlineLevel="0" collapsed="false">
      <c r="B34" s="35"/>
      <c r="C34" s="35"/>
      <c r="D34" s="35"/>
      <c r="E34" s="23" t="s">
        <v>119</v>
      </c>
      <c r="F34" s="23"/>
      <c r="G34" s="23"/>
      <c r="H34" s="23"/>
      <c r="I34" s="23"/>
      <c r="J34" s="23"/>
      <c r="K34" s="23"/>
      <c r="L34" s="23"/>
      <c r="M34" s="23"/>
      <c r="N34" s="23"/>
      <c r="O34" s="23"/>
      <c r="P34" s="23"/>
      <c r="Q34" s="23"/>
      <c r="R34" s="24" t="s">
        <v>123</v>
      </c>
      <c r="S34" s="24"/>
      <c r="T34" s="24"/>
      <c r="U34" s="24"/>
      <c r="V34" s="24"/>
      <c r="W34" s="24" t="s">
        <v>123</v>
      </c>
      <c r="X34" s="24"/>
      <c r="Y34" s="24"/>
      <c r="Z34" s="24"/>
      <c r="AA34" s="24"/>
      <c r="AB34" s="24" t="s">
        <v>123</v>
      </c>
      <c r="AC34" s="24"/>
      <c r="AD34" s="24"/>
      <c r="AE34" s="24"/>
      <c r="AF34" s="24"/>
    </row>
    <row r="35" customFormat="false" ht="30" hidden="false" customHeight="true" outlineLevel="0" collapsed="false">
      <c r="B35" s="35"/>
      <c r="C35" s="35"/>
      <c r="D35" s="35"/>
      <c r="E35" s="35"/>
      <c r="F35" s="35"/>
      <c r="G35" s="35"/>
      <c r="H35" s="35"/>
      <c r="I35" s="35"/>
      <c r="J35" s="35"/>
      <c r="K35" s="35"/>
      <c r="L35" s="35"/>
      <c r="M35" s="35"/>
      <c r="N35" s="35"/>
      <c r="O35" s="35"/>
      <c r="P35" s="35"/>
      <c r="Q35" s="35"/>
      <c r="R35" s="11" t="s">
        <v>133</v>
      </c>
      <c r="S35" s="11"/>
      <c r="T35" s="11"/>
      <c r="U35" s="11"/>
      <c r="V35" s="11"/>
      <c r="W35" s="11" t="s">
        <v>134</v>
      </c>
      <c r="X35" s="11"/>
      <c r="Y35" s="11"/>
      <c r="Z35" s="11"/>
      <c r="AA35" s="11"/>
      <c r="AB35" s="11" t="s">
        <v>135</v>
      </c>
      <c r="AC35" s="11"/>
      <c r="AD35" s="11"/>
      <c r="AE35" s="11"/>
      <c r="AF35" s="11"/>
    </row>
    <row r="36" customFormat="false" ht="17.25" hidden="false" customHeight="true" outlineLevel="0" collapsed="false">
      <c r="B36" s="36"/>
      <c r="C36" s="36"/>
      <c r="D36" s="36"/>
      <c r="E36" s="37" t="s">
        <v>136</v>
      </c>
      <c r="F36" s="37"/>
      <c r="G36" s="37"/>
      <c r="H36" s="37"/>
      <c r="I36" s="37"/>
      <c r="J36" s="37"/>
      <c r="K36" s="37"/>
      <c r="L36" s="37"/>
      <c r="M36" s="37"/>
      <c r="N36" s="37"/>
      <c r="O36" s="37"/>
      <c r="P36" s="37"/>
      <c r="Q36" s="37"/>
    </row>
    <row r="37" customFormat="false" ht="17.25" hidden="false" customHeight="true" outlineLevel="0" collapsed="false">
      <c r="B37" s="36"/>
      <c r="C37" s="36"/>
      <c r="D37" s="36"/>
      <c r="E37" s="38" t="s">
        <v>185</v>
      </c>
      <c r="F37" s="38"/>
      <c r="G37" s="38"/>
      <c r="H37" s="38"/>
      <c r="I37" s="38"/>
      <c r="J37" s="38"/>
      <c r="K37" s="38"/>
      <c r="L37" s="38"/>
      <c r="M37" s="38"/>
      <c r="N37" s="38"/>
      <c r="O37" s="38"/>
      <c r="P37" s="38"/>
      <c r="Q37" s="38"/>
      <c r="W37" s="60" t="n">
        <f aca="false">$X$12*(12-$X$13)/12</f>
        <v>750</v>
      </c>
      <c r="X37" s="60"/>
      <c r="Y37" s="60"/>
      <c r="Z37" s="60"/>
    </row>
    <row r="38" customFormat="false" ht="17.25" hidden="false" customHeight="true" outlineLevel="0" collapsed="false">
      <c r="B38" s="36" t="s">
        <v>138</v>
      </c>
      <c r="C38" s="36"/>
      <c r="D38" s="36"/>
      <c r="E38" s="37" t="s">
        <v>186</v>
      </c>
      <c r="F38" s="37"/>
      <c r="G38" s="37"/>
      <c r="H38" s="37"/>
      <c r="I38" s="37"/>
      <c r="J38" s="37"/>
      <c r="K38" s="37"/>
      <c r="L38" s="37"/>
      <c r="M38" s="37"/>
      <c r="N38" s="37"/>
      <c r="O38" s="37"/>
      <c r="P38" s="37"/>
      <c r="Q38" s="37"/>
    </row>
    <row r="39" customFormat="false" ht="17.25" hidden="false" customHeight="true" outlineLevel="0" collapsed="false">
      <c r="B39" s="36"/>
      <c r="C39" s="36"/>
      <c r="D39" s="36"/>
      <c r="E39" s="38" t="s">
        <v>187</v>
      </c>
      <c r="F39" s="38"/>
      <c r="G39" s="38"/>
      <c r="H39" s="38"/>
      <c r="I39" s="38"/>
      <c r="J39" s="38"/>
      <c r="K39" s="38"/>
      <c r="L39" s="38"/>
      <c r="M39" s="38"/>
      <c r="N39" s="38"/>
      <c r="O39" s="38"/>
      <c r="P39" s="38"/>
      <c r="Q39" s="38"/>
      <c r="W39" s="60" t="n">
        <f aca="false">12*$X$9-$X$10</f>
        <v>900</v>
      </c>
      <c r="X39" s="60"/>
      <c r="Y39" s="60"/>
      <c r="Z39" s="60"/>
    </row>
  </sheetData>
  <mergeCells count="81">
    <mergeCell ref="B1:AF1"/>
    <mergeCell ref="B2:AF2"/>
    <mergeCell ref="B3:AF3"/>
    <mergeCell ref="B5:AF5"/>
    <mergeCell ref="C6:AF6"/>
    <mergeCell ref="C7:AF7"/>
    <mergeCell ref="B8:W8"/>
    <mergeCell ref="X8:AC8"/>
    <mergeCell ref="B9:W9"/>
    <mergeCell ref="X9:AC9"/>
    <mergeCell ref="B10:W10"/>
    <mergeCell ref="X10:AC10"/>
    <mergeCell ref="B11:W11"/>
    <mergeCell ref="X11:AC11"/>
    <mergeCell ref="B12:W12"/>
    <mergeCell ref="X12:AC12"/>
    <mergeCell ref="B13:W13"/>
    <mergeCell ref="X13:AC13"/>
    <mergeCell ref="B16:AF16"/>
    <mergeCell ref="B17:W17"/>
    <mergeCell ref="X17:AB17"/>
    <mergeCell ref="B18:W18"/>
    <mergeCell ref="X18:AB18"/>
    <mergeCell ref="B19:W19"/>
    <mergeCell ref="X19:AB19"/>
    <mergeCell ref="B20:W20"/>
    <mergeCell ref="X20:AB20"/>
    <mergeCell ref="B22:AF22"/>
    <mergeCell ref="B23:D23"/>
    <mergeCell ref="E23:AC23"/>
    <mergeCell ref="AD23:AF23"/>
    <mergeCell ref="B24:D24"/>
    <mergeCell ref="E24:K24"/>
    <mergeCell ref="M24:P24"/>
    <mergeCell ref="R24:T24"/>
    <mergeCell ref="U24:AA24"/>
    <mergeCell ref="AC24:AF24"/>
    <mergeCell ref="B25:D25"/>
    <mergeCell ref="M25:O25"/>
    <mergeCell ref="R25:T25"/>
    <mergeCell ref="AC25:AE25"/>
    <mergeCell ref="B26:D26"/>
    <mergeCell ref="E26:K26"/>
    <mergeCell ref="M26:O26"/>
    <mergeCell ref="R26:T26"/>
    <mergeCell ref="U26:AA26"/>
    <mergeCell ref="AC26:AE26"/>
    <mergeCell ref="B27:D27"/>
    <mergeCell ref="E27:K27"/>
    <mergeCell ref="M27:O27"/>
    <mergeCell ref="R27:T27"/>
    <mergeCell ref="U27:AA27"/>
    <mergeCell ref="AC27:AE27"/>
    <mergeCell ref="M28:O28"/>
    <mergeCell ref="AC28:AE28"/>
    <mergeCell ref="B29:D29"/>
    <mergeCell ref="B30:D30"/>
    <mergeCell ref="E30:K30"/>
    <mergeCell ref="M30:O30"/>
    <mergeCell ref="B32:AF32"/>
    <mergeCell ref="B33:AF33"/>
    <mergeCell ref="B34:D34"/>
    <mergeCell ref="E34:Q34"/>
    <mergeCell ref="R34:V34"/>
    <mergeCell ref="W34:AA34"/>
    <mergeCell ref="AB34:AF34"/>
    <mergeCell ref="B35:D35"/>
    <mergeCell ref="E35:Q35"/>
    <mergeCell ref="R35:V35"/>
    <mergeCell ref="W35:AA35"/>
    <mergeCell ref="AB35:AF35"/>
    <mergeCell ref="B36:D36"/>
    <mergeCell ref="E36:Q36"/>
    <mergeCell ref="B37:D37"/>
    <mergeCell ref="E37:Q37"/>
    <mergeCell ref="W37:Z37"/>
    <mergeCell ref="B38:D38"/>
    <mergeCell ref="E38:Q38"/>
    <mergeCell ref="B39:D39"/>
    <mergeCell ref="E39:Q39"/>
    <mergeCell ref="W39:Z39"/>
  </mergeCells>
  <conditionalFormatting sqref="B1:AG40">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B1:AF25"/>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281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7" t="s">
        <v>276</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row>
    <row r="3" customFormat="false" ht="15" hidden="false" customHeight="false" outlineLevel="0" collapsed="false">
      <c r="B3" s="17" t="s">
        <v>277</v>
      </c>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row>
    <row r="6" customFormat="false" ht="18.75" hidden="false" customHeight="true" outlineLevel="0" collapsed="false">
      <c r="B6" s="3" t="s">
        <v>188</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ustomFormat="false" ht="17.25" hidden="false" customHeight="true" outlineLevel="0" collapsed="false">
      <c r="B7" s="20" t="s">
        <v>189</v>
      </c>
      <c r="C7" s="20"/>
      <c r="D7" s="20"/>
      <c r="E7" s="20"/>
      <c r="F7" s="20"/>
      <c r="G7" s="20"/>
      <c r="H7" s="20"/>
      <c r="I7" s="20"/>
      <c r="J7" s="20"/>
      <c r="K7" s="20"/>
      <c r="L7" s="20"/>
      <c r="M7" s="20"/>
      <c r="N7" s="20"/>
      <c r="O7" s="20"/>
      <c r="P7" s="20"/>
      <c r="Q7" s="20"/>
      <c r="R7" s="20"/>
      <c r="S7" s="20"/>
      <c r="T7" s="57" t="str">
        <f aca="false">"Business entity"</f>
        <v>Business entity</v>
      </c>
      <c r="U7" s="57"/>
      <c r="V7" s="57"/>
      <c r="W7" s="57"/>
      <c r="X7" s="57"/>
      <c r="Y7" s="57"/>
      <c r="Z7" s="57"/>
      <c r="AA7" s="57"/>
      <c r="AB7" s="57"/>
    </row>
    <row r="8" customFormat="false" ht="17.25" hidden="false" customHeight="true" outlineLevel="0" collapsed="false">
      <c r="B8" s="20" t="s">
        <v>190</v>
      </c>
      <c r="C8" s="20"/>
      <c r="D8" s="20"/>
      <c r="E8" s="20"/>
      <c r="F8" s="20"/>
      <c r="G8" s="20"/>
      <c r="H8" s="20"/>
      <c r="I8" s="20"/>
      <c r="J8" s="20"/>
      <c r="K8" s="20"/>
      <c r="L8" s="20"/>
      <c r="M8" s="20"/>
      <c r="N8" s="20"/>
      <c r="O8" s="20"/>
      <c r="P8" s="20"/>
      <c r="Q8" s="20"/>
      <c r="R8" s="20"/>
      <c r="S8" s="20"/>
      <c r="T8" s="57" t="str">
        <f aca="false">"Realisation"</f>
        <v>Realisation</v>
      </c>
      <c r="U8" s="57"/>
      <c r="V8" s="57"/>
      <c r="W8" s="57"/>
      <c r="X8" s="57"/>
      <c r="Y8" s="57"/>
      <c r="Z8" s="57"/>
      <c r="AA8" s="57"/>
      <c r="AB8" s="57"/>
    </row>
    <row r="9" customFormat="false" ht="17.25" hidden="false" customHeight="true" outlineLevel="0" collapsed="false">
      <c r="B9" s="20" t="s">
        <v>191</v>
      </c>
      <c r="C9" s="20"/>
      <c r="D9" s="20"/>
      <c r="E9" s="20"/>
      <c r="F9" s="20"/>
      <c r="G9" s="20"/>
      <c r="H9" s="20"/>
      <c r="I9" s="20"/>
      <c r="J9" s="20"/>
      <c r="K9" s="20"/>
      <c r="L9" s="20"/>
      <c r="M9" s="20"/>
      <c r="N9" s="20"/>
      <c r="O9" s="20"/>
      <c r="P9" s="20"/>
      <c r="Q9" s="20"/>
      <c r="R9" s="20"/>
      <c r="S9" s="20"/>
      <c r="T9" s="57" t="str">
        <f aca="false">"Consistency"</f>
        <v>Consistency</v>
      </c>
      <c r="U9" s="57"/>
      <c r="V9" s="57"/>
      <c r="W9" s="57"/>
      <c r="X9" s="57"/>
      <c r="Y9" s="57"/>
      <c r="Z9" s="57"/>
      <c r="AA9" s="57"/>
      <c r="AB9" s="57"/>
    </row>
    <row r="10" customFormat="false" ht="17.25" hidden="false" customHeight="true" outlineLevel="0" collapsed="false">
      <c r="B10" s="20" t="s">
        <v>192</v>
      </c>
      <c r="C10" s="20"/>
      <c r="D10" s="20"/>
      <c r="E10" s="20"/>
      <c r="F10" s="20"/>
      <c r="G10" s="20"/>
      <c r="H10" s="20"/>
      <c r="I10" s="20"/>
      <c r="J10" s="20"/>
      <c r="K10" s="20"/>
      <c r="L10" s="20"/>
      <c r="M10" s="20"/>
      <c r="N10" s="20"/>
      <c r="O10" s="20"/>
      <c r="P10" s="20"/>
      <c r="Q10" s="20"/>
      <c r="R10" s="20"/>
      <c r="S10" s="20"/>
      <c r="T10" s="57" t="str">
        <f aca="false">"Money measurement"</f>
        <v>Money measurement</v>
      </c>
      <c r="U10" s="57"/>
      <c r="V10" s="57"/>
      <c r="W10" s="57"/>
      <c r="X10" s="57"/>
      <c r="Y10" s="57"/>
      <c r="Z10" s="57"/>
      <c r="AA10" s="57"/>
      <c r="AB10" s="57"/>
    </row>
    <row r="12" customFormat="false" ht="18.75" hidden="false" customHeight="true" outlineLevel="0" collapsed="false">
      <c r="B12" s="3" t="s">
        <v>193</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ustomFormat="false" ht="15" hidden="false" customHeight="false" outlineLevel="0" collapsed="false">
      <c r="B13" s="23" t="s">
        <v>107</v>
      </c>
      <c r="C13" s="23"/>
      <c r="D13" s="23"/>
      <c r="E13" s="23"/>
      <c r="F13" s="23"/>
      <c r="G13" s="23"/>
      <c r="H13" s="23"/>
      <c r="I13" s="23"/>
      <c r="J13" s="23"/>
      <c r="K13" s="23"/>
      <c r="L13" s="23"/>
      <c r="M13" s="23"/>
      <c r="N13" s="23"/>
      <c r="O13" s="23"/>
      <c r="P13" s="23"/>
      <c r="Q13" s="23"/>
      <c r="R13" s="23"/>
      <c r="S13" s="23"/>
      <c r="T13" s="23"/>
      <c r="U13" s="23"/>
      <c r="V13" s="23"/>
      <c r="W13" s="23"/>
      <c r="X13" s="24" t="s">
        <v>108</v>
      </c>
      <c r="Y13" s="24"/>
      <c r="Z13" s="24"/>
      <c r="AA13" s="24"/>
      <c r="AB13" s="24"/>
      <c r="AC13" s="24"/>
    </row>
    <row r="14" customFormat="false" ht="16.5" hidden="false" customHeight="true" outlineLevel="0" collapsed="false">
      <c r="B14" s="12" t="s">
        <v>194</v>
      </c>
      <c r="C14" s="12"/>
      <c r="D14" s="12"/>
      <c r="E14" s="12"/>
      <c r="F14" s="12"/>
      <c r="G14" s="12"/>
      <c r="H14" s="12"/>
      <c r="I14" s="12"/>
      <c r="J14" s="12"/>
      <c r="K14" s="12"/>
      <c r="L14" s="12"/>
      <c r="M14" s="12"/>
      <c r="N14" s="12"/>
      <c r="O14" s="12"/>
      <c r="P14" s="12"/>
      <c r="Q14" s="12"/>
      <c r="R14" s="12"/>
      <c r="S14" s="12"/>
      <c r="T14" s="12"/>
      <c r="U14" s="12"/>
      <c r="V14" s="12"/>
      <c r="W14" s="12"/>
      <c r="X14" s="58" t="n">
        <f aca="false">'Mock B4'!X14</f>
        <v>3000</v>
      </c>
      <c r="Y14" s="58"/>
      <c r="Z14" s="58"/>
      <c r="AA14" s="58"/>
      <c r="AB14" s="58"/>
      <c r="AC14" s="58"/>
    </row>
    <row r="15" customFormat="false" ht="16.5" hidden="false" customHeight="true" outlineLevel="0" collapsed="false">
      <c r="B15" s="12" t="s">
        <v>195</v>
      </c>
      <c r="C15" s="12"/>
      <c r="D15" s="12"/>
      <c r="E15" s="12"/>
      <c r="F15" s="12"/>
      <c r="G15" s="12"/>
      <c r="H15" s="12"/>
      <c r="I15" s="12"/>
      <c r="J15" s="12"/>
      <c r="K15" s="12"/>
      <c r="L15" s="12"/>
      <c r="M15" s="12"/>
      <c r="N15" s="12"/>
      <c r="O15" s="12"/>
      <c r="P15" s="12"/>
      <c r="Q15" s="12"/>
      <c r="R15" s="12"/>
      <c r="S15" s="12"/>
      <c r="T15" s="12"/>
      <c r="U15" s="12"/>
      <c r="V15" s="12"/>
      <c r="W15" s="12"/>
      <c r="X15" s="58" t="n">
        <f aca="false">'Mock B4'!X15</f>
        <v>2600</v>
      </c>
      <c r="Y15" s="58"/>
      <c r="Z15" s="58"/>
      <c r="AA15" s="58"/>
      <c r="AB15" s="58"/>
      <c r="AC15" s="58"/>
    </row>
    <row r="16" customFormat="false" ht="16.5" hidden="false" customHeight="true" outlineLevel="0" collapsed="false">
      <c r="B16" s="12" t="s">
        <v>196</v>
      </c>
      <c r="C16" s="12"/>
      <c r="D16" s="12"/>
      <c r="E16" s="12"/>
      <c r="F16" s="12"/>
      <c r="G16" s="12"/>
      <c r="H16" s="12"/>
      <c r="I16" s="12"/>
      <c r="J16" s="12"/>
      <c r="K16" s="12"/>
      <c r="L16" s="12"/>
      <c r="M16" s="12"/>
      <c r="N16" s="12"/>
      <c r="O16" s="12"/>
      <c r="P16" s="12"/>
      <c r="Q16" s="12"/>
      <c r="R16" s="12"/>
      <c r="S16" s="12"/>
      <c r="T16" s="12"/>
      <c r="U16" s="12"/>
      <c r="V16" s="12"/>
      <c r="W16" s="12"/>
      <c r="X16" s="58" t="n">
        <f aca="false">'Mock B4'!X16</f>
        <v>400</v>
      </c>
      <c r="Y16" s="58"/>
      <c r="Z16" s="58"/>
      <c r="AA16" s="58"/>
      <c r="AB16" s="58"/>
      <c r="AC16" s="58"/>
    </row>
    <row r="18" customFormat="false" ht="17.25" hidden="false" customHeight="true" outlineLevel="0" collapsed="false">
      <c r="B18" s="20" t="s">
        <v>197</v>
      </c>
      <c r="C18" s="20"/>
      <c r="D18" s="20"/>
      <c r="E18" s="20"/>
      <c r="F18" s="20"/>
      <c r="G18" s="20"/>
      <c r="H18" s="20"/>
      <c r="I18" s="20"/>
      <c r="J18" s="20"/>
      <c r="K18" s="20"/>
      <c r="L18" s="20"/>
      <c r="M18" s="20"/>
      <c r="N18" s="20"/>
      <c r="O18" s="20"/>
      <c r="P18" s="20"/>
      <c r="Q18" s="20"/>
      <c r="R18" s="20"/>
      <c r="S18" s="20"/>
      <c r="T18" s="20"/>
      <c r="U18" s="20"/>
      <c r="V18" s="20"/>
      <c r="W18" s="20"/>
      <c r="X18" s="60" t="n">
        <f aca="false">$X$15-$X$16</f>
        <v>2200</v>
      </c>
      <c r="Y18" s="60"/>
      <c r="Z18" s="60"/>
      <c r="AA18" s="60"/>
      <c r="AB18" s="60"/>
    </row>
    <row r="19" customFormat="false" ht="17.25" hidden="false" customHeight="true" outlineLevel="0" collapsed="false">
      <c r="B19" s="20" t="s">
        <v>198</v>
      </c>
      <c r="C19" s="20"/>
      <c r="D19" s="20"/>
      <c r="E19" s="20"/>
      <c r="F19" s="20"/>
      <c r="G19" s="20"/>
      <c r="H19" s="20"/>
      <c r="I19" s="20"/>
      <c r="J19" s="20"/>
      <c r="K19" s="20"/>
      <c r="L19" s="20"/>
      <c r="M19" s="20"/>
      <c r="N19" s="20"/>
      <c r="O19" s="20"/>
      <c r="P19" s="20"/>
      <c r="Q19" s="20"/>
      <c r="R19" s="20"/>
      <c r="S19" s="20"/>
      <c r="T19" s="20"/>
      <c r="U19" s="20"/>
      <c r="V19" s="20"/>
      <c r="W19" s="20"/>
      <c r="X19" s="60" t="n">
        <f aca="false">MIN($X$14,$X$18)</f>
        <v>2200</v>
      </c>
      <c r="Y19" s="60"/>
      <c r="Z19" s="60"/>
      <c r="AA19" s="60"/>
      <c r="AB19" s="60"/>
    </row>
    <row r="20" customFormat="false" ht="17.25" hidden="false" customHeight="true" outlineLevel="0" collapsed="false">
      <c r="B20" s="20" t="s">
        <v>199</v>
      </c>
      <c r="C20" s="20"/>
      <c r="D20" s="20"/>
      <c r="E20" s="20"/>
      <c r="F20" s="20"/>
      <c r="G20" s="20"/>
      <c r="H20" s="20"/>
      <c r="I20" s="20"/>
      <c r="J20" s="20"/>
      <c r="K20" s="20"/>
      <c r="L20" s="20"/>
      <c r="M20" s="20"/>
      <c r="N20" s="20"/>
      <c r="O20" s="20"/>
      <c r="P20" s="20"/>
      <c r="Q20" s="20"/>
      <c r="R20" s="20"/>
      <c r="S20" s="20"/>
      <c r="T20" s="57" t="str">
        <f aca="false">"Prudence"</f>
        <v>Prudence</v>
      </c>
      <c r="U20" s="57"/>
      <c r="V20" s="57"/>
      <c r="W20" s="57"/>
      <c r="X20" s="57"/>
      <c r="Y20" s="57"/>
      <c r="Z20" s="57"/>
      <c r="AA20" s="57"/>
      <c r="AB20" s="57"/>
    </row>
    <row r="22" customFormat="false" ht="18.75" hidden="false" customHeight="true" outlineLevel="0" collapsed="false">
      <c r="B22" s="3" t="s">
        <v>200</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ustomFormat="false" ht="16.5" hidden="false" customHeight="true" outlineLevel="0" collapsed="false">
      <c r="B23" s="64" t="s">
        <v>282</v>
      </c>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row>
    <row r="24" customFormat="false" ht="16.5" hidden="false" customHeight="true" outlineLevel="0" collapsed="false">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row>
    <row r="25" customFormat="false" ht="16.5" hidden="false" customHeight="true" outlineLevel="0" collapsed="false">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row>
  </sheetData>
  <mergeCells count="29">
    <mergeCell ref="B1:AF1"/>
    <mergeCell ref="B2:AF2"/>
    <mergeCell ref="B3:AF3"/>
    <mergeCell ref="B6:AF6"/>
    <mergeCell ref="B7:S7"/>
    <mergeCell ref="T7:AB7"/>
    <mergeCell ref="B8:S8"/>
    <mergeCell ref="T8:AB8"/>
    <mergeCell ref="B9:S9"/>
    <mergeCell ref="T9:AB9"/>
    <mergeCell ref="B10:S10"/>
    <mergeCell ref="T10:AB10"/>
    <mergeCell ref="B12:AF12"/>
    <mergeCell ref="B13:W13"/>
    <mergeCell ref="X13:AC13"/>
    <mergeCell ref="B14:W14"/>
    <mergeCell ref="X14:AC14"/>
    <mergeCell ref="B15:W15"/>
    <mergeCell ref="X15:AC15"/>
    <mergeCell ref="B16:W16"/>
    <mergeCell ref="X16:AC16"/>
    <mergeCell ref="B18:W18"/>
    <mergeCell ref="X18:AB18"/>
    <mergeCell ref="B19:W19"/>
    <mergeCell ref="X19:AB19"/>
    <mergeCell ref="B20:S20"/>
    <mergeCell ref="T20:AB20"/>
    <mergeCell ref="B22:AF22"/>
    <mergeCell ref="B23:AF25"/>
  </mergeCells>
  <conditionalFormatting sqref="B1:AG26">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B1:AF116"/>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34" min="2" style="0" width="4.6"/>
  </cols>
  <sheetData>
    <row r="1" customFormat="false" ht="25.5" hidden="false" customHeight="true" outlineLevel="0" collapsed="false">
      <c r="B1" s="1" t="s">
        <v>283</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5" hidden="false" customHeight="false" outlineLevel="0" collapsed="false">
      <c r="B2" s="17" t="s">
        <v>276</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row>
    <row r="3" customFormat="false" ht="15" hidden="false" customHeight="false" outlineLevel="0" collapsed="false">
      <c r="B3" s="17" t="s">
        <v>277</v>
      </c>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row>
    <row r="5" customFormat="false" ht="16.5" hidden="false" customHeight="true" outlineLevel="0" collapsed="false">
      <c r="B5" s="4" t="s">
        <v>201</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ustomFormat="false" ht="15" hidden="false" customHeight="false" outlineLevel="0" collapsed="false">
      <c r="B6" s="34" t="s">
        <v>202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customFormat="false" ht="15" hidden="false" customHeight="false" outlineLevel="0" collapsed="false">
      <c r="B7" s="23" t="s">
        <v>119</v>
      </c>
      <c r="C7" s="23"/>
      <c r="D7" s="23"/>
      <c r="E7" s="23"/>
      <c r="F7" s="23"/>
      <c r="G7" s="23"/>
      <c r="H7" s="23"/>
      <c r="I7" s="23"/>
      <c r="J7" s="23"/>
      <c r="K7" s="23"/>
      <c r="L7" s="23"/>
      <c r="M7" s="23"/>
      <c r="N7" s="23"/>
      <c r="O7" s="23"/>
      <c r="P7" s="23"/>
      <c r="Q7" s="23"/>
      <c r="R7" s="23"/>
      <c r="S7" s="23"/>
      <c r="T7" s="23"/>
      <c r="U7" s="24" t="s">
        <v>203</v>
      </c>
      <c r="V7" s="24"/>
      <c r="W7" s="24"/>
      <c r="X7" s="24"/>
      <c r="Y7" s="24"/>
      <c r="Z7" s="24"/>
      <c r="AA7" s="24" t="s">
        <v>204</v>
      </c>
      <c r="AB7" s="24"/>
      <c r="AC7" s="24"/>
      <c r="AD7" s="24"/>
      <c r="AE7" s="24"/>
      <c r="AF7" s="24"/>
    </row>
    <row r="8" customFormat="false" ht="15" hidden="false" customHeight="false" outlineLevel="0" collapsed="false">
      <c r="B8" s="30" t="s">
        <v>205</v>
      </c>
      <c r="C8" s="30"/>
      <c r="D8" s="30"/>
      <c r="E8" s="30"/>
      <c r="F8" s="30"/>
      <c r="G8" s="30"/>
      <c r="H8" s="30"/>
      <c r="I8" s="30"/>
      <c r="J8" s="30"/>
      <c r="K8" s="30"/>
      <c r="L8" s="30"/>
      <c r="M8" s="30"/>
      <c r="N8" s="30"/>
      <c r="O8" s="30"/>
      <c r="P8" s="30"/>
      <c r="Q8" s="30"/>
      <c r="R8" s="30"/>
      <c r="S8" s="30"/>
      <c r="T8" s="30"/>
      <c r="U8" s="30"/>
      <c r="V8" s="30"/>
      <c r="W8" s="30"/>
      <c r="X8" s="30"/>
      <c r="Y8" s="30"/>
      <c r="Z8" s="30"/>
      <c r="AA8" s="58" t="n">
        <f aca="false">'Mock C'!AA8</f>
        <v>125000</v>
      </c>
      <c r="AB8" s="58"/>
      <c r="AC8" s="58"/>
      <c r="AD8" s="58"/>
      <c r="AE8" s="58"/>
      <c r="AF8" s="58"/>
    </row>
    <row r="9" customFormat="false" ht="15" hidden="false" customHeight="false" outlineLevel="0" collapsed="false">
      <c r="B9" s="30" t="s">
        <v>206</v>
      </c>
      <c r="C9" s="30"/>
      <c r="D9" s="30"/>
      <c r="E9" s="30"/>
      <c r="F9" s="30"/>
      <c r="G9" s="30"/>
      <c r="H9" s="30"/>
      <c r="I9" s="30"/>
      <c r="J9" s="30"/>
      <c r="K9" s="30"/>
      <c r="L9" s="30"/>
      <c r="M9" s="30"/>
      <c r="N9" s="30"/>
      <c r="O9" s="30"/>
      <c r="P9" s="30"/>
      <c r="Q9" s="30"/>
      <c r="R9" s="30"/>
      <c r="S9" s="30"/>
      <c r="T9" s="30"/>
      <c r="U9" s="58" t="n">
        <f aca="false">'Mock C'!U9</f>
        <v>68000</v>
      </c>
      <c r="V9" s="58"/>
      <c r="W9" s="58"/>
      <c r="X9" s="58"/>
      <c r="Y9" s="58"/>
      <c r="Z9" s="58"/>
      <c r="AA9" s="30"/>
      <c r="AB9" s="30"/>
      <c r="AC9" s="30"/>
      <c r="AD9" s="30"/>
      <c r="AE9" s="30"/>
      <c r="AF9" s="30"/>
    </row>
    <row r="10" customFormat="false" ht="15" hidden="false" customHeight="false" outlineLevel="0" collapsed="false">
      <c r="B10" s="30" t="s">
        <v>207</v>
      </c>
      <c r="C10" s="30"/>
      <c r="D10" s="30"/>
      <c r="E10" s="30"/>
      <c r="F10" s="30"/>
      <c r="G10" s="30"/>
      <c r="H10" s="30"/>
      <c r="I10" s="30"/>
      <c r="J10" s="30"/>
      <c r="K10" s="30"/>
      <c r="L10" s="30"/>
      <c r="M10" s="30"/>
      <c r="N10" s="30"/>
      <c r="O10" s="30"/>
      <c r="P10" s="30"/>
      <c r="Q10" s="30"/>
      <c r="R10" s="30"/>
      <c r="S10" s="30"/>
      <c r="T10" s="30"/>
      <c r="U10" s="58" t="n">
        <f aca="false">'Mock C'!U10</f>
        <v>2000</v>
      </c>
      <c r="V10" s="58"/>
      <c r="W10" s="58"/>
      <c r="X10" s="58"/>
      <c r="Y10" s="58"/>
      <c r="Z10" s="58"/>
      <c r="AA10" s="30"/>
      <c r="AB10" s="30"/>
      <c r="AC10" s="30"/>
      <c r="AD10" s="30"/>
      <c r="AE10" s="30"/>
      <c r="AF10" s="30"/>
    </row>
    <row r="11" customFormat="false" ht="15" hidden="false" customHeight="false" outlineLevel="0" collapsed="false">
      <c r="B11" s="30" t="s">
        <v>208</v>
      </c>
      <c r="C11" s="30"/>
      <c r="D11" s="30"/>
      <c r="E11" s="30"/>
      <c r="F11" s="30"/>
      <c r="G11" s="30"/>
      <c r="H11" s="30"/>
      <c r="I11" s="30"/>
      <c r="J11" s="30"/>
      <c r="K11" s="30"/>
      <c r="L11" s="30"/>
      <c r="M11" s="30"/>
      <c r="N11" s="30"/>
      <c r="O11" s="30"/>
      <c r="P11" s="30"/>
      <c r="Q11" s="30"/>
      <c r="R11" s="30"/>
      <c r="S11" s="30"/>
      <c r="T11" s="30"/>
      <c r="U11" s="30"/>
      <c r="V11" s="30"/>
      <c r="W11" s="30"/>
      <c r="X11" s="30"/>
      <c r="Y11" s="30"/>
      <c r="Z11" s="30"/>
      <c r="AA11" s="58" t="n">
        <f aca="false">'Mock C'!AA11</f>
        <v>1500</v>
      </c>
      <c r="AB11" s="58"/>
      <c r="AC11" s="58"/>
      <c r="AD11" s="58"/>
      <c r="AE11" s="58"/>
      <c r="AF11" s="58"/>
    </row>
    <row r="12" customFormat="false" ht="15" hidden="false" customHeight="false" outlineLevel="0" collapsed="false">
      <c r="B12" s="30" t="s">
        <v>209</v>
      </c>
      <c r="C12" s="30"/>
      <c r="D12" s="30"/>
      <c r="E12" s="30"/>
      <c r="F12" s="30"/>
      <c r="G12" s="30"/>
      <c r="H12" s="30"/>
      <c r="I12" s="30"/>
      <c r="J12" s="30"/>
      <c r="K12" s="30"/>
      <c r="L12" s="30"/>
      <c r="M12" s="30"/>
      <c r="N12" s="30"/>
      <c r="O12" s="30"/>
      <c r="P12" s="30"/>
      <c r="Q12" s="30"/>
      <c r="R12" s="30"/>
      <c r="S12" s="30"/>
      <c r="T12" s="30"/>
      <c r="U12" s="58" t="n">
        <f aca="false">'Mock C'!U12</f>
        <v>1200</v>
      </c>
      <c r="V12" s="58"/>
      <c r="W12" s="58"/>
      <c r="X12" s="58"/>
      <c r="Y12" s="58"/>
      <c r="Z12" s="58"/>
      <c r="AA12" s="30"/>
      <c r="AB12" s="30"/>
      <c r="AC12" s="30"/>
      <c r="AD12" s="30"/>
      <c r="AE12" s="30"/>
      <c r="AF12" s="30"/>
    </row>
    <row r="13" customFormat="false" ht="15" hidden="false" customHeight="false" outlineLevel="0" collapsed="false">
      <c r="B13" s="30" t="s">
        <v>210</v>
      </c>
      <c r="C13" s="30"/>
      <c r="D13" s="30"/>
      <c r="E13" s="30"/>
      <c r="F13" s="30"/>
      <c r="G13" s="30"/>
      <c r="H13" s="30"/>
      <c r="I13" s="30"/>
      <c r="J13" s="30"/>
      <c r="K13" s="30"/>
      <c r="L13" s="30"/>
      <c r="M13" s="30"/>
      <c r="N13" s="30"/>
      <c r="O13" s="30"/>
      <c r="P13" s="30"/>
      <c r="Q13" s="30"/>
      <c r="R13" s="30"/>
      <c r="S13" s="30"/>
      <c r="T13" s="30"/>
      <c r="U13" s="58" t="n">
        <f aca="false">'Mock C'!U13</f>
        <v>800</v>
      </c>
      <c r="V13" s="58"/>
      <c r="W13" s="58"/>
      <c r="X13" s="58"/>
      <c r="Y13" s="58"/>
      <c r="Z13" s="58"/>
      <c r="AA13" s="30"/>
      <c r="AB13" s="30"/>
      <c r="AC13" s="30"/>
      <c r="AD13" s="30"/>
      <c r="AE13" s="30"/>
      <c r="AF13" s="30"/>
    </row>
    <row r="14" customFormat="false" ht="15" hidden="false" customHeight="false" outlineLevel="0" collapsed="false">
      <c r="B14" s="30" t="s">
        <v>211</v>
      </c>
      <c r="C14" s="30"/>
      <c r="D14" s="30"/>
      <c r="E14" s="30"/>
      <c r="F14" s="30"/>
      <c r="G14" s="30"/>
      <c r="H14" s="30"/>
      <c r="I14" s="30"/>
      <c r="J14" s="30"/>
      <c r="K14" s="30"/>
      <c r="L14" s="30"/>
      <c r="M14" s="30"/>
      <c r="N14" s="30"/>
      <c r="O14" s="30"/>
      <c r="P14" s="30"/>
      <c r="Q14" s="30"/>
      <c r="R14" s="30"/>
      <c r="S14" s="30"/>
      <c r="T14" s="30"/>
      <c r="U14" s="58" t="n">
        <f aca="false">'Mock C'!U14</f>
        <v>9000</v>
      </c>
      <c r="V14" s="58"/>
      <c r="W14" s="58"/>
      <c r="X14" s="58"/>
      <c r="Y14" s="58"/>
      <c r="Z14" s="58"/>
      <c r="AA14" s="30"/>
      <c r="AB14" s="30"/>
      <c r="AC14" s="30"/>
      <c r="AD14" s="30"/>
      <c r="AE14" s="30"/>
      <c r="AF14" s="30"/>
    </row>
    <row r="15" customFormat="false" ht="15" hidden="false" customHeight="false" outlineLevel="0" collapsed="false">
      <c r="B15" s="30" t="s">
        <v>212</v>
      </c>
      <c r="C15" s="30"/>
      <c r="D15" s="30"/>
      <c r="E15" s="30"/>
      <c r="F15" s="30"/>
      <c r="G15" s="30"/>
      <c r="H15" s="30"/>
      <c r="I15" s="30"/>
      <c r="J15" s="30"/>
      <c r="K15" s="30"/>
      <c r="L15" s="30"/>
      <c r="M15" s="30"/>
      <c r="N15" s="30"/>
      <c r="O15" s="30"/>
      <c r="P15" s="30"/>
      <c r="Q15" s="30"/>
      <c r="R15" s="30"/>
      <c r="S15" s="30"/>
      <c r="T15" s="30"/>
      <c r="U15" s="58" t="n">
        <f aca="false">'Mock C'!U15</f>
        <v>18000</v>
      </c>
      <c r="V15" s="58"/>
      <c r="W15" s="58"/>
      <c r="X15" s="58"/>
      <c r="Y15" s="58"/>
      <c r="Z15" s="58"/>
      <c r="AA15" s="30"/>
      <c r="AB15" s="30"/>
      <c r="AC15" s="30"/>
      <c r="AD15" s="30"/>
      <c r="AE15" s="30"/>
      <c r="AF15" s="30"/>
    </row>
    <row r="16" customFormat="false" ht="15" hidden="false" customHeight="false" outlineLevel="0" collapsed="false">
      <c r="B16" s="30" t="s">
        <v>213</v>
      </c>
      <c r="C16" s="30"/>
      <c r="D16" s="30"/>
      <c r="E16" s="30"/>
      <c r="F16" s="30"/>
      <c r="G16" s="30"/>
      <c r="H16" s="30"/>
      <c r="I16" s="30"/>
      <c r="J16" s="30"/>
      <c r="K16" s="30"/>
      <c r="L16" s="30"/>
      <c r="M16" s="30"/>
      <c r="N16" s="30"/>
      <c r="O16" s="30"/>
      <c r="P16" s="30"/>
      <c r="Q16" s="30"/>
      <c r="R16" s="30"/>
      <c r="S16" s="30"/>
      <c r="T16" s="30"/>
      <c r="U16" s="58" t="n">
        <f aca="false">'Mock C'!U16</f>
        <v>7700</v>
      </c>
      <c r="V16" s="58"/>
      <c r="W16" s="58"/>
      <c r="X16" s="58"/>
      <c r="Y16" s="58"/>
      <c r="Z16" s="58"/>
      <c r="AA16" s="30"/>
      <c r="AB16" s="30"/>
      <c r="AC16" s="30"/>
      <c r="AD16" s="30"/>
      <c r="AE16" s="30"/>
      <c r="AF16" s="30"/>
    </row>
    <row r="17" customFormat="false" ht="15" hidden="false" customHeight="false" outlineLevel="0" collapsed="false">
      <c r="B17" s="30" t="s">
        <v>214</v>
      </c>
      <c r="C17" s="30"/>
      <c r="D17" s="30"/>
      <c r="E17" s="30"/>
      <c r="F17" s="30"/>
      <c r="G17" s="30"/>
      <c r="H17" s="30"/>
      <c r="I17" s="30"/>
      <c r="J17" s="30"/>
      <c r="K17" s="30"/>
      <c r="L17" s="30"/>
      <c r="M17" s="30"/>
      <c r="N17" s="30"/>
      <c r="O17" s="30"/>
      <c r="P17" s="30"/>
      <c r="Q17" s="30"/>
      <c r="R17" s="30"/>
      <c r="S17" s="30"/>
      <c r="T17" s="30"/>
      <c r="U17" s="58" t="n">
        <f aca="false">'Mock C'!U17</f>
        <v>2400</v>
      </c>
      <c r="V17" s="58"/>
      <c r="W17" s="58"/>
      <c r="X17" s="58"/>
      <c r="Y17" s="58"/>
      <c r="Z17" s="58"/>
      <c r="AA17" s="30"/>
      <c r="AB17" s="30"/>
      <c r="AC17" s="30"/>
      <c r="AD17" s="30"/>
      <c r="AE17" s="30"/>
      <c r="AF17" s="30"/>
    </row>
    <row r="18" customFormat="false" ht="15" hidden="false" customHeight="false" outlineLevel="0" collapsed="false">
      <c r="B18" s="30" t="s">
        <v>215</v>
      </c>
      <c r="C18" s="30"/>
      <c r="D18" s="30"/>
      <c r="E18" s="30"/>
      <c r="F18" s="30"/>
      <c r="G18" s="30"/>
      <c r="H18" s="30"/>
      <c r="I18" s="30"/>
      <c r="J18" s="30"/>
      <c r="K18" s="30"/>
      <c r="L18" s="30"/>
      <c r="M18" s="30"/>
      <c r="N18" s="30"/>
      <c r="O18" s="30"/>
      <c r="P18" s="30"/>
      <c r="Q18" s="30"/>
      <c r="R18" s="30"/>
      <c r="S18" s="30"/>
      <c r="T18" s="30"/>
      <c r="U18" s="58" t="n">
        <f aca="false">'Mock C'!U18</f>
        <v>1900</v>
      </c>
      <c r="V18" s="58"/>
      <c r="W18" s="58"/>
      <c r="X18" s="58"/>
      <c r="Y18" s="58"/>
      <c r="Z18" s="58"/>
      <c r="AA18" s="30"/>
      <c r="AB18" s="30"/>
      <c r="AC18" s="30"/>
      <c r="AD18" s="30"/>
      <c r="AE18" s="30"/>
      <c r="AF18" s="30"/>
    </row>
    <row r="19" customFormat="false" ht="15" hidden="false" customHeight="false" outlineLevel="0" collapsed="false">
      <c r="B19" s="30" t="s">
        <v>216</v>
      </c>
      <c r="C19" s="30"/>
      <c r="D19" s="30"/>
      <c r="E19" s="30"/>
      <c r="F19" s="30"/>
      <c r="G19" s="30"/>
      <c r="H19" s="30"/>
      <c r="I19" s="30"/>
      <c r="J19" s="30"/>
      <c r="K19" s="30"/>
      <c r="L19" s="30"/>
      <c r="M19" s="30"/>
      <c r="N19" s="30"/>
      <c r="O19" s="30"/>
      <c r="P19" s="30"/>
      <c r="Q19" s="30"/>
      <c r="R19" s="30"/>
      <c r="S19" s="30"/>
      <c r="T19" s="30"/>
      <c r="U19" s="58" t="n">
        <f aca="false">'Mock C'!U19</f>
        <v>500</v>
      </c>
      <c r="V19" s="58"/>
      <c r="W19" s="58"/>
      <c r="X19" s="58"/>
      <c r="Y19" s="58"/>
      <c r="Z19" s="58"/>
      <c r="AA19" s="30"/>
      <c r="AB19" s="30"/>
      <c r="AC19" s="30"/>
      <c r="AD19" s="30"/>
      <c r="AE19" s="30"/>
      <c r="AF19" s="30"/>
    </row>
    <row r="20" customFormat="false" ht="15" hidden="false" customHeight="false" outlineLevel="0" collapsed="false">
      <c r="B20" s="30" t="s">
        <v>217</v>
      </c>
      <c r="C20" s="30"/>
      <c r="D20" s="30"/>
      <c r="E20" s="30"/>
      <c r="F20" s="30"/>
      <c r="G20" s="30"/>
      <c r="H20" s="30"/>
      <c r="I20" s="30"/>
      <c r="J20" s="30"/>
      <c r="K20" s="30"/>
      <c r="L20" s="30"/>
      <c r="M20" s="30"/>
      <c r="N20" s="30"/>
      <c r="O20" s="30"/>
      <c r="P20" s="30"/>
      <c r="Q20" s="30"/>
      <c r="R20" s="30"/>
      <c r="S20" s="30"/>
      <c r="T20" s="30"/>
      <c r="U20" s="30"/>
      <c r="V20" s="30"/>
      <c r="W20" s="30"/>
      <c r="X20" s="30"/>
      <c r="Y20" s="30"/>
      <c r="Z20" s="30"/>
      <c r="AA20" s="58" t="n">
        <f aca="false">'Mock C'!AA20</f>
        <v>700</v>
      </c>
      <c r="AB20" s="58"/>
      <c r="AC20" s="58"/>
      <c r="AD20" s="58"/>
      <c r="AE20" s="58"/>
      <c r="AF20" s="58"/>
    </row>
    <row r="21" customFormat="false" ht="15" hidden="false" customHeight="false" outlineLevel="0" collapsed="false">
      <c r="B21" s="30" t="s">
        <v>218</v>
      </c>
      <c r="C21" s="30"/>
      <c r="D21" s="30"/>
      <c r="E21" s="30"/>
      <c r="F21" s="30"/>
      <c r="G21" s="30"/>
      <c r="H21" s="30"/>
      <c r="I21" s="30"/>
      <c r="J21" s="30"/>
      <c r="K21" s="30"/>
      <c r="L21" s="30"/>
      <c r="M21" s="30"/>
      <c r="N21" s="30"/>
      <c r="O21" s="30"/>
      <c r="P21" s="30"/>
      <c r="Q21" s="30"/>
      <c r="R21" s="30"/>
      <c r="S21" s="30"/>
      <c r="T21" s="30"/>
      <c r="U21" s="30"/>
      <c r="V21" s="30"/>
      <c r="W21" s="30"/>
      <c r="X21" s="30"/>
      <c r="Y21" s="30"/>
      <c r="Z21" s="30"/>
      <c r="AA21" s="58" t="n">
        <f aca="false">'Mock C'!AA21</f>
        <v>3000</v>
      </c>
      <c r="AB21" s="58"/>
      <c r="AC21" s="58"/>
      <c r="AD21" s="58"/>
      <c r="AE21" s="58"/>
      <c r="AF21" s="58"/>
    </row>
    <row r="22" customFormat="false" ht="15" hidden="false" customHeight="false" outlineLevel="0" collapsed="false">
      <c r="B22" s="30" t="s">
        <v>125</v>
      </c>
      <c r="C22" s="30"/>
      <c r="D22" s="30"/>
      <c r="E22" s="30"/>
      <c r="F22" s="30"/>
      <c r="G22" s="30"/>
      <c r="H22" s="30"/>
      <c r="I22" s="30"/>
      <c r="J22" s="30"/>
      <c r="K22" s="30"/>
      <c r="L22" s="30"/>
      <c r="M22" s="30"/>
      <c r="N22" s="30"/>
      <c r="O22" s="30"/>
      <c r="P22" s="30"/>
      <c r="Q22" s="30"/>
      <c r="R22" s="30"/>
      <c r="S22" s="30"/>
      <c r="T22" s="30"/>
      <c r="U22" s="58" t="n">
        <f aca="false">'Mock C'!U22</f>
        <v>600</v>
      </c>
      <c r="V22" s="58"/>
      <c r="W22" s="58"/>
      <c r="X22" s="58"/>
      <c r="Y22" s="58"/>
      <c r="Z22" s="58"/>
      <c r="AA22" s="30"/>
      <c r="AB22" s="30"/>
      <c r="AC22" s="30"/>
      <c r="AD22" s="30"/>
      <c r="AE22" s="30"/>
      <c r="AF22" s="30"/>
    </row>
    <row r="23" customFormat="false" ht="15" hidden="false" customHeight="false" outlineLevel="0" collapsed="false">
      <c r="B23" s="30" t="s">
        <v>219</v>
      </c>
      <c r="C23" s="30"/>
      <c r="D23" s="30"/>
      <c r="E23" s="30"/>
      <c r="F23" s="30"/>
      <c r="G23" s="30"/>
      <c r="H23" s="30"/>
      <c r="I23" s="30"/>
      <c r="J23" s="30"/>
      <c r="K23" s="30"/>
      <c r="L23" s="30"/>
      <c r="M23" s="30"/>
      <c r="N23" s="30"/>
      <c r="O23" s="30"/>
      <c r="P23" s="30"/>
      <c r="Q23" s="30"/>
      <c r="R23" s="30"/>
      <c r="S23" s="30"/>
      <c r="T23" s="30"/>
      <c r="U23" s="58" t="n">
        <f aca="false">'Mock C'!U23</f>
        <v>80000</v>
      </c>
      <c r="V23" s="58"/>
      <c r="W23" s="58"/>
      <c r="X23" s="58"/>
      <c r="Y23" s="58"/>
      <c r="Z23" s="58"/>
      <c r="AA23" s="30"/>
      <c r="AB23" s="30"/>
      <c r="AC23" s="30"/>
      <c r="AD23" s="30"/>
      <c r="AE23" s="30"/>
      <c r="AF23" s="30"/>
    </row>
    <row r="24" customFormat="false" ht="15" hidden="false" customHeight="false" outlineLevel="0" collapsed="false">
      <c r="B24" s="30" t="s">
        <v>220</v>
      </c>
      <c r="C24" s="30"/>
      <c r="D24" s="30"/>
      <c r="E24" s="30"/>
      <c r="F24" s="30"/>
      <c r="G24" s="30"/>
      <c r="H24" s="30"/>
      <c r="I24" s="30"/>
      <c r="J24" s="30"/>
      <c r="K24" s="30"/>
      <c r="L24" s="30"/>
      <c r="M24" s="30"/>
      <c r="N24" s="30"/>
      <c r="O24" s="30"/>
      <c r="P24" s="30"/>
      <c r="Q24" s="30"/>
      <c r="R24" s="30"/>
      <c r="S24" s="30"/>
      <c r="T24" s="30"/>
      <c r="U24" s="58" t="n">
        <f aca="false">'Mock C'!U24</f>
        <v>15000</v>
      </c>
      <c r="V24" s="58"/>
      <c r="W24" s="58"/>
      <c r="X24" s="58"/>
      <c r="Y24" s="58"/>
      <c r="Z24" s="58"/>
      <c r="AA24" s="30"/>
      <c r="AB24" s="30"/>
      <c r="AC24" s="30"/>
      <c r="AD24" s="30"/>
      <c r="AE24" s="30"/>
      <c r="AF24" s="30"/>
    </row>
    <row r="25" customFormat="false" ht="15" hidden="false" customHeight="false" outlineLevel="0" collapsed="false">
      <c r="B25" s="30" t="s">
        <v>221</v>
      </c>
      <c r="C25" s="30"/>
      <c r="D25" s="30"/>
      <c r="E25" s="30"/>
      <c r="F25" s="30"/>
      <c r="G25" s="30"/>
      <c r="H25" s="30"/>
      <c r="I25" s="30"/>
      <c r="J25" s="30"/>
      <c r="K25" s="30"/>
      <c r="L25" s="30"/>
      <c r="M25" s="30"/>
      <c r="N25" s="30"/>
      <c r="O25" s="30"/>
      <c r="P25" s="30"/>
      <c r="Q25" s="30"/>
      <c r="R25" s="30"/>
      <c r="S25" s="30"/>
      <c r="T25" s="30"/>
      <c r="U25" s="30"/>
      <c r="V25" s="30"/>
      <c r="W25" s="30"/>
      <c r="X25" s="30"/>
      <c r="Y25" s="30"/>
      <c r="Z25" s="30"/>
      <c r="AA25" s="58" t="n">
        <f aca="false">'Mock C'!AA25</f>
        <v>3000</v>
      </c>
      <c r="AB25" s="58"/>
      <c r="AC25" s="58"/>
      <c r="AD25" s="58"/>
      <c r="AE25" s="58"/>
      <c r="AF25" s="58"/>
    </row>
    <row r="26" customFormat="false" ht="15" hidden="false" customHeight="false" outlineLevel="0" collapsed="false">
      <c r="B26" s="30" t="s">
        <v>222</v>
      </c>
      <c r="C26" s="30"/>
      <c r="D26" s="30"/>
      <c r="E26" s="30"/>
      <c r="F26" s="30"/>
      <c r="G26" s="30"/>
      <c r="H26" s="30"/>
      <c r="I26" s="30"/>
      <c r="J26" s="30"/>
      <c r="K26" s="30"/>
      <c r="L26" s="30"/>
      <c r="M26" s="30"/>
      <c r="N26" s="30"/>
      <c r="O26" s="30"/>
      <c r="P26" s="30"/>
      <c r="Q26" s="30"/>
      <c r="R26" s="30"/>
      <c r="S26" s="30"/>
      <c r="T26" s="30"/>
      <c r="U26" s="58" t="n">
        <f aca="false">'Mock C'!U26</f>
        <v>32000</v>
      </c>
      <c r="V26" s="58"/>
      <c r="W26" s="58"/>
      <c r="X26" s="58"/>
      <c r="Y26" s="58"/>
      <c r="Z26" s="58"/>
      <c r="AA26" s="30"/>
      <c r="AB26" s="30"/>
      <c r="AC26" s="30"/>
      <c r="AD26" s="30"/>
      <c r="AE26" s="30"/>
      <c r="AF26" s="30"/>
    </row>
    <row r="27" customFormat="false" ht="15" hidden="false" customHeight="false" outlineLevel="0" collapsed="false">
      <c r="B27" s="30" t="s">
        <v>223</v>
      </c>
      <c r="C27" s="30"/>
      <c r="D27" s="30"/>
      <c r="E27" s="30"/>
      <c r="F27" s="30"/>
      <c r="G27" s="30"/>
      <c r="H27" s="30"/>
      <c r="I27" s="30"/>
      <c r="J27" s="30"/>
      <c r="K27" s="30"/>
      <c r="L27" s="30"/>
      <c r="M27" s="30"/>
      <c r="N27" s="30"/>
      <c r="O27" s="30"/>
      <c r="P27" s="30"/>
      <c r="Q27" s="30"/>
      <c r="R27" s="30"/>
      <c r="S27" s="30"/>
      <c r="T27" s="30"/>
      <c r="U27" s="30"/>
      <c r="V27" s="30"/>
      <c r="W27" s="30"/>
      <c r="X27" s="30"/>
      <c r="Y27" s="30"/>
      <c r="Z27" s="30"/>
      <c r="AA27" s="58" t="n">
        <f aca="false">'Mock C'!AA27</f>
        <v>12000</v>
      </c>
      <c r="AB27" s="58"/>
      <c r="AC27" s="58"/>
      <c r="AD27" s="58"/>
      <c r="AE27" s="58"/>
      <c r="AF27" s="58"/>
    </row>
    <row r="28" customFormat="false" ht="15" hidden="false" customHeight="false" outlineLevel="0" collapsed="false">
      <c r="B28" s="30" t="s">
        <v>137</v>
      </c>
      <c r="C28" s="30"/>
      <c r="D28" s="30"/>
      <c r="E28" s="30"/>
      <c r="F28" s="30"/>
      <c r="G28" s="30"/>
      <c r="H28" s="30"/>
      <c r="I28" s="30"/>
      <c r="J28" s="30"/>
      <c r="K28" s="30"/>
      <c r="L28" s="30"/>
      <c r="M28" s="30"/>
      <c r="N28" s="30"/>
      <c r="O28" s="30"/>
      <c r="P28" s="30"/>
      <c r="Q28" s="30"/>
      <c r="R28" s="30"/>
      <c r="S28" s="30"/>
      <c r="T28" s="30"/>
      <c r="U28" s="58" t="n">
        <f aca="false">'Mock C'!U28</f>
        <v>16200</v>
      </c>
      <c r="V28" s="58"/>
      <c r="W28" s="58"/>
      <c r="X28" s="58"/>
      <c r="Y28" s="58"/>
      <c r="Z28" s="58"/>
      <c r="AA28" s="30"/>
      <c r="AB28" s="30"/>
      <c r="AC28" s="30"/>
      <c r="AD28" s="30"/>
      <c r="AE28" s="30"/>
      <c r="AF28" s="30"/>
    </row>
    <row r="29" customFormat="false" ht="15" hidden="false" customHeight="false" outlineLevel="0" collapsed="false">
      <c r="B29" s="30" t="s">
        <v>129</v>
      </c>
      <c r="C29" s="30"/>
      <c r="D29" s="30"/>
      <c r="E29" s="30"/>
      <c r="F29" s="30"/>
      <c r="G29" s="30"/>
      <c r="H29" s="30"/>
      <c r="I29" s="30"/>
      <c r="J29" s="30"/>
      <c r="K29" s="30"/>
      <c r="L29" s="30"/>
      <c r="M29" s="30"/>
      <c r="N29" s="30"/>
      <c r="O29" s="30"/>
      <c r="P29" s="30"/>
      <c r="Q29" s="30"/>
      <c r="R29" s="30"/>
      <c r="S29" s="30"/>
      <c r="T29" s="30"/>
      <c r="U29" s="30"/>
      <c r="V29" s="30"/>
      <c r="W29" s="30"/>
      <c r="X29" s="30"/>
      <c r="Y29" s="30"/>
      <c r="Z29" s="30"/>
      <c r="AA29" s="58" t="n">
        <f aca="false">'Mock C'!AA29</f>
        <v>700</v>
      </c>
      <c r="AB29" s="58"/>
      <c r="AC29" s="58"/>
      <c r="AD29" s="58"/>
      <c r="AE29" s="58"/>
      <c r="AF29" s="58"/>
    </row>
    <row r="30" customFormat="false" ht="15" hidden="false" customHeight="false" outlineLevel="0" collapsed="false">
      <c r="B30" s="30" t="s">
        <v>224</v>
      </c>
      <c r="C30" s="30"/>
      <c r="D30" s="30"/>
      <c r="E30" s="30"/>
      <c r="F30" s="30"/>
      <c r="G30" s="30"/>
      <c r="H30" s="30"/>
      <c r="I30" s="30"/>
      <c r="J30" s="30"/>
      <c r="K30" s="30"/>
      <c r="L30" s="30"/>
      <c r="M30" s="30"/>
      <c r="N30" s="30"/>
      <c r="O30" s="30"/>
      <c r="P30" s="30"/>
      <c r="Q30" s="30"/>
      <c r="R30" s="30"/>
      <c r="S30" s="30"/>
      <c r="T30" s="30"/>
      <c r="U30" s="30"/>
      <c r="V30" s="30"/>
      <c r="W30" s="30"/>
      <c r="X30" s="30"/>
      <c r="Y30" s="30"/>
      <c r="Z30" s="30"/>
      <c r="AA30" s="58" t="n">
        <f aca="false">'Mock C'!AA30</f>
        <v>9800</v>
      </c>
      <c r="AB30" s="58"/>
      <c r="AC30" s="58"/>
      <c r="AD30" s="58"/>
      <c r="AE30" s="58"/>
      <c r="AF30" s="58"/>
    </row>
    <row r="31" customFormat="false" ht="15" hidden="false" customHeight="false" outlineLevel="0" collapsed="false">
      <c r="B31" s="30" t="s">
        <v>225</v>
      </c>
      <c r="C31" s="30"/>
      <c r="D31" s="30"/>
      <c r="E31" s="30"/>
      <c r="F31" s="30"/>
      <c r="G31" s="30"/>
      <c r="H31" s="30"/>
      <c r="I31" s="30"/>
      <c r="J31" s="30"/>
      <c r="K31" s="30"/>
      <c r="L31" s="30"/>
      <c r="M31" s="30"/>
      <c r="N31" s="30"/>
      <c r="O31" s="30"/>
      <c r="P31" s="30"/>
      <c r="Q31" s="30"/>
      <c r="R31" s="30"/>
      <c r="S31" s="30"/>
      <c r="T31" s="30"/>
      <c r="U31" s="30"/>
      <c r="V31" s="30"/>
      <c r="W31" s="30"/>
      <c r="X31" s="30"/>
      <c r="Y31" s="30"/>
      <c r="Z31" s="30"/>
      <c r="AA31" s="58" t="n">
        <f aca="false">'Mock C'!AA31</f>
        <v>2100</v>
      </c>
      <c r="AB31" s="58"/>
      <c r="AC31" s="58"/>
      <c r="AD31" s="58"/>
      <c r="AE31" s="58"/>
      <c r="AF31" s="58"/>
    </row>
    <row r="32" customFormat="false" ht="15" hidden="false" customHeight="false" outlineLevel="0" collapsed="false">
      <c r="B32" s="30" t="s">
        <v>226</v>
      </c>
      <c r="C32" s="30"/>
      <c r="D32" s="30"/>
      <c r="E32" s="30"/>
      <c r="F32" s="30"/>
      <c r="G32" s="30"/>
      <c r="H32" s="30"/>
      <c r="I32" s="30"/>
      <c r="J32" s="30"/>
      <c r="K32" s="30"/>
      <c r="L32" s="30"/>
      <c r="M32" s="30"/>
      <c r="N32" s="30"/>
      <c r="O32" s="30"/>
      <c r="P32" s="30"/>
      <c r="Q32" s="30"/>
      <c r="R32" s="30"/>
      <c r="S32" s="30"/>
      <c r="T32" s="30"/>
      <c r="U32" s="58" t="n">
        <f aca="false">'Mock C'!U32</f>
        <v>300</v>
      </c>
      <c r="V32" s="58"/>
      <c r="W32" s="58"/>
      <c r="X32" s="58"/>
      <c r="Y32" s="58"/>
      <c r="Z32" s="58"/>
      <c r="AA32" s="30"/>
      <c r="AB32" s="30"/>
      <c r="AC32" s="30"/>
      <c r="AD32" s="30"/>
      <c r="AE32" s="30"/>
      <c r="AF32" s="30"/>
    </row>
    <row r="33" customFormat="false" ht="15" hidden="false" customHeight="false" outlineLevel="0" collapsed="false">
      <c r="B33" s="30" t="s">
        <v>227</v>
      </c>
      <c r="C33" s="30"/>
      <c r="D33" s="30"/>
      <c r="E33" s="30"/>
      <c r="F33" s="30"/>
      <c r="G33" s="30"/>
      <c r="H33" s="30"/>
      <c r="I33" s="30"/>
      <c r="J33" s="30"/>
      <c r="K33" s="30"/>
      <c r="L33" s="30"/>
      <c r="M33" s="30"/>
      <c r="N33" s="30"/>
      <c r="O33" s="30"/>
      <c r="P33" s="30"/>
      <c r="Q33" s="30"/>
      <c r="R33" s="30"/>
      <c r="S33" s="30"/>
      <c r="T33" s="30"/>
      <c r="U33" s="30"/>
      <c r="V33" s="30"/>
      <c r="W33" s="30"/>
      <c r="X33" s="30"/>
      <c r="Y33" s="30"/>
      <c r="Z33" s="30"/>
      <c r="AA33" s="58" t="n">
        <f aca="false">'Mock C'!AA33</f>
        <v>20000</v>
      </c>
      <c r="AB33" s="58"/>
      <c r="AC33" s="58"/>
      <c r="AD33" s="58"/>
      <c r="AE33" s="58"/>
      <c r="AF33" s="58"/>
    </row>
    <row r="34" customFormat="false" ht="15" hidden="false" customHeight="false" outlineLevel="0" collapsed="false">
      <c r="B34" s="30" t="s">
        <v>228</v>
      </c>
      <c r="C34" s="30"/>
      <c r="D34" s="30"/>
      <c r="E34" s="30"/>
      <c r="F34" s="30"/>
      <c r="G34" s="30"/>
      <c r="H34" s="30"/>
      <c r="I34" s="30"/>
      <c r="J34" s="30"/>
      <c r="K34" s="30"/>
      <c r="L34" s="30"/>
      <c r="M34" s="30"/>
      <c r="N34" s="30"/>
      <c r="O34" s="30"/>
      <c r="P34" s="30"/>
      <c r="Q34" s="30"/>
      <c r="R34" s="30"/>
      <c r="S34" s="30"/>
      <c r="T34" s="30"/>
      <c r="U34" s="30"/>
      <c r="V34" s="30"/>
      <c r="W34" s="30"/>
      <c r="X34" s="30"/>
      <c r="Y34" s="30"/>
      <c r="Z34" s="30"/>
      <c r="AA34" s="58" t="n">
        <f aca="false">'Mock C'!AA34</f>
        <v>89800</v>
      </c>
      <c r="AB34" s="58"/>
      <c r="AC34" s="58"/>
      <c r="AD34" s="58"/>
      <c r="AE34" s="58"/>
      <c r="AF34" s="58"/>
    </row>
    <row r="35" customFormat="false" ht="15" hidden="false" customHeight="false" outlineLevel="0" collapsed="false">
      <c r="B35" s="30" t="s">
        <v>229</v>
      </c>
      <c r="C35" s="30"/>
      <c r="D35" s="30"/>
      <c r="E35" s="30"/>
      <c r="F35" s="30"/>
      <c r="G35" s="30"/>
      <c r="H35" s="30"/>
      <c r="I35" s="30"/>
      <c r="J35" s="30"/>
      <c r="K35" s="30"/>
      <c r="L35" s="30"/>
      <c r="M35" s="30"/>
      <c r="N35" s="30"/>
      <c r="O35" s="30"/>
      <c r="P35" s="30"/>
      <c r="Q35" s="30"/>
      <c r="R35" s="30"/>
      <c r="S35" s="30"/>
      <c r="T35" s="30"/>
      <c r="U35" s="58" t="n">
        <f aca="false">'Mock C'!U35</f>
        <v>12000</v>
      </c>
      <c r="V35" s="58"/>
      <c r="W35" s="58"/>
      <c r="X35" s="58"/>
      <c r="Y35" s="58"/>
      <c r="Z35" s="58"/>
      <c r="AA35" s="30"/>
      <c r="AB35" s="30"/>
      <c r="AC35" s="30"/>
      <c r="AD35" s="30"/>
      <c r="AE35" s="30"/>
      <c r="AF35" s="30"/>
    </row>
    <row r="36" customFormat="false" ht="15" hidden="false" customHeight="false" outlineLevel="0" collapsed="false">
      <c r="B36" s="29" t="s">
        <v>50</v>
      </c>
      <c r="C36" s="29"/>
      <c r="D36" s="29"/>
      <c r="E36" s="29"/>
      <c r="F36" s="29"/>
      <c r="G36" s="29"/>
      <c r="H36" s="29"/>
      <c r="I36" s="29"/>
      <c r="J36" s="29"/>
      <c r="K36" s="29"/>
      <c r="L36" s="29"/>
      <c r="M36" s="29"/>
      <c r="N36" s="29"/>
      <c r="O36" s="29"/>
      <c r="P36" s="29"/>
      <c r="Q36" s="29"/>
      <c r="R36" s="29"/>
      <c r="S36" s="29"/>
      <c r="T36" s="29"/>
      <c r="U36" s="55" t="n">
        <f aca="false">SUM(U8:U35)</f>
        <v>267600</v>
      </c>
      <c r="V36" s="55"/>
      <c r="W36" s="55"/>
      <c r="X36" s="55"/>
      <c r="Y36" s="55"/>
      <c r="Z36" s="55"/>
      <c r="AA36" s="55" t="n">
        <f aca="false">SUM(AA8:AA35)</f>
        <v>267600</v>
      </c>
      <c r="AB36" s="55"/>
      <c r="AC36" s="55"/>
      <c r="AD36" s="55"/>
      <c r="AE36" s="55"/>
      <c r="AF36" s="55"/>
    </row>
    <row r="38" customFormat="false" ht="15" hidden="false" customHeight="false" outlineLevel="0" collapsed="false">
      <c r="B38" s="23" t="s">
        <v>230</v>
      </c>
      <c r="C38" s="23"/>
      <c r="D38" s="23"/>
      <c r="E38" s="23"/>
      <c r="F38" s="23"/>
      <c r="G38" s="23"/>
      <c r="H38" s="23"/>
      <c r="I38" s="23"/>
      <c r="J38" s="23"/>
      <c r="K38" s="23"/>
      <c r="L38" s="23"/>
      <c r="M38" s="23"/>
      <c r="N38" s="23"/>
      <c r="O38" s="23"/>
      <c r="P38" s="23"/>
      <c r="Q38" s="23"/>
      <c r="R38" s="23"/>
      <c r="S38" s="23"/>
      <c r="T38" s="23"/>
      <c r="U38" s="23"/>
      <c r="V38" s="23"/>
      <c r="W38" s="23"/>
      <c r="X38" s="24" t="s">
        <v>108</v>
      </c>
      <c r="Y38" s="24"/>
      <c r="Z38" s="24"/>
      <c r="AA38" s="24"/>
      <c r="AB38" s="24"/>
      <c r="AC38" s="24"/>
    </row>
    <row r="39" customFormat="false" ht="16.5" hidden="false" customHeight="true" outlineLevel="0" collapsed="false">
      <c r="B39" s="12" t="s">
        <v>231</v>
      </c>
      <c r="C39" s="12"/>
      <c r="D39" s="12"/>
      <c r="E39" s="12"/>
      <c r="F39" s="12"/>
      <c r="G39" s="12"/>
      <c r="H39" s="12"/>
      <c r="I39" s="12"/>
      <c r="J39" s="12"/>
      <c r="K39" s="12"/>
      <c r="L39" s="12"/>
      <c r="M39" s="12"/>
      <c r="N39" s="12"/>
      <c r="O39" s="12"/>
      <c r="P39" s="12"/>
      <c r="Q39" s="12"/>
      <c r="R39" s="12"/>
      <c r="S39" s="12"/>
      <c r="T39" s="12"/>
      <c r="U39" s="12"/>
      <c r="V39" s="12"/>
      <c r="W39" s="12"/>
      <c r="X39" s="58" t="n">
        <f aca="false">'Mock C'!X39</f>
        <v>10500</v>
      </c>
      <c r="Y39" s="58"/>
      <c r="Z39" s="58"/>
      <c r="AA39" s="58"/>
      <c r="AB39" s="58"/>
      <c r="AC39" s="58"/>
    </row>
    <row r="40" customFormat="false" ht="16.5" hidden="false" customHeight="true" outlineLevel="0" collapsed="false">
      <c r="B40" s="12" t="s">
        <v>232</v>
      </c>
      <c r="C40" s="12"/>
      <c r="D40" s="12"/>
      <c r="E40" s="12"/>
      <c r="F40" s="12"/>
      <c r="G40" s="12"/>
      <c r="H40" s="12"/>
      <c r="I40" s="12"/>
      <c r="J40" s="12"/>
      <c r="K40" s="12"/>
      <c r="L40" s="12"/>
      <c r="M40" s="12"/>
      <c r="N40" s="12"/>
      <c r="O40" s="12"/>
      <c r="P40" s="12"/>
      <c r="Q40" s="12"/>
      <c r="R40" s="12"/>
      <c r="S40" s="12"/>
      <c r="T40" s="12"/>
      <c r="U40" s="12"/>
      <c r="V40" s="12"/>
      <c r="W40" s="12"/>
      <c r="X40" s="58" t="n">
        <f aca="false">'Mock C'!X40</f>
        <v>700</v>
      </c>
      <c r="Y40" s="58"/>
      <c r="Z40" s="58"/>
      <c r="AA40" s="58"/>
      <c r="AB40" s="58"/>
      <c r="AC40" s="58"/>
    </row>
    <row r="41" customFormat="false" ht="16.5" hidden="false" customHeight="true" outlineLevel="0" collapsed="false">
      <c r="B41" s="12" t="s">
        <v>233</v>
      </c>
      <c r="C41" s="12"/>
      <c r="D41" s="12"/>
      <c r="E41" s="12"/>
      <c r="F41" s="12"/>
      <c r="G41" s="12"/>
      <c r="H41" s="12"/>
      <c r="I41" s="12"/>
      <c r="J41" s="12"/>
      <c r="K41" s="12"/>
      <c r="L41" s="12"/>
      <c r="M41" s="12"/>
      <c r="N41" s="12"/>
      <c r="O41" s="12"/>
      <c r="P41" s="12"/>
      <c r="Q41" s="12"/>
      <c r="R41" s="12"/>
      <c r="S41" s="12"/>
      <c r="T41" s="12"/>
      <c r="U41" s="12"/>
      <c r="V41" s="12"/>
      <c r="W41" s="12"/>
      <c r="X41" s="58" t="n">
        <f aca="false">'Mock C'!X41</f>
        <v>600</v>
      </c>
      <c r="Y41" s="58"/>
      <c r="Z41" s="58"/>
      <c r="AA41" s="58"/>
      <c r="AB41" s="58"/>
      <c r="AC41" s="58"/>
    </row>
    <row r="42" customFormat="false" ht="16.5" hidden="false" customHeight="true" outlineLevel="0" collapsed="false">
      <c r="B42" s="12" t="s">
        <v>234</v>
      </c>
      <c r="C42" s="12"/>
      <c r="D42" s="12"/>
      <c r="E42" s="12"/>
      <c r="F42" s="12"/>
      <c r="G42" s="12"/>
      <c r="H42" s="12"/>
      <c r="I42" s="12"/>
      <c r="J42" s="12"/>
      <c r="K42" s="12"/>
      <c r="L42" s="12"/>
      <c r="M42" s="12"/>
      <c r="N42" s="12"/>
      <c r="O42" s="12"/>
      <c r="P42" s="12"/>
      <c r="Q42" s="12"/>
      <c r="R42" s="12"/>
      <c r="S42" s="12"/>
      <c r="T42" s="12"/>
      <c r="U42" s="12"/>
      <c r="V42" s="12"/>
      <c r="W42" s="12"/>
      <c r="X42" s="58" t="n">
        <f aca="false">'Mock C'!X42</f>
        <v>250</v>
      </c>
      <c r="Y42" s="58"/>
      <c r="Z42" s="58"/>
      <c r="AA42" s="58"/>
      <c r="AB42" s="58"/>
      <c r="AC42" s="58"/>
    </row>
    <row r="43" customFormat="false" ht="16.5" hidden="false" customHeight="true" outlineLevel="0" collapsed="false">
      <c r="B43" s="12" t="s">
        <v>235</v>
      </c>
      <c r="C43" s="12"/>
      <c r="D43" s="12"/>
      <c r="E43" s="12"/>
      <c r="F43" s="12"/>
      <c r="G43" s="12"/>
      <c r="H43" s="12"/>
      <c r="I43" s="12"/>
      <c r="J43" s="12"/>
      <c r="K43" s="12"/>
      <c r="L43" s="12"/>
      <c r="M43" s="12"/>
      <c r="N43" s="12"/>
      <c r="O43" s="12"/>
      <c r="P43" s="12"/>
      <c r="Q43" s="12"/>
      <c r="R43" s="12"/>
      <c r="S43" s="12"/>
      <c r="T43" s="12"/>
      <c r="U43" s="12"/>
      <c r="V43" s="12"/>
      <c r="W43" s="12"/>
      <c r="X43" s="58" t="n">
        <f aca="false">'Mock C'!X43</f>
        <v>200</v>
      </c>
      <c r="Y43" s="58"/>
      <c r="Z43" s="58"/>
      <c r="AA43" s="58"/>
      <c r="AB43" s="58"/>
      <c r="AC43" s="58"/>
    </row>
    <row r="44" customFormat="false" ht="16.5" hidden="false" customHeight="true" outlineLevel="0" collapsed="false">
      <c r="B44" s="12" t="s">
        <v>236</v>
      </c>
      <c r="C44" s="12"/>
      <c r="D44" s="12"/>
      <c r="E44" s="12"/>
      <c r="F44" s="12"/>
      <c r="G44" s="12"/>
      <c r="H44" s="12"/>
      <c r="I44" s="12"/>
      <c r="J44" s="12"/>
      <c r="K44" s="12"/>
      <c r="L44" s="12"/>
      <c r="M44" s="12"/>
      <c r="N44" s="12"/>
      <c r="O44" s="12"/>
      <c r="P44" s="12"/>
      <c r="Q44" s="12"/>
      <c r="R44" s="12"/>
      <c r="S44" s="12"/>
      <c r="T44" s="12"/>
      <c r="U44" s="12"/>
      <c r="V44" s="12"/>
      <c r="W44" s="12"/>
      <c r="X44" s="59" t="n">
        <f aca="false">'Mock C'!X44</f>
        <v>0.05</v>
      </c>
      <c r="Y44" s="59"/>
      <c r="Z44" s="59"/>
      <c r="AA44" s="59"/>
      <c r="AB44" s="59"/>
      <c r="AC44" s="59"/>
    </row>
    <row r="45" customFormat="false" ht="16.5" hidden="false" customHeight="true" outlineLevel="0" collapsed="false">
      <c r="B45" s="12" t="s">
        <v>237</v>
      </c>
      <c r="C45" s="12"/>
      <c r="D45" s="12"/>
      <c r="E45" s="12"/>
      <c r="F45" s="12"/>
      <c r="G45" s="12"/>
      <c r="H45" s="12"/>
      <c r="I45" s="12"/>
      <c r="J45" s="12"/>
      <c r="K45" s="12"/>
      <c r="L45" s="12"/>
      <c r="M45" s="12"/>
      <c r="N45" s="12"/>
      <c r="O45" s="12"/>
      <c r="P45" s="12"/>
      <c r="Q45" s="12"/>
      <c r="R45" s="12"/>
      <c r="S45" s="12"/>
      <c r="T45" s="12"/>
      <c r="U45" s="12"/>
      <c r="V45" s="12"/>
      <c r="W45" s="12"/>
      <c r="X45" s="59" t="n">
        <f aca="false">'Mock C'!X45</f>
        <v>0.1</v>
      </c>
      <c r="Y45" s="59"/>
      <c r="Z45" s="59"/>
      <c r="AA45" s="59"/>
      <c r="AB45" s="59"/>
      <c r="AC45" s="59"/>
    </row>
    <row r="46" customFormat="false" ht="16.5" hidden="false" customHeight="true" outlineLevel="0" collapsed="false">
      <c r="B46" s="12" t="s">
        <v>238</v>
      </c>
      <c r="C46" s="12"/>
      <c r="D46" s="12"/>
      <c r="E46" s="12"/>
      <c r="F46" s="12"/>
      <c r="G46" s="12"/>
      <c r="H46" s="12"/>
      <c r="I46" s="12"/>
      <c r="J46" s="12"/>
      <c r="K46" s="12"/>
      <c r="L46" s="12"/>
      <c r="M46" s="12"/>
      <c r="N46" s="12"/>
      <c r="O46" s="12"/>
      <c r="P46" s="12"/>
      <c r="Q46" s="12"/>
      <c r="R46" s="12"/>
      <c r="S46" s="12"/>
      <c r="T46" s="12"/>
      <c r="U46" s="12"/>
      <c r="V46" s="12"/>
      <c r="W46" s="12"/>
      <c r="X46" s="59" t="n">
        <f aca="false">'Mock C'!X46</f>
        <v>0.25</v>
      </c>
      <c r="Y46" s="59"/>
      <c r="Z46" s="59"/>
      <c r="AA46" s="59"/>
      <c r="AB46" s="59"/>
      <c r="AC46" s="59"/>
    </row>
    <row r="47" customFormat="false" ht="16.5" hidden="false" customHeight="true" outlineLevel="0" collapsed="false">
      <c r="B47" s="12" t="s">
        <v>239</v>
      </c>
      <c r="C47" s="12"/>
      <c r="D47" s="12"/>
      <c r="E47" s="12"/>
      <c r="F47" s="12"/>
      <c r="G47" s="12"/>
      <c r="H47" s="12"/>
      <c r="I47" s="12"/>
      <c r="J47" s="12"/>
      <c r="K47" s="12"/>
      <c r="L47" s="12"/>
      <c r="M47" s="12"/>
      <c r="N47" s="12"/>
      <c r="O47" s="12"/>
      <c r="P47" s="12"/>
      <c r="Q47" s="12"/>
      <c r="R47" s="12"/>
      <c r="S47" s="12"/>
      <c r="T47" s="12"/>
      <c r="U47" s="12"/>
      <c r="V47" s="12"/>
      <c r="W47" s="12"/>
      <c r="X47" s="59" t="n">
        <f aca="false">'Mock C'!X47</f>
        <v>0.06</v>
      </c>
      <c r="Y47" s="59"/>
      <c r="Z47" s="59"/>
      <c r="AA47" s="59"/>
      <c r="AB47" s="59"/>
      <c r="AC47" s="59"/>
    </row>
    <row r="49" customFormat="false" ht="16.5" hidden="false" customHeight="true" outlineLevel="0" collapsed="false">
      <c r="B49" s="4" t="s">
        <v>240</v>
      </c>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1" customFormat="false" ht="18.75" hidden="false" customHeight="true" outlineLevel="0" collapsed="false">
      <c r="B51" s="3" t="s">
        <v>241</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ustomFormat="false" ht="15" hidden="false" customHeight="false" outlineLevel="0" collapsed="false">
      <c r="B52" s="34" t="s">
        <v>242</v>
      </c>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row>
    <row r="53" customFormat="false" ht="15" hidden="false" customHeight="false" outlineLevel="0" collapsed="false">
      <c r="B53" s="34" t="s">
        <v>243</v>
      </c>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row>
    <row r="54" customFormat="false" ht="15" hidden="false" customHeight="false" outlineLevel="0" collapsed="false">
      <c r="B54" s="35"/>
      <c r="C54" s="35"/>
      <c r="D54" s="35"/>
      <c r="E54" s="23" t="s">
        <v>119</v>
      </c>
      <c r="F54" s="23"/>
      <c r="G54" s="23"/>
      <c r="H54" s="23"/>
      <c r="I54" s="23"/>
      <c r="J54" s="23"/>
      <c r="K54" s="23"/>
      <c r="L54" s="23"/>
      <c r="M54" s="23"/>
      <c r="N54" s="23"/>
      <c r="O54" s="23"/>
      <c r="P54" s="23"/>
      <c r="Q54" s="23"/>
      <c r="R54" s="24" t="s">
        <v>123</v>
      </c>
      <c r="S54" s="24"/>
      <c r="T54" s="24"/>
      <c r="U54" s="24"/>
      <c r="V54" s="24"/>
      <c r="W54" s="24" t="s">
        <v>123</v>
      </c>
      <c r="X54" s="24"/>
      <c r="Y54" s="24"/>
      <c r="Z54" s="24"/>
      <c r="AA54" s="24"/>
      <c r="AB54" s="24" t="s">
        <v>123</v>
      </c>
      <c r="AC54" s="24"/>
      <c r="AD54" s="24"/>
      <c r="AE54" s="24"/>
      <c r="AF54" s="24"/>
    </row>
    <row r="55" customFormat="false" ht="17.25" hidden="false" customHeight="true" outlineLevel="0" collapsed="false">
      <c r="B55" s="36"/>
      <c r="C55" s="36"/>
      <c r="D55" s="36"/>
      <c r="E55" s="38" t="s">
        <v>205</v>
      </c>
      <c r="F55" s="38"/>
      <c r="G55" s="38"/>
      <c r="H55" s="38"/>
      <c r="I55" s="38"/>
      <c r="J55" s="38"/>
      <c r="K55" s="38"/>
      <c r="L55" s="38"/>
      <c r="M55" s="38"/>
      <c r="N55" s="38"/>
      <c r="O55" s="38"/>
      <c r="P55" s="38"/>
      <c r="Q55" s="38"/>
      <c r="AB55" s="60" t="n">
        <f aca="false">$AA$8</f>
        <v>125000</v>
      </c>
      <c r="AC55" s="60"/>
      <c r="AD55" s="60"/>
      <c r="AE55" s="60"/>
    </row>
    <row r="56" customFormat="false" ht="17.25" hidden="false" customHeight="true" outlineLevel="0" collapsed="false">
      <c r="B56" s="36" t="s">
        <v>138</v>
      </c>
      <c r="C56" s="36"/>
      <c r="D56" s="36"/>
      <c r="E56" s="38" t="s">
        <v>207</v>
      </c>
      <c r="F56" s="38"/>
      <c r="G56" s="38"/>
      <c r="H56" s="38"/>
      <c r="I56" s="38"/>
      <c r="J56" s="38"/>
      <c r="K56" s="38"/>
      <c r="L56" s="38"/>
      <c r="M56" s="38"/>
      <c r="N56" s="38"/>
      <c r="O56" s="38"/>
      <c r="P56" s="38"/>
      <c r="Q56" s="38"/>
      <c r="AB56" s="61" t="n">
        <f aca="false">-($U$10)</f>
        <v>-2000</v>
      </c>
      <c r="AC56" s="61"/>
      <c r="AD56" s="61"/>
      <c r="AE56" s="61"/>
    </row>
    <row r="57" customFormat="false" ht="17.25" hidden="false" customHeight="true" outlineLevel="0" collapsed="false">
      <c r="B57" s="36"/>
      <c r="C57" s="36"/>
      <c r="D57" s="36"/>
      <c r="E57" s="38" t="s">
        <v>244</v>
      </c>
      <c r="F57" s="38"/>
      <c r="G57" s="38"/>
      <c r="H57" s="38"/>
      <c r="I57" s="38"/>
      <c r="J57" s="38"/>
      <c r="K57" s="38"/>
      <c r="L57" s="38"/>
      <c r="M57" s="38"/>
      <c r="N57" s="38"/>
      <c r="O57" s="38"/>
      <c r="P57" s="38"/>
      <c r="Q57" s="38"/>
      <c r="AB57" s="60" t="n">
        <f aca="false">$AB$55+$AB$56</f>
        <v>123000</v>
      </c>
      <c r="AC57" s="60"/>
      <c r="AD57" s="60"/>
      <c r="AE57" s="60"/>
    </row>
    <row r="58" customFormat="false" ht="17.25" hidden="false" customHeight="true" outlineLevel="0" collapsed="false">
      <c r="B58" s="36" t="s">
        <v>138</v>
      </c>
      <c r="C58" s="36"/>
      <c r="D58" s="36"/>
      <c r="E58" s="37" t="s">
        <v>245</v>
      </c>
      <c r="F58" s="37"/>
      <c r="G58" s="37"/>
      <c r="H58" s="37"/>
      <c r="I58" s="37"/>
      <c r="J58" s="37"/>
      <c r="K58" s="37"/>
      <c r="L58" s="37"/>
      <c r="M58" s="37"/>
      <c r="N58" s="37"/>
      <c r="O58" s="37"/>
      <c r="P58" s="37"/>
      <c r="Q58" s="37"/>
    </row>
    <row r="59" customFormat="false" ht="17.25" hidden="false" customHeight="true" outlineLevel="0" collapsed="false">
      <c r="B59" s="36"/>
      <c r="C59" s="36"/>
      <c r="D59" s="36"/>
      <c r="E59" s="38" t="s">
        <v>246</v>
      </c>
      <c r="F59" s="38"/>
      <c r="G59" s="38"/>
      <c r="H59" s="38"/>
      <c r="I59" s="38"/>
      <c r="J59" s="38"/>
      <c r="K59" s="38"/>
      <c r="L59" s="38"/>
      <c r="M59" s="38"/>
      <c r="N59" s="38"/>
      <c r="O59" s="38"/>
      <c r="P59" s="38"/>
      <c r="Q59" s="38"/>
      <c r="W59" s="60" t="n">
        <f aca="false">$U$14</f>
        <v>9000</v>
      </c>
      <c r="X59" s="60"/>
      <c r="Y59" s="60"/>
      <c r="Z59" s="60"/>
    </row>
    <row r="60" customFormat="false" ht="17.25" hidden="false" customHeight="true" outlineLevel="0" collapsed="false">
      <c r="B60" s="36" t="s">
        <v>247</v>
      </c>
      <c r="C60" s="36"/>
      <c r="D60" s="36"/>
      <c r="E60" s="38" t="s">
        <v>206</v>
      </c>
      <c r="F60" s="38"/>
      <c r="G60" s="38"/>
      <c r="H60" s="38"/>
      <c r="I60" s="38"/>
      <c r="J60" s="38"/>
      <c r="K60" s="38"/>
      <c r="L60" s="38"/>
      <c r="M60" s="38"/>
      <c r="N60" s="38"/>
      <c r="O60" s="38"/>
      <c r="P60" s="38"/>
      <c r="Q60" s="38"/>
      <c r="R60" s="60" t="n">
        <f aca="false">$U$9</f>
        <v>68000</v>
      </c>
      <c r="S60" s="60"/>
      <c r="T60" s="60"/>
      <c r="U60" s="60"/>
    </row>
    <row r="61" customFormat="false" ht="17.25" hidden="false" customHeight="true" outlineLevel="0" collapsed="false">
      <c r="B61" s="36" t="s">
        <v>138</v>
      </c>
      <c r="C61" s="36"/>
      <c r="D61" s="36"/>
      <c r="E61" s="38" t="s">
        <v>208</v>
      </c>
      <c r="F61" s="38"/>
      <c r="G61" s="38"/>
      <c r="H61" s="38"/>
      <c r="I61" s="38"/>
      <c r="J61" s="38"/>
      <c r="K61" s="38"/>
      <c r="L61" s="38"/>
      <c r="M61" s="38"/>
      <c r="N61" s="38"/>
      <c r="O61" s="38"/>
      <c r="P61" s="38"/>
      <c r="Q61" s="38"/>
      <c r="R61" s="60" t="n">
        <f aca="false">-($AA$11)</f>
        <v>-1500</v>
      </c>
      <c r="S61" s="60"/>
      <c r="T61" s="60"/>
      <c r="U61" s="60"/>
    </row>
    <row r="62" customFormat="false" ht="17.25" hidden="false" customHeight="true" outlineLevel="0" collapsed="false">
      <c r="B62" s="36" t="s">
        <v>247</v>
      </c>
      <c r="C62" s="36"/>
      <c r="D62" s="36"/>
      <c r="E62" s="38" t="s">
        <v>209</v>
      </c>
      <c r="F62" s="38"/>
      <c r="G62" s="38"/>
      <c r="H62" s="38"/>
      <c r="I62" s="38"/>
      <c r="J62" s="38"/>
      <c r="K62" s="38"/>
      <c r="L62" s="38"/>
      <c r="M62" s="38"/>
      <c r="N62" s="38"/>
      <c r="O62" s="38"/>
      <c r="P62" s="38"/>
      <c r="Q62" s="38"/>
      <c r="R62" s="61" t="n">
        <f aca="false">$U$12</f>
        <v>1200</v>
      </c>
      <c r="S62" s="61"/>
      <c r="T62" s="61"/>
      <c r="U62" s="61"/>
      <c r="W62" s="61" t="n">
        <f aca="false">$R$60+$R$61+$R$62</f>
        <v>67700</v>
      </c>
      <c r="X62" s="61"/>
      <c r="Y62" s="61"/>
      <c r="Z62" s="61"/>
    </row>
    <row r="63" customFormat="false" ht="17.25" hidden="false" customHeight="true" outlineLevel="0" collapsed="false">
      <c r="B63" s="36"/>
      <c r="C63" s="36"/>
      <c r="D63" s="36"/>
      <c r="E63" s="38" t="s">
        <v>248</v>
      </c>
      <c r="F63" s="38"/>
      <c r="G63" s="38"/>
      <c r="H63" s="38"/>
      <c r="I63" s="38"/>
      <c r="J63" s="38"/>
      <c r="K63" s="38"/>
      <c r="L63" s="38"/>
      <c r="M63" s="38"/>
      <c r="N63" s="38"/>
      <c r="O63" s="38"/>
      <c r="P63" s="38"/>
      <c r="Q63" s="38"/>
      <c r="W63" s="60" t="n">
        <f aca="false">$W$59+$W$62</f>
        <v>76700</v>
      </c>
      <c r="X63" s="60"/>
      <c r="Y63" s="60"/>
      <c r="Z63" s="60"/>
    </row>
    <row r="64" customFormat="false" ht="17.25" hidden="false" customHeight="true" outlineLevel="0" collapsed="false">
      <c r="B64" s="36" t="s">
        <v>138</v>
      </c>
      <c r="C64" s="36"/>
      <c r="D64" s="36"/>
      <c r="E64" s="38" t="s">
        <v>249</v>
      </c>
      <c r="F64" s="38"/>
      <c r="G64" s="38"/>
      <c r="H64" s="38"/>
      <c r="I64" s="38"/>
      <c r="J64" s="38"/>
      <c r="K64" s="38"/>
      <c r="L64" s="38"/>
      <c r="M64" s="38"/>
      <c r="N64" s="38"/>
      <c r="O64" s="38"/>
      <c r="P64" s="38"/>
      <c r="Q64" s="38"/>
      <c r="W64" s="61" t="n">
        <f aca="false">-($X$39)</f>
        <v>-10500</v>
      </c>
      <c r="X64" s="61"/>
      <c r="Y64" s="61"/>
      <c r="Z64" s="61"/>
      <c r="AB64" s="61" t="n">
        <f aca="false">-($W$63+$W$64)</f>
        <v>-66200</v>
      </c>
      <c r="AC64" s="61"/>
      <c r="AD64" s="61"/>
      <c r="AE64" s="61"/>
    </row>
    <row r="65" customFormat="false" ht="17.25" hidden="false" customHeight="true" outlineLevel="0" collapsed="false">
      <c r="B65" s="36"/>
      <c r="C65" s="36"/>
      <c r="D65" s="36"/>
      <c r="E65" s="56" t="s">
        <v>250</v>
      </c>
      <c r="F65" s="56"/>
      <c r="G65" s="56"/>
      <c r="H65" s="56"/>
      <c r="I65" s="56"/>
      <c r="J65" s="56"/>
      <c r="K65" s="56"/>
      <c r="L65" s="56"/>
      <c r="M65" s="56"/>
      <c r="N65" s="56"/>
      <c r="O65" s="56"/>
      <c r="P65" s="56"/>
      <c r="Q65" s="56"/>
      <c r="AB65" s="60" t="n">
        <f aca="false">$AB$57+$AB$64</f>
        <v>56800</v>
      </c>
      <c r="AC65" s="60"/>
      <c r="AD65" s="60"/>
      <c r="AE65" s="60"/>
    </row>
    <row r="66" customFormat="false" ht="17.25" hidden="false" customHeight="true" outlineLevel="0" collapsed="false">
      <c r="B66" s="36" t="s">
        <v>247</v>
      </c>
      <c r="C66" s="36"/>
      <c r="D66" s="36"/>
      <c r="E66" s="37" t="s">
        <v>251</v>
      </c>
      <c r="F66" s="37"/>
      <c r="G66" s="37"/>
      <c r="H66" s="37"/>
      <c r="I66" s="37"/>
      <c r="J66" s="37"/>
      <c r="K66" s="37"/>
      <c r="L66" s="37"/>
      <c r="M66" s="37"/>
      <c r="N66" s="37"/>
      <c r="O66" s="37"/>
      <c r="P66" s="37"/>
      <c r="Q66" s="37"/>
    </row>
    <row r="67" customFormat="false" ht="17.25" hidden="false" customHeight="true" outlineLevel="0" collapsed="false">
      <c r="B67" s="36"/>
      <c r="C67" s="36"/>
      <c r="D67" s="36"/>
      <c r="E67" s="38" t="s">
        <v>217</v>
      </c>
      <c r="F67" s="38"/>
      <c r="G67" s="38"/>
      <c r="H67" s="38"/>
      <c r="I67" s="38"/>
      <c r="J67" s="38"/>
      <c r="K67" s="38"/>
      <c r="L67" s="38"/>
      <c r="M67" s="38"/>
      <c r="N67" s="38"/>
      <c r="O67" s="38"/>
      <c r="P67" s="38"/>
      <c r="Q67" s="38"/>
      <c r="W67" s="60" t="n">
        <f aca="false">$AA$20</f>
        <v>700</v>
      </c>
      <c r="X67" s="60"/>
      <c r="Y67" s="60"/>
      <c r="Z67" s="60"/>
    </row>
    <row r="68" customFormat="false" ht="17.25" hidden="false" customHeight="true" outlineLevel="0" collapsed="false">
      <c r="B68" s="36"/>
      <c r="C68" s="36"/>
      <c r="D68" s="36"/>
      <c r="E68" s="38" t="s">
        <v>218</v>
      </c>
      <c r="F68" s="38"/>
      <c r="G68" s="38"/>
      <c r="H68" s="38"/>
      <c r="I68" s="38"/>
      <c r="J68" s="38"/>
      <c r="K68" s="38"/>
      <c r="L68" s="38"/>
      <c r="M68" s="38"/>
      <c r="N68" s="38"/>
      <c r="O68" s="38"/>
      <c r="P68" s="38"/>
      <c r="Q68" s="38"/>
      <c r="W68" s="61" t="n">
        <f aca="false">$AA$21-$X$42</f>
        <v>2750</v>
      </c>
      <c r="X68" s="61"/>
      <c r="Y68" s="61"/>
      <c r="Z68" s="61"/>
      <c r="AB68" s="61" t="n">
        <f aca="false">$W$67+$W$68</f>
        <v>3450</v>
      </c>
      <c r="AC68" s="61"/>
      <c r="AD68" s="61"/>
      <c r="AE68" s="61"/>
    </row>
    <row r="69" customFormat="false" ht="17.25" hidden="false" customHeight="true" outlineLevel="0" collapsed="false">
      <c r="B69" s="36"/>
      <c r="C69" s="36"/>
      <c r="D69" s="36"/>
      <c r="E69" s="38"/>
      <c r="F69" s="38"/>
      <c r="G69" s="38"/>
      <c r="H69" s="38"/>
      <c r="I69" s="38"/>
      <c r="J69" s="38"/>
      <c r="K69" s="38"/>
      <c r="L69" s="38"/>
      <c r="M69" s="38"/>
      <c r="N69" s="38"/>
      <c r="O69" s="38"/>
      <c r="P69" s="38"/>
      <c r="Q69" s="38"/>
      <c r="AB69" s="60" t="n">
        <f aca="false">$AB$65+$AB$68</f>
        <v>60250</v>
      </c>
      <c r="AC69" s="60"/>
      <c r="AD69" s="60"/>
      <c r="AE69" s="60"/>
    </row>
    <row r="70" customFormat="false" ht="17.25" hidden="false" customHeight="true" outlineLevel="0" collapsed="false">
      <c r="B70" s="36" t="s">
        <v>138</v>
      </c>
      <c r="C70" s="36"/>
      <c r="D70" s="36"/>
      <c r="E70" s="37" t="s">
        <v>252</v>
      </c>
      <c r="F70" s="37"/>
      <c r="G70" s="37"/>
      <c r="H70" s="37"/>
      <c r="I70" s="37"/>
      <c r="J70" s="37"/>
      <c r="K70" s="37"/>
      <c r="L70" s="37"/>
      <c r="M70" s="37"/>
      <c r="N70" s="37"/>
      <c r="O70" s="37"/>
      <c r="P70" s="37"/>
      <c r="Q70" s="37"/>
    </row>
    <row r="71" customFormat="false" ht="17.25" hidden="false" customHeight="true" outlineLevel="0" collapsed="false">
      <c r="B71" s="36"/>
      <c r="C71" s="36"/>
      <c r="D71" s="36"/>
      <c r="E71" s="38" t="s">
        <v>212</v>
      </c>
      <c r="F71" s="38"/>
      <c r="G71" s="38"/>
      <c r="H71" s="38"/>
      <c r="I71" s="38"/>
      <c r="J71" s="38"/>
      <c r="K71" s="38"/>
      <c r="L71" s="38"/>
      <c r="M71" s="38"/>
      <c r="N71" s="38"/>
      <c r="O71" s="38"/>
      <c r="P71" s="38"/>
      <c r="Q71" s="38"/>
      <c r="W71" s="60" t="n">
        <f aca="false">$U$15</f>
        <v>18000</v>
      </c>
      <c r="X71" s="60"/>
      <c r="Y71" s="60"/>
      <c r="Z71" s="60"/>
    </row>
    <row r="72" customFormat="false" ht="17.25" hidden="false" customHeight="true" outlineLevel="0" collapsed="false">
      <c r="B72" s="36"/>
      <c r="C72" s="36"/>
      <c r="D72" s="36"/>
      <c r="E72" s="38" t="s">
        <v>213</v>
      </c>
      <c r="F72" s="38"/>
      <c r="G72" s="38"/>
      <c r="H72" s="38"/>
      <c r="I72" s="38"/>
      <c r="J72" s="38"/>
      <c r="K72" s="38"/>
      <c r="L72" s="38"/>
      <c r="M72" s="38"/>
      <c r="N72" s="38"/>
      <c r="O72" s="38"/>
      <c r="P72" s="38"/>
      <c r="Q72" s="38"/>
      <c r="W72" s="60" t="n">
        <f aca="false">$U$16+$X$40</f>
        <v>8400</v>
      </c>
      <c r="X72" s="60"/>
      <c r="Y72" s="60"/>
      <c r="Z72" s="60"/>
    </row>
    <row r="73" customFormat="false" ht="17.25" hidden="false" customHeight="true" outlineLevel="0" collapsed="false">
      <c r="B73" s="36"/>
      <c r="C73" s="36"/>
      <c r="D73" s="36"/>
      <c r="E73" s="38" t="s">
        <v>214</v>
      </c>
      <c r="F73" s="38"/>
      <c r="G73" s="38"/>
      <c r="H73" s="38"/>
      <c r="I73" s="38"/>
      <c r="J73" s="38"/>
      <c r="K73" s="38"/>
      <c r="L73" s="38"/>
      <c r="M73" s="38"/>
      <c r="N73" s="38"/>
      <c r="O73" s="38"/>
      <c r="P73" s="38"/>
      <c r="Q73" s="38"/>
      <c r="W73" s="60" t="n">
        <f aca="false">$U$17-$X$41</f>
        <v>1800</v>
      </c>
      <c r="X73" s="60"/>
      <c r="Y73" s="60"/>
      <c r="Z73" s="60"/>
    </row>
    <row r="74" customFormat="false" ht="17.25" hidden="false" customHeight="true" outlineLevel="0" collapsed="false">
      <c r="B74" s="36"/>
      <c r="C74" s="36"/>
      <c r="D74" s="36"/>
      <c r="E74" s="38" t="s">
        <v>215</v>
      </c>
      <c r="F74" s="38"/>
      <c r="G74" s="38"/>
      <c r="H74" s="38"/>
      <c r="I74" s="38"/>
      <c r="J74" s="38"/>
      <c r="K74" s="38"/>
      <c r="L74" s="38"/>
      <c r="M74" s="38"/>
      <c r="N74" s="38"/>
      <c r="O74" s="38"/>
      <c r="P74" s="38"/>
      <c r="Q74" s="38"/>
      <c r="W74" s="60" t="n">
        <f aca="false">$U$18</f>
        <v>1900</v>
      </c>
      <c r="X74" s="60"/>
      <c r="Y74" s="60"/>
      <c r="Z74" s="60"/>
    </row>
    <row r="75" customFormat="false" ht="17.25" hidden="false" customHeight="true" outlineLevel="0" collapsed="false">
      <c r="B75" s="36"/>
      <c r="C75" s="36"/>
      <c r="D75" s="36"/>
      <c r="E75" s="38" t="s">
        <v>210</v>
      </c>
      <c r="F75" s="38"/>
      <c r="G75" s="38"/>
      <c r="H75" s="38"/>
      <c r="I75" s="38"/>
      <c r="J75" s="38"/>
      <c r="K75" s="38"/>
      <c r="L75" s="38"/>
      <c r="M75" s="38"/>
      <c r="N75" s="38"/>
      <c r="O75" s="38"/>
      <c r="P75" s="38"/>
      <c r="Q75" s="38"/>
      <c r="W75" s="60" t="n">
        <f aca="false">$U$13</f>
        <v>800</v>
      </c>
      <c r="X75" s="60"/>
      <c r="Y75" s="60"/>
      <c r="Z75" s="60"/>
    </row>
    <row r="76" customFormat="false" ht="17.25" hidden="false" customHeight="true" outlineLevel="0" collapsed="false">
      <c r="B76" s="36"/>
      <c r="C76" s="36"/>
      <c r="D76" s="36"/>
      <c r="E76" s="38" t="s">
        <v>216</v>
      </c>
      <c r="F76" s="38"/>
      <c r="G76" s="38"/>
      <c r="H76" s="38"/>
      <c r="I76" s="38"/>
      <c r="J76" s="38"/>
      <c r="K76" s="38"/>
      <c r="L76" s="38"/>
      <c r="M76" s="38"/>
      <c r="N76" s="38"/>
      <c r="O76" s="38"/>
      <c r="P76" s="38"/>
      <c r="Q76" s="38"/>
      <c r="W76" s="60" t="n">
        <f aca="false">$U$19</f>
        <v>500</v>
      </c>
      <c r="X76" s="60"/>
      <c r="Y76" s="60"/>
      <c r="Z76" s="60"/>
    </row>
    <row r="77" customFormat="false" ht="17.25" hidden="false" customHeight="true" outlineLevel="0" collapsed="false">
      <c r="B77" s="36"/>
      <c r="C77" s="36"/>
      <c r="D77" s="36"/>
      <c r="E77" s="38" t="s">
        <v>125</v>
      </c>
      <c r="F77" s="38"/>
      <c r="G77" s="38"/>
      <c r="H77" s="38"/>
      <c r="I77" s="38"/>
      <c r="J77" s="38"/>
      <c r="K77" s="38"/>
      <c r="L77" s="38"/>
      <c r="M77" s="38"/>
      <c r="N77" s="38"/>
      <c r="O77" s="38"/>
      <c r="P77" s="38"/>
      <c r="Q77" s="38"/>
      <c r="W77" s="60" t="n">
        <f aca="false">$U$22+$X$43</f>
        <v>800</v>
      </c>
      <c r="X77" s="60"/>
      <c r="Y77" s="60"/>
      <c r="Z77" s="60"/>
    </row>
    <row r="78" customFormat="false" ht="17.25" hidden="false" customHeight="true" outlineLevel="0" collapsed="false">
      <c r="B78" s="36"/>
      <c r="C78" s="36"/>
      <c r="D78" s="36"/>
      <c r="E78" s="38" t="s">
        <v>253</v>
      </c>
      <c r="F78" s="38"/>
      <c r="G78" s="38"/>
      <c r="H78" s="38"/>
      <c r="I78" s="38"/>
      <c r="J78" s="38"/>
      <c r="K78" s="38"/>
      <c r="L78" s="38"/>
      <c r="M78" s="38"/>
      <c r="N78" s="38"/>
      <c r="O78" s="38"/>
      <c r="P78" s="38"/>
      <c r="Q78" s="38"/>
      <c r="W78" s="60" t="n">
        <f aca="false">ROUND(($U$28-$X$43)*$X$44,2)-$AA$29</f>
        <v>100</v>
      </c>
      <c r="X78" s="60"/>
      <c r="Y78" s="60"/>
      <c r="Z78" s="60"/>
    </row>
    <row r="79" customFormat="false" ht="17.25" hidden="false" customHeight="true" outlineLevel="0" collapsed="false">
      <c r="B79" s="36"/>
      <c r="C79" s="36"/>
      <c r="D79" s="36"/>
      <c r="E79" s="38" t="s">
        <v>254</v>
      </c>
      <c r="F79" s="38"/>
      <c r="G79" s="38"/>
      <c r="H79" s="38"/>
      <c r="I79" s="38"/>
      <c r="J79" s="38"/>
      <c r="K79" s="38"/>
      <c r="L79" s="38"/>
      <c r="M79" s="38"/>
      <c r="N79" s="38"/>
      <c r="O79" s="38"/>
      <c r="P79" s="38"/>
      <c r="Q79" s="38"/>
      <c r="W79" s="60" t="n">
        <f aca="false">$U$24*$X$45</f>
        <v>1500</v>
      </c>
      <c r="X79" s="60"/>
      <c r="Y79" s="60"/>
      <c r="Z79" s="60"/>
    </row>
    <row r="80" customFormat="false" ht="17.25" hidden="false" customHeight="true" outlineLevel="0" collapsed="false">
      <c r="B80" s="36"/>
      <c r="C80" s="36"/>
      <c r="D80" s="36"/>
      <c r="E80" s="38" t="s">
        <v>255</v>
      </c>
      <c r="F80" s="38"/>
      <c r="G80" s="38"/>
      <c r="H80" s="38"/>
      <c r="I80" s="38"/>
      <c r="J80" s="38"/>
      <c r="K80" s="38"/>
      <c r="L80" s="38"/>
      <c r="M80" s="38"/>
      <c r="N80" s="38"/>
      <c r="O80" s="38"/>
      <c r="P80" s="38"/>
      <c r="Q80" s="38"/>
      <c r="W80" s="60" t="n">
        <f aca="false">ROUND(($U$26-$AA$27)*$X$46,2)</f>
        <v>5000</v>
      </c>
      <c r="X80" s="60"/>
      <c r="Y80" s="60"/>
      <c r="Z80" s="60"/>
    </row>
    <row r="81" customFormat="false" ht="17.25" hidden="false" customHeight="true" outlineLevel="0" collapsed="false">
      <c r="B81" s="36"/>
      <c r="C81" s="36"/>
      <c r="D81" s="36"/>
      <c r="E81" s="38" t="s">
        <v>256</v>
      </c>
      <c r="F81" s="38"/>
      <c r="G81" s="38"/>
      <c r="H81" s="38"/>
      <c r="I81" s="38"/>
      <c r="J81" s="38"/>
      <c r="K81" s="38"/>
      <c r="L81" s="38"/>
      <c r="M81" s="38"/>
      <c r="N81" s="38"/>
      <c r="O81" s="38"/>
      <c r="P81" s="38"/>
      <c r="Q81" s="38"/>
      <c r="W81" s="61" t="n">
        <f aca="false">$AA$33*$X$47</f>
        <v>1200</v>
      </c>
      <c r="X81" s="61"/>
      <c r="Y81" s="61"/>
      <c r="Z81" s="61"/>
      <c r="AB81" s="61" t="n">
        <f aca="false">-($W$71+$W$72+$W$73+$W$74+$W$75+$W$76+$W$77+$W$78+$W$79+$W$80+$W$81)</f>
        <v>-40000</v>
      </c>
      <c r="AC81" s="61"/>
      <c r="AD81" s="61"/>
      <c r="AE81" s="61"/>
    </row>
    <row r="82" customFormat="false" ht="17.25" hidden="false" customHeight="true" outlineLevel="0" collapsed="false">
      <c r="B82" s="36"/>
      <c r="C82" s="36"/>
      <c r="D82" s="36"/>
      <c r="E82" s="56" t="s">
        <v>257</v>
      </c>
      <c r="F82" s="56"/>
      <c r="G82" s="56"/>
      <c r="H82" s="56"/>
      <c r="I82" s="56"/>
      <c r="J82" s="56"/>
      <c r="K82" s="56"/>
      <c r="L82" s="56"/>
      <c r="M82" s="56"/>
      <c r="N82" s="56"/>
      <c r="O82" s="56"/>
      <c r="P82" s="56"/>
      <c r="Q82" s="56"/>
      <c r="AB82" s="62" t="n">
        <f aca="false">$AB$69+$AB$81</f>
        <v>20250</v>
      </c>
      <c r="AC82" s="62"/>
      <c r="AD82" s="62"/>
      <c r="AE82" s="62"/>
    </row>
    <row r="84" customFormat="false" ht="18.75" hidden="false" customHeight="true" outlineLevel="0" collapsed="false">
      <c r="B84" s="3" t="s">
        <v>258</v>
      </c>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ustomFormat="false" ht="15" hidden="false" customHeight="false" outlineLevel="0" collapsed="false">
      <c r="B85" s="34" t="s">
        <v>242</v>
      </c>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row>
    <row r="86" customFormat="false" ht="15" hidden="false" customHeight="false" outlineLevel="0" collapsed="false">
      <c r="B86" s="34" t="s">
        <v>259</v>
      </c>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row>
    <row r="87" customFormat="false" ht="15" hidden="false" customHeight="false" outlineLevel="0" collapsed="false">
      <c r="B87" s="35"/>
      <c r="C87" s="35"/>
      <c r="D87" s="35"/>
      <c r="E87" s="23" t="s">
        <v>119</v>
      </c>
      <c r="F87" s="23"/>
      <c r="G87" s="23"/>
      <c r="H87" s="23"/>
      <c r="I87" s="23"/>
      <c r="J87" s="23"/>
      <c r="K87" s="23"/>
      <c r="L87" s="23"/>
      <c r="M87" s="23"/>
      <c r="N87" s="23"/>
      <c r="O87" s="23"/>
      <c r="P87" s="23"/>
      <c r="Q87" s="23"/>
      <c r="R87" s="24" t="s">
        <v>123</v>
      </c>
      <c r="S87" s="24"/>
      <c r="T87" s="24"/>
      <c r="U87" s="24"/>
      <c r="V87" s="24"/>
      <c r="W87" s="24" t="s">
        <v>123</v>
      </c>
      <c r="X87" s="24"/>
      <c r="Y87" s="24"/>
      <c r="Z87" s="24"/>
      <c r="AA87" s="24"/>
      <c r="AB87" s="24" t="s">
        <v>123</v>
      </c>
      <c r="AC87" s="24"/>
      <c r="AD87" s="24"/>
      <c r="AE87" s="24"/>
      <c r="AF87" s="24"/>
    </row>
    <row r="88" customFormat="false" ht="30" hidden="false" customHeight="true" outlineLevel="0" collapsed="false">
      <c r="B88" s="35"/>
      <c r="C88" s="35"/>
      <c r="D88" s="35"/>
      <c r="E88" s="35"/>
      <c r="F88" s="35"/>
      <c r="G88" s="35"/>
      <c r="H88" s="35"/>
      <c r="I88" s="35"/>
      <c r="J88" s="35"/>
      <c r="K88" s="35"/>
      <c r="L88" s="35"/>
      <c r="M88" s="35"/>
      <c r="N88" s="35"/>
      <c r="O88" s="35"/>
      <c r="P88" s="35"/>
      <c r="Q88" s="35"/>
      <c r="R88" s="11" t="s">
        <v>133</v>
      </c>
      <c r="S88" s="11"/>
      <c r="T88" s="11"/>
      <c r="U88" s="11"/>
      <c r="V88" s="11"/>
      <c r="W88" s="11" t="s">
        <v>134</v>
      </c>
      <c r="X88" s="11"/>
      <c r="Y88" s="11"/>
      <c r="Z88" s="11"/>
      <c r="AA88" s="11"/>
      <c r="AB88" s="11" t="s">
        <v>135</v>
      </c>
      <c r="AC88" s="11"/>
      <c r="AD88" s="11"/>
      <c r="AE88" s="11"/>
      <c r="AF88" s="11"/>
    </row>
    <row r="89" customFormat="false" ht="17.25" hidden="false" customHeight="true" outlineLevel="0" collapsed="false">
      <c r="B89" s="36"/>
      <c r="C89" s="36"/>
      <c r="D89" s="36"/>
      <c r="E89" s="37" t="s">
        <v>260</v>
      </c>
      <c r="F89" s="37"/>
      <c r="G89" s="37"/>
      <c r="H89" s="37"/>
      <c r="I89" s="37"/>
      <c r="J89" s="37"/>
      <c r="K89" s="37"/>
      <c r="L89" s="37"/>
      <c r="M89" s="37"/>
      <c r="N89" s="37"/>
      <c r="O89" s="37"/>
      <c r="P89" s="37"/>
      <c r="Q89" s="37"/>
    </row>
    <row r="90" customFormat="false" ht="17.25" hidden="false" customHeight="true" outlineLevel="0" collapsed="false">
      <c r="B90" s="36"/>
      <c r="C90" s="36"/>
      <c r="D90" s="36"/>
      <c r="E90" s="38" t="s">
        <v>261</v>
      </c>
      <c r="F90" s="38"/>
      <c r="G90" s="38"/>
      <c r="H90" s="38"/>
      <c r="I90" s="38"/>
      <c r="J90" s="38"/>
      <c r="K90" s="38"/>
      <c r="L90" s="38"/>
      <c r="M90" s="38"/>
      <c r="N90" s="38"/>
      <c r="O90" s="38"/>
      <c r="P90" s="38"/>
      <c r="Q90" s="38"/>
      <c r="R90" s="60" t="n">
        <f aca="false">$U$23</f>
        <v>80000</v>
      </c>
      <c r="S90" s="60"/>
      <c r="T90" s="60"/>
      <c r="U90" s="60"/>
      <c r="W90" s="60" t="n">
        <f aca="false">0</f>
        <v>0</v>
      </c>
      <c r="X90" s="60"/>
      <c r="Y90" s="60"/>
      <c r="Z90" s="60"/>
      <c r="AB90" s="60" t="n">
        <f aca="false">$R$90-$W$90</f>
        <v>80000</v>
      </c>
      <c r="AC90" s="60"/>
      <c r="AD90" s="60"/>
      <c r="AE90" s="60"/>
    </row>
    <row r="91" customFormat="false" ht="17.25" hidden="false" customHeight="true" outlineLevel="0" collapsed="false">
      <c r="B91" s="36"/>
      <c r="C91" s="36"/>
      <c r="D91" s="36"/>
      <c r="E91" s="38" t="s">
        <v>262</v>
      </c>
      <c r="F91" s="38"/>
      <c r="G91" s="38"/>
      <c r="H91" s="38"/>
      <c r="I91" s="38"/>
      <c r="J91" s="38"/>
      <c r="K91" s="38"/>
      <c r="L91" s="38"/>
      <c r="M91" s="38"/>
      <c r="N91" s="38"/>
      <c r="O91" s="38"/>
      <c r="P91" s="38"/>
      <c r="Q91" s="38"/>
      <c r="R91" s="60" t="n">
        <f aca="false">$U$24</f>
        <v>15000</v>
      </c>
      <c r="S91" s="60"/>
      <c r="T91" s="60"/>
      <c r="U91" s="60"/>
      <c r="W91" s="60" t="n">
        <f aca="false">$AA$25+$U$24*$X$45</f>
        <v>4500</v>
      </c>
      <c r="X91" s="60"/>
      <c r="Y91" s="60"/>
      <c r="Z91" s="60"/>
      <c r="AB91" s="60" t="n">
        <f aca="false">$R$91-$W$91</f>
        <v>10500</v>
      </c>
      <c r="AC91" s="60"/>
      <c r="AD91" s="60"/>
      <c r="AE91" s="60"/>
    </row>
    <row r="92" customFormat="false" ht="17.25" hidden="false" customHeight="true" outlineLevel="0" collapsed="false">
      <c r="B92" s="36"/>
      <c r="C92" s="36"/>
      <c r="D92" s="36"/>
      <c r="E92" s="38" t="s">
        <v>263</v>
      </c>
      <c r="F92" s="38"/>
      <c r="G92" s="38"/>
      <c r="H92" s="38"/>
      <c r="I92" s="38"/>
      <c r="J92" s="38"/>
      <c r="K92" s="38"/>
      <c r="L92" s="38"/>
      <c r="M92" s="38"/>
      <c r="N92" s="38"/>
      <c r="O92" s="38"/>
      <c r="P92" s="38"/>
      <c r="Q92" s="38"/>
      <c r="R92" s="61" t="n">
        <f aca="false">$U$26</f>
        <v>32000</v>
      </c>
      <c r="S92" s="61"/>
      <c r="T92" s="61"/>
      <c r="U92" s="61"/>
      <c r="W92" s="61" t="n">
        <f aca="false">$AA$27+ROUND(($U$26-$AA$27)*$X$46,2)</f>
        <v>17000</v>
      </c>
      <c r="X92" s="61"/>
      <c r="Y92" s="61"/>
      <c r="Z92" s="61"/>
      <c r="AB92" s="61" t="n">
        <f aca="false">$R$92-$W$92</f>
        <v>15000</v>
      </c>
      <c r="AC92" s="61"/>
      <c r="AD92" s="61"/>
      <c r="AE92" s="61"/>
    </row>
    <row r="93" customFormat="false" ht="17.25" hidden="false" customHeight="true" outlineLevel="0" collapsed="false">
      <c r="B93" s="36"/>
      <c r="C93" s="36"/>
      <c r="D93" s="36"/>
      <c r="E93" s="56" t="s">
        <v>264</v>
      </c>
      <c r="F93" s="56"/>
      <c r="G93" s="56"/>
      <c r="H93" s="56"/>
      <c r="I93" s="56"/>
      <c r="J93" s="56"/>
      <c r="K93" s="56"/>
      <c r="L93" s="56"/>
      <c r="M93" s="56"/>
      <c r="N93" s="56"/>
      <c r="O93" s="56"/>
      <c r="P93" s="56"/>
      <c r="Q93" s="56"/>
      <c r="R93" s="60" t="n">
        <f aca="false">$R$90+$R$91+$R$92</f>
        <v>127000</v>
      </c>
      <c r="S93" s="60"/>
      <c r="T93" s="60"/>
      <c r="U93" s="60"/>
      <c r="W93" s="60" t="n">
        <f aca="false">$W$90+$W$91+$W$92</f>
        <v>21500</v>
      </c>
      <c r="X93" s="60"/>
      <c r="Y93" s="60"/>
      <c r="Z93" s="60"/>
      <c r="AB93" s="60" t="n">
        <f aca="false">$AB$90+$AB$91+$AB$92</f>
        <v>105500</v>
      </c>
      <c r="AC93" s="60"/>
      <c r="AD93" s="60"/>
      <c r="AE93" s="60"/>
    </row>
    <row r="94" customFormat="false" ht="17.25" hidden="false" customHeight="true" outlineLevel="0" collapsed="false">
      <c r="B94" s="36"/>
      <c r="C94" s="36"/>
      <c r="D94" s="36"/>
      <c r="E94" s="37" t="s">
        <v>136</v>
      </c>
      <c r="F94" s="37"/>
      <c r="G94" s="37"/>
      <c r="H94" s="37"/>
      <c r="I94" s="37"/>
      <c r="J94" s="37"/>
      <c r="K94" s="37"/>
      <c r="L94" s="37"/>
      <c r="M94" s="37"/>
      <c r="N94" s="37"/>
      <c r="O94" s="37"/>
      <c r="P94" s="37"/>
      <c r="Q94" s="37"/>
    </row>
    <row r="95" customFormat="false" ht="17.25" hidden="false" customHeight="true" outlineLevel="0" collapsed="false">
      <c r="B95" s="36"/>
      <c r="C95" s="36"/>
      <c r="D95" s="36"/>
      <c r="E95" s="38" t="s">
        <v>265</v>
      </c>
      <c r="F95" s="38"/>
      <c r="G95" s="38"/>
      <c r="H95" s="38"/>
      <c r="I95" s="38"/>
      <c r="J95" s="38"/>
      <c r="K95" s="38"/>
      <c r="L95" s="38"/>
      <c r="M95" s="38"/>
      <c r="N95" s="38"/>
      <c r="O95" s="38"/>
      <c r="P95" s="38"/>
      <c r="Q95" s="38"/>
      <c r="W95" s="60" t="n">
        <f aca="false">$X$39</f>
        <v>10500</v>
      </c>
      <c r="X95" s="60"/>
      <c r="Y95" s="60"/>
      <c r="Z95" s="60"/>
    </row>
    <row r="96" customFormat="false" ht="17.25" hidden="false" customHeight="true" outlineLevel="0" collapsed="false">
      <c r="B96" s="36"/>
      <c r="C96" s="36"/>
      <c r="D96" s="36"/>
      <c r="E96" s="38" t="s">
        <v>137</v>
      </c>
      <c r="F96" s="38"/>
      <c r="G96" s="38"/>
      <c r="H96" s="38"/>
      <c r="I96" s="38"/>
      <c r="J96" s="38"/>
      <c r="K96" s="38"/>
      <c r="L96" s="38"/>
      <c r="M96" s="38"/>
      <c r="N96" s="38"/>
      <c r="O96" s="38"/>
      <c r="P96" s="38"/>
      <c r="Q96" s="38"/>
      <c r="R96" s="60" t="n">
        <f aca="false">($U$28-$X$43)</f>
        <v>16000</v>
      </c>
      <c r="S96" s="60"/>
      <c r="T96" s="60"/>
      <c r="U96" s="60"/>
    </row>
    <row r="97" customFormat="false" ht="17.25" hidden="false" customHeight="true" outlineLevel="0" collapsed="false">
      <c r="B97" s="36" t="s">
        <v>138</v>
      </c>
      <c r="C97" s="36"/>
      <c r="D97" s="36"/>
      <c r="E97" s="38" t="s">
        <v>129</v>
      </c>
      <c r="F97" s="38"/>
      <c r="G97" s="38"/>
      <c r="H97" s="38"/>
      <c r="I97" s="38"/>
      <c r="J97" s="38"/>
      <c r="K97" s="38"/>
      <c r="L97" s="38"/>
      <c r="M97" s="38"/>
      <c r="N97" s="38"/>
      <c r="O97" s="38"/>
      <c r="P97" s="38"/>
      <c r="Q97" s="38"/>
      <c r="R97" s="61" t="n">
        <f aca="false">-(ROUND(($U$28-$X$43)*$X$44,2))</f>
        <v>-800</v>
      </c>
      <c r="S97" s="61"/>
      <c r="T97" s="61"/>
      <c r="U97" s="61"/>
      <c r="W97" s="60" t="n">
        <f aca="false">$R$96+$R$97</f>
        <v>15200</v>
      </c>
      <c r="X97" s="60"/>
      <c r="Y97" s="60"/>
      <c r="Z97" s="60"/>
    </row>
    <row r="98" customFormat="false" ht="17.25" hidden="false" customHeight="true" outlineLevel="0" collapsed="false">
      <c r="B98" s="36"/>
      <c r="C98" s="36"/>
      <c r="D98" s="36"/>
      <c r="E98" s="38" t="s">
        <v>185</v>
      </c>
      <c r="F98" s="38"/>
      <c r="G98" s="38"/>
      <c r="H98" s="38"/>
      <c r="I98" s="38"/>
      <c r="J98" s="38"/>
      <c r="K98" s="38"/>
      <c r="L98" s="38"/>
      <c r="M98" s="38"/>
      <c r="N98" s="38"/>
      <c r="O98" s="38"/>
      <c r="P98" s="38"/>
      <c r="Q98" s="38"/>
      <c r="W98" s="60" t="n">
        <f aca="false">$X$41</f>
        <v>600</v>
      </c>
      <c r="X98" s="60"/>
      <c r="Y98" s="60"/>
      <c r="Z98" s="60"/>
    </row>
    <row r="99" customFormat="false" ht="17.25" hidden="false" customHeight="true" outlineLevel="0" collapsed="false">
      <c r="B99" s="36"/>
      <c r="C99" s="36"/>
      <c r="D99" s="36"/>
      <c r="E99" s="38" t="s">
        <v>226</v>
      </c>
      <c r="F99" s="38"/>
      <c r="G99" s="38"/>
      <c r="H99" s="38"/>
      <c r="I99" s="38"/>
      <c r="J99" s="38"/>
      <c r="K99" s="38"/>
      <c r="L99" s="38"/>
      <c r="M99" s="38"/>
      <c r="N99" s="38"/>
      <c r="O99" s="38"/>
      <c r="P99" s="38"/>
      <c r="Q99" s="38"/>
      <c r="W99" s="61" t="n">
        <f aca="false">$U$32</f>
        <v>300</v>
      </c>
      <c r="X99" s="61"/>
      <c r="Y99" s="61"/>
      <c r="Z99" s="61"/>
    </row>
    <row r="100" customFormat="false" ht="17.25" hidden="false" customHeight="true" outlineLevel="0" collapsed="false">
      <c r="B100" s="36"/>
      <c r="C100" s="36"/>
      <c r="D100" s="36"/>
      <c r="E100" s="56" t="s">
        <v>266</v>
      </c>
      <c r="F100" s="56"/>
      <c r="G100" s="56"/>
      <c r="H100" s="56"/>
      <c r="I100" s="56"/>
      <c r="J100" s="56"/>
      <c r="K100" s="56"/>
      <c r="L100" s="56"/>
      <c r="M100" s="56"/>
      <c r="N100" s="56"/>
      <c r="O100" s="56"/>
      <c r="P100" s="56"/>
      <c r="Q100" s="56"/>
      <c r="W100" s="60" t="n">
        <f aca="false">$W$95+$W$97+$W$98+$W$99</f>
        <v>26600</v>
      </c>
      <c r="X100" s="60"/>
      <c r="Y100" s="60"/>
      <c r="Z100" s="60"/>
    </row>
    <row r="101" customFormat="false" ht="17.25" hidden="false" customHeight="true" outlineLevel="0" collapsed="false">
      <c r="B101" s="36" t="s">
        <v>138</v>
      </c>
      <c r="C101" s="36"/>
      <c r="D101" s="36"/>
      <c r="E101" s="37" t="s">
        <v>186</v>
      </c>
      <c r="F101" s="37"/>
      <c r="G101" s="37"/>
      <c r="H101" s="37"/>
      <c r="I101" s="37"/>
      <c r="J101" s="37"/>
      <c r="K101" s="37"/>
      <c r="L101" s="37"/>
      <c r="M101" s="37"/>
      <c r="N101" s="37"/>
      <c r="O101" s="37"/>
      <c r="P101" s="37"/>
      <c r="Q101" s="37"/>
    </row>
    <row r="102" customFormat="false" ht="17.25" hidden="false" customHeight="true" outlineLevel="0" collapsed="false">
      <c r="B102" s="36"/>
      <c r="C102" s="36"/>
      <c r="D102" s="36"/>
      <c r="E102" s="38" t="s">
        <v>224</v>
      </c>
      <c r="F102" s="38"/>
      <c r="G102" s="38"/>
      <c r="H102" s="38"/>
      <c r="I102" s="38"/>
      <c r="J102" s="38"/>
      <c r="K102" s="38"/>
      <c r="L102" s="38"/>
      <c r="M102" s="38"/>
      <c r="N102" s="38"/>
      <c r="O102" s="38"/>
      <c r="P102" s="38"/>
      <c r="Q102" s="38"/>
      <c r="W102" s="60" t="n">
        <f aca="false">$AA$30</f>
        <v>9800</v>
      </c>
      <c r="X102" s="60"/>
      <c r="Y102" s="60"/>
      <c r="Z102" s="60"/>
    </row>
    <row r="103" customFormat="false" ht="17.25" hidden="false" customHeight="true" outlineLevel="0" collapsed="false">
      <c r="B103" s="36"/>
      <c r="C103" s="36"/>
      <c r="D103" s="36"/>
      <c r="E103" s="38" t="s">
        <v>267</v>
      </c>
      <c r="F103" s="38"/>
      <c r="G103" s="38"/>
      <c r="H103" s="38"/>
      <c r="I103" s="38"/>
      <c r="J103" s="38"/>
      <c r="K103" s="38"/>
      <c r="L103" s="38"/>
      <c r="M103" s="38"/>
      <c r="N103" s="38"/>
      <c r="O103" s="38"/>
      <c r="P103" s="38"/>
      <c r="Q103" s="38"/>
      <c r="W103" s="60" t="n">
        <f aca="false">$X$40+$X$42+$AA$33*$X$47</f>
        <v>2150</v>
      </c>
      <c r="X103" s="60"/>
      <c r="Y103" s="60"/>
      <c r="Z103" s="60"/>
    </row>
    <row r="104" customFormat="false" ht="17.25" hidden="false" customHeight="true" outlineLevel="0" collapsed="false">
      <c r="B104" s="36"/>
      <c r="C104" s="36"/>
      <c r="D104" s="36"/>
      <c r="E104" s="38" t="s">
        <v>225</v>
      </c>
      <c r="F104" s="38"/>
      <c r="G104" s="38"/>
      <c r="H104" s="38"/>
      <c r="I104" s="38"/>
      <c r="J104" s="38"/>
      <c r="K104" s="38"/>
      <c r="L104" s="38"/>
      <c r="M104" s="38"/>
      <c r="N104" s="38"/>
      <c r="O104" s="38"/>
      <c r="P104" s="38"/>
      <c r="Q104" s="38"/>
      <c r="W104" s="61" t="n">
        <f aca="false">$AA$31</f>
        <v>2100</v>
      </c>
      <c r="X104" s="61"/>
      <c r="Y104" s="61"/>
      <c r="Z104" s="61"/>
    </row>
    <row r="105" customFormat="false" ht="17.25" hidden="false" customHeight="true" outlineLevel="0" collapsed="false">
      <c r="B105" s="36"/>
      <c r="C105" s="36"/>
      <c r="D105" s="36"/>
      <c r="E105" s="56" t="s">
        <v>268</v>
      </c>
      <c r="F105" s="56"/>
      <c r="G105" s="56"/>
      <c r="H105" s="56"/>
      <c r="I105" s="56"/>
      <c r="J105" s="56"/>
      <c r="K105" s="56"/>
      <c r="L105" s="56"/>
      <c r="M105" s="56"/>
      <c r="N105" s="56"/>
      <c r="O105" s="56"/>
      <c r="P105" s="56"/>
      <c r="Q105" s="56"/>
      <c r="W105" s="61" t="n">
        <f aca="false">$W$102+$W$103+$W$104</f>
        <v>14050</v>
      </c>
      <c r="X105" s="61"/>
      <c r="Y105" s="61"/>
      <c r="Z105" s="61"/>
    </row>
    <row r="106" customFormat="false" ht="17.25" hidden="false" customHeight="true" outlineLevel="0" collapsed="false">
      <c r="B106" s="36"/>
      <c r="C106" s="36"/>
      <c r="D106" s="36"/>
      <c r="E106" s="38" t="s">
        <v>269</v>
      </c>
      <c r="F106" s="38"/>
      <c r="G106" s="38"/>
      <c r="H106" s="38"/>
      <c r="I106" s="38"/>
      <c r="J106" s="38"/>
      <c r="K106" s="38"/>
      <c r="L106" s="38"/>
      <c r="M106" s="38"/>
      <c r="N106" s="38"/>
      <c r="O106" s="38"/>
      <c r="P106" s="38"/>
      <c r="Q106" s="38"/>
      <c r="AB106" s="61" t="n">
        <f aca="false">$W$100-$W$105</f>
        <v>12550</v>
      </c>
      <c r="AC106" s="61"/>
      <c r="AD106" s="61"/>
      <c r="AE106" s="61"/>
    </row>
    <row r="107" customFormat="false" ht="17.25" hidden="false" customHeight="true" outlineLevel="0" collapsed="false">
      <c r="B107" s="36"/>
      <c r="C107" s="36"/>
      <c r="D107" s="36"/>
      <c r="E107" s="38"/>
      <c r="F107" s="38"/>
      <c r="G107" s="38"/>
      <c r="H107" s="38"/>
      <c r="I107" s="38"/>
      <c r="J107" s="38"/>
      <c r="K107" s="38"/>
      <c r="L107" s="38"/>
      <c r="M107" s="38"/>
      <c r="N107" s="38"/>
      <c r="O107" s="38"/>
      <c r="P107" s="38"/>
      <c r="Q107" s="38"/>
      <c r="AB107" s="60" t="n">
        <f aca="false">$AB$93+$AB$106</f>
        <v>118050</v>
      </c>
      <c r="AC107" s="60"/>
      <c r="AD107" s="60"/>
      <c r="AE107" s="60"/>
    </row>
    <row r="108" customFormat="false" ht="17.25" hidden="false" customHeight="true" outlineLevel="0" collapsed="false">
      <c r="B108" s="36" t="s">
        <v>138</v>
      </c>
      <c r="C108" s="36"/>
      <c r="D108" s="36"/>
      <c r="E108" s="37" t="s">
        <v>270</v>
      </c>
      <c r="F108" s="37"/>
      <c r="G108" s="37"/>
      <c r="H108" s="37"/>
      <c r="I108" s="37"/>
      <c r="J108" s="37"/>
      <c r="K108" s="37"/>
      <c r="L108" s="37"/>
      <c r="M108" s="37"/>
      <c r="N108" s="37"/>
      <c r="O108" s="37"/>
      <c r="P108" s="37"/>
      <c r="Q108" s="37"/>
    </row>
    <row r="109" customFormat="false" ht="17.25" hidden="false" customHeight="true" outlineLevel="0" collapsed="false">
      <c r="B109" s="36"/>
      <c r="C109" s="36"/>
      <c r="D109" s="36"/>
      <c r="E109" s="38" t="s">
        <v>227</v>
      </c>
      <c r="F109" s="38"/>
      <c r="G109" s="38"/>
      <c r="H109" s="38"/>
      <c r="I109" s="38"/>
      <c r="J109" s="38"/>
      <c r="K109" s="38"/>
      <c r="L109" s="38"/>
      <c r="M109" s="38"/>
      <c r="N109" s="38"/>
      <c r="O109" s="38"/>
      <c r="P109" s="38"/>
      <c r="Q109" s="38"/>
      <c r="AB109" s="61" t="n">
        <f aca="false">-($AA$33)</f>
        <v>-20000</v>
      </c>
      <c r="AC109" s="61"/>
      <c r="AD109" s="61"/>
      <c r="AE109" s="61"/>
    </row>
    <row r="110" customFormat="false" ht="17.25" hidden="false" customHeight="true" outlineLevel="0" collapsed="false">
      <c r="B110" s="36"/>
      <c r="C110" s="36"/>
      <c r="D110" s="36"/>
      <c r="E110" s="56" t="s">
        <v>271</v>
      </c>
      <c r="F110" s="56"/>
      <c r="G110" s="56"/>
      <c r="H110" s="56"/>
      <c r="I110" s="56"/>
      <c r="J110" s="56"/>
      <c r="K110" s="56"/>
      <c r="L110" s="56"/>
      <c r="M110" s="56"/>
      <c r="N110" s="56"/>
      <c r="O110" s="56"/>
      <c r="P110" s="56"/>
      <c r="Q110" s="56"/>
      <c r="AB110" s="62" t="n">
        <f aca="false">$AB$107+$AB$109</f>
        <v>98050</v>
      </c>
      <c r="AC110" s="62"/>
      <c r="AD110" s="62"/>
      <c r="AE110" s="62"/>
    </row>
    <row r="111" customFormat="false" ht="17.25" hidden="false" customHeight="true" outlineLevel="0" collapsed="false">
      <c r="B111" s="36"/>
      <c r="C111" s="36"/>
      <c r="D111" s="36"/>
      <c r="E111" s="37" t="s">
        <v>272</v>
      </c>
      <c r="F111" s="37"/>
      <c r="G111" s="37"/>
      <c r="H111" s="37"/>
      <c r="I111" s="37"/>
      <c r="J111" s="37"/>
      <c r="K111" s="37"/>
      <c r="L111" s="37"/>
      <c r="M111" s="37"/>
      <c r="N111" s="37"/>
      <c r="O111" s="37"/>
      <c r="P111" s="37"/>
      <c r="Q111" s="37"/>
    </row>
    <row r="112" customFormat="false" ht="17.25" hidden="false" customHeight="true" outlineLevel="0" collapsed="false">
      <c r="B112" s="36"/>
      <c r="C112" s="36"/>
      <c r="D112" s="36"/>
      <c r="E112" s="38" t="s">
        <v>273</v>
      </c>
      <c r="F112" s="38"/>
      <c r="G112" s="38"/>
      <c r="H112" s="38"/>
      <c r="I112" s="38"/>
      <c r="J112" s="38"/>
      <c r="K112" s="38"/>
      <c r="L112" s="38"/>
      <c r="M112" s="38"/>
      <c r="N112" s="38"/>
      <c r="O112" s="38"/>
      <c r="P112" s="38"/>
      <c r="Q112" s="38"/>
      <c r="AB112" s="60" t="n">
        <f aca="false">$AA$34</f>
        <v>89800</v>
      </c>
      <c r="AC112" s="60"/>
      <c r="AD112" s="60"/>
      <c r="AE112" s="60"/>
    </row>
    <row r="113" customFormat="false" ht="17.25" hidden="false" customHeight="true" outlineLevel="0" collapsed="false">
      <c r="B113" s="36" t="s">
        <v>247</v>
      </c>
      <c r="C113" s="36"/>
      <c r="D113" s="36"/>
      <c r="E113" s="38" t="s">
        <v>257</v>
      </c>
      <c r="F113" s="38"/>
      <c r="G113" s="38"/>
      <c r="H113" s="38"/>
      <c r="I113" s="38"/>
      <c r="J113" s="38"/>
      <c r="K113" s="38"/>
      <c r="L113" s="38"/>
      <c r="M113" s="38"/>
      <c r="N113" s="38"/>
      <c r="O113" s="38"/>
      <c r="P113" s="38"/>
      <c r="Q113" s="38"/>
      <c r="AB113" s="61" t="n">
        <f aca="false">$AB$82</f>
        <v>20250</v>
      </c>
      <c r="AC113" s="61"/>
      <c r="AD113" s="61"/>
      <c r="AE113" s="61"/>
    </row>
    <row r="114" customFormat="false" ht="17.25" hidden="false" customHeight="true" outlineLevel="0" collapsed="false">
      <c r="B114" s="36"/>
      <c r="C114" s="36"/>
      <c r="D114" s="36"/>
      <c r="E114" s="38"/>
      <c r="F114" s="38"/>
      <c r="G114" s="38"/>
      <c r="H114" s="38"/>
      <c r="I114" s="38"/>
      <c r="J114" s="38"/>
      <c r="K114" s="38"/>
      <c r="L114" s="38"/>
      <c r="M114" s="38"/>
      <c r="N114" s="38"/>
      <c r="O114" s="38"/>
      <c r="P114" s="38"/>
      <c r="Q114" s="38"/>
      <c r="AB114" s="60" t="n">
        <f aca="false">$AB$112+$AB$113</f>
        <v>110050</v>
      </c>
      <c r="AC114" s="60"/>
      <c r="AD114" s="60"/>
      <c r="AE114" s="60"/>
    </row>
    <row r="115" customFormat="false" ht="17.25" hidden="false" customHeight="true" outlineLevel="0" collapsed="false">
      <c r="B115" s="36" t="s">
        <v>138</v>
      </c>
      <c r="C115" s="36"/>
      <c r="D115" s="36"/>
      <c r="E115" s="38" t="s">
        <v>229</v>
      </c>
      <c r="F115" s="38"/>
      <c r="G115" s="38"/>
      <c r="H115" s="38"/>
      <c r="I115" s="38"/>
      <c r="J115" s="38"/>
      <c r="K115" s="38"/>
      <c r="L115" s="38"/>
      <c r="M115" s="38"/>
      <c r="N115" s="38"/>
      <c r="O115" s="38"/>
      <c r="P115" s="38"/>
      <c r="Q115" s="38"/>
      <c r="AB115" s="61" t="n">
        <f aca="false">-($U$35)</f>
        <v>-12000</v>
      </c>
      <c r="AC115" s="61"/>
      <c r="AD115" s="61"/>
      <c r="AE115" s="61"/>
    </row>
    <row r="116" customFormat="false" ht="17.25" hidden="false" customHeight="true" outlineLevel="0" collapsed="false">
      <c r="B116" s="36"/>
      <c r="C116" s="36"/>
      <c r="D116" s="36"/>
      <c r="E116" s="56" t="s">
        <v>274</v>
      </c>
      <c r="F116" s="56"/>
      <c r="G116" s="56"/>
      <c r="H116" s="56"/>
      <c r="I116" s="56"/>
      <c r="J116" s="56"/>
      <c r="K116" s="56"/>
      <c r="L116" s="56"/>
      <c r="M116" s="56"/>
      <c r="N116" s="56"/>
      <c r="O116" s="56"/>
      <c r="P116" s="56"/>
      <c r="Q116" s="56"/>
      <c r="AB116" s="62" t="n">
        <f aca="false">$AB$114+$AB$115</f>
        <v>98050</v>
      </c>
      <c r="AC116" s="62"/>
      <c r="AD116" s="62"/>
      <c r="AE116" s="62"/>
    </row>
  </sheetData>
  <mergeCells count="310">
    <mergeCell ref="B1:AF1"/>
    <mergeCell ref="B2:AF2"/>
    <mergeCell ref="B3:AF3"/>
    <mergeCell ref="B5:AF5"/>
    <mergeCell ref="B6:AF6"/>
    <mergeCell ref="B7:T7"/>
    <mergeCell ref="U7:Z7"/>
    <mergeCell ref="AA7:AF7"/>
    <mergeCell ref="B8:T8"/>
    <mergeCell ref="U8:Z8"/>
    <mergeCell ref="AA8:AF8"/>
    <mergeCell ref="B9:T9"/>
    <mergeCell ref="U9:Z9"/>
    <mergeCell ref="AA9:AF9"/>
    <mergeCell ref="B10:T10"/>
    <mergeCell ref="U10:Z10"/>
    <mergeCell ref="AA10:AF10"/>
    <mergeCell ref="B11:T11"/>
    <mergeCell ref="U11:Z11"/>
    <mergeCell ref="AA11:AF11"/>
    <mergeCell ref="B12:T12"/>
    <mergeCell ref="U12:Z12"/>
    <mergeCell ref="AA12:AF12"/>
    <mergeCell ref="B13:T13"/>
    <mergeCell ref="U13:Z13"/>
    <mergeCell ref="AA13:AF13"/>
    <mergeCell ref="B14:T14"/>
    <mergeCell ref="U14:Z14"/>
    <mergeCell ref="AA14:AF14"/>
    <mergeCell ref="B15:T15"/>
    <mergeCell ref="U15:Z15"/>
    <mergeCell ref="AA15:AF15"/>
    <mergeCell ref="B16:T16"/>
    <mergeCell ref="U16:Z16"/>
    <mergeCell ref="AA16:AF16"/>
    <mergeCell ref="B17:T17"/>
    <mergeCell ref="U17:Z17"/>
    <mergeCell ref="AA17:AF17"/>
    <mergeCell ref="B18:T18"/>
    <mergeCell ref="U18:Z18"/>
    <mergeCell ref="AA18:AF18"/>
    <mergeCell ref="B19:T19"/>
    <mergeCell ref="U19:Z19"/>
    <mergeCell ref="AA19:AF19"/>
    <mergeCell ref="B20:T20"/>
    <mergeCell ref="U20:Z20"/>
    <mergeCell ref="AA20:AF20"/>
    <mergeCell ref="B21:T21"/>
    <mergeCell ref="U21:Z21"/>
    <mergeCell ref="AA21:AF21"/>
    <mergeCell ref="B22:T22"/>
    <mergeCell ref="U22:Z22"/>
    <mergeCell ref="AA22:AF22"/>
    <mergeCell ref="B23:T23"/>
    <mergeCell ref="U23:Z23"/>
    <mergeCell ref="AA23:AF23"/>
    <mergeCell ref="B24:T24"/>
    <mergeCell ref="U24:Z24"/>
    <mergeCell ref="AA24:AF24"/>
    <mergeCell ref="B25:T25"/>
    <mergeCell ref="U25:Z25"/>
    <mergeCell ref="AA25:AF25"/>
    <mergeCell ref="B26:T26"/>
    <mergeCell ref="U26:Z26"/>
    <mergeCell ref="AA26:AF26"/>
    <mergeCell ref="B27:T27"/>
    <mergeCell ref="U27:Z27"/>
    <mergeCell ref="AA27:AF27"/>
    <mergeCell ref="B28:T28"/>
    <mergeCell ref="U28:Z28"/>
    <mergeCell ref="AA28:AF28"/>
    <mergeCell ref="B29:T29"/>
    <mergeCell ref="U29:Z29"/>
    <mergeCell ref="AA29:AF29"/>
    <mergeCell ref="B30:T30"/>
    <mergeCell ref="U30:Z30"/>
    <mergeCell ref="AA30:AF30"/>
    <mergeCell ref="B31:T31"/>
    <mergeCell ref="U31:Z31"/>
    <mergeCell ref="AA31:AF31"/>
    <mergeCell ref="B32:T32"/>
    <mergeCell ref="U32:Z32"/>
    <mergeCell ref="AA32:AF32"/>
    <mergeCell ref="B33:T33"/>
    <mergeCell ref="U33:Z33"/>
    <mergeCell ref="AA33:AF33"/>
    <mergeCell ref="B34:T34"/>
    <mergeCell ref="U34:Z34"/>
    <mergeCell ref="AA34:AF34"/>
    <mergeCell ref="B35:T35"/>
    <mergeCell ref="U35:Z35"/>
    <mergeCell ref="AA35:AF35"/>
    <mergeCell ref="B36:T36"/>
    <mergeCell ref="U36:Z36"/>
    <mergeCell ref="AA36:AF36"/>
    <mergeCell ref="B38:W38"/>
    <mergeCell ref="X38:AC38"/>
    <mergeCell ref="B39:W39"/>
    <mergeCell ref="X39:AC39"/>
    <mergeCell ref="B40:W40"/>
    <mergeCell ref="X40:AC40"/>
    <mergeCell ref="B41:W41"/>
    <mergeCell ref="X41:AC41"/>
    <mergeCell ref="B42:W42"/>
    <mergeCell ref="X42:AC42"/>
    <mergeCell ref="B43:W43"/>
    <mergeCell ref="X43:AC43"/>
    <mergeCell ref="B44:W44"/>
    <mergeCell ref="X44:AC44"/>
    <mergeCell ref="B45:W45"/>
    <mergeCell ref="X45:AC45"/>
    <mergeCell ref="B46:W46"/>
    <mergeCell ref="X46:AC46"/>
    <mergeCell ref="B47:W47"/>
    <mergeCell ref="X47:AC47"/>
    <mergeCell ref="B49:AF49"/>
    <mergeCell ref="B51:AF51"/>
    <mergeCell ref="B52:AF52"/>
    <mergeCell ref="B53:AF53"/>
    <mergeCell ref="B54:D54"/>
    <mergeCell ref="E54:Q54"/>
    <mergeCell ref="R54:V54"/>
    <mergeCell ref="W54:AA54"/>
    <mergeCell ref="AB54:AF54"/>
    <mergeCell ref="B55:D55"/>
    <mergeCell ref="E55:Q55"/>
    <mergeCell ref="AB55:AE55"/>
    <mergeCell ref="B56:D56"/>
    <mergeCell ref="E56:Q56"/>
    <mergeCell ref="AB56:AE56"/>
    <mergeCell ref="B57:D57"/>
    <mergeCell ref="E57:Q57"/>
    <mergeCell ref="AB57:AE57"/>
    <mergeCell ref="B58:D58"/>
    <mergeCell ref="E58:Q58"/>
    <mergeCell ref="B59:D59"/>
    <mergeCell ref="E59:Q59"/>
    <mergeCell ref="W59:Z59"/>
    <mergeCell ref="B60:D60"/>
    <mergeCell ref="E60:Q60"/>
    <mergeCell ref="R60:U60"/>
    <mergeCell ref="B61:D61"/>
    <mergeCell ref="E61:Q61"/>
    <mergeCell ref="R61:U61"/>
    <mergeCell ref="B62:D62"/>
    <mergeCell ref="E62:Q62"/>
    <mergeCell ref="R62:U62"/>
    <mergeCell ref="W62:Z62"/>
    <mergeCell ref="B63:D63"/>
    <mergeCell ref="E63:Q63"/>
    <mergeCell ref="W63:Z63"/>
    <mergeCell ref="B64:D64"/>
    <mergeCell ref="E64:Q64"/>
    <mergeCell ref="W64:Z64"/>
    <mergeCell ref="AB64:AE64"/>
    <mergeCell ref="B65:D65"/>
    <mergeCell ref="E65:Q65"/>
    <mergeCell ref="AB65:AE65"/>
    <mergeCell ref="B66:D66"/>
    <mergeCell ref="E66:Q66"/>
    <mergeCell ref="B67:D67"/>
    <mergeCell ref="E67:Q67"/>
    <mergeCell ref="W67:Z67"/>
    <mergeCell ref="B68:D68"/>
    <mergeCell ref="E68:Q68"/>
    <mergeCell ref="W68:Z68"/>
    <mergeCell ref="AB68:AE68"/>
    <mergeCell ref="B69:D69"/>
    <mergeCell ref="E69:Q69"/>
    <mergeCell ref="AB69:AE69"/>
    <mergeCell ref="B70:D70"/>
    <mergeCell ref="E70:Q70"/>
    <mergeCell ref="B71:D71"/>
    <mergeCell ref="E71:Q71"/>
    <mergeCell ref="W71:Z71"/>
    <mergeCell ref="B72:D72"/>
    <mergeCell ref="E72:Q72"/>
    <mergeCell ref="W72:Z72"/>
    <mergeCell ref="B73:D73"/>
    <mergeCell ref="E73:Q73"/>
    <mergeCell ref="W73:Z73"/>
    <mergeCell ref="B74:D74"/>
    <mergeCell ref="E74:Q74"/>
    <mergeCell ref="W74:Z74"/>
    <mergeCell ref="B75:D75"/>
    <mergeCell ref="E75:Q75"/>
    <mergeCell ref="W75:Z75"/>
    <mergeCell ref="B76:D76"/>
    <mergeCell ref="E76:Q76"/>
    <mergeCell ref="W76:Z76"/>
    <mergeCell ref="B77:D77"/>
    <mergeCell ref="E77:Q77"/>
    <mergeCell ref="W77:Z77"/>
    <mergeCell ref="B78:D78"/>
    <mergeCell ref="E78:Q78"/>
    <mergeCell ref="W78:Z78"/>
    <mergeCell ref="B79:D79"/>
    <mergeCell ref="E79:Q79"/>
    <mergeCell ref="W79:Z79"/>
    <mergeCell ref="B80:D80"/>
    <mergeCell ref="E80:Q80"/>
    <mergeCell ref="W80:Z80"/>
    <mergeCell ref="B81:D81"/>
    <mergeCell ref="E81:Q81"/>
    <mergeCell ref="W81:Z81"/>
    <mergeCell ref="AB81:AE81"/>
    <mergeCell ref="B82:D82"/>
    <mergeCell ref="E82:Q82"/>
    <mergeCell ref="AB82:AE82"/>
    <mergeCell ref="B84:AF84"/>
    <mergeCell ref="B85:AF85"/>
    <mergeCell ref="B86:AF86"/>
    <mergeCell ref="B87:D87"/>
    <mergeCell ref="E87:Q87"/>
    <mergeCell ref="R87:V87"/>
    <mergeCell ref="W87:AA87"/>
    <mergeCell ref="AB87:AF87"/>
    <mergeCell ref="B88:D88"/>
    <mergeCell ref="E88:Q88"/>
    <mergeCell ref="R88:V88"/>
    <mergeCell ref="W88:AA88"/>
    <mergeCell ref="AB88:AF88"/>
    <mergeCell ref="B89:D89"/>
    <mergeCell ref="E89:Q89"/>
    <mergeCell ref="B90:D90"/>
    <mergeCell ref="E90:Q90"/>
    <mergeCell ref="R90:U90"/>
    <mergeCell ref="W90:Z90"/>
    <mergeCell ref="AB90:AE90"/>
    <mergeCell ref="B91:D91"/>
    <mergeCell ref="E91:Q91"/>
    <mergeCell ref="R91:U91"/>
    <mergeCell ref="W91:Z91"/>
    <mergeCell ref="AB91:AE91"/>
    <mergeCell ref="B92:D92"/>
    <mergeCell ref="E92:Q92"/>
    <mergeCell ref="R92:U92"/>
    <mergeCell ref="W92:Z92"/>
    <mergeCell ref="AB92:AE92"/>
    <mergeCell ref="B93:D93"/>
    <mergeCell ref="E93:Q93"/>
    <mergeCell ref="R93:U93"/>
    <mergeCell ref="W93:Z93"/>
    <mergeCell ref="AB93:AE93"/>
    <mergeCell ref="B94:D94"/>
    <mergeCell ref="E94:Q94"/>
    <mergeCell ref="B95:D95"/>
    <mergeCell ref="E95:Q95"/>
    <mergeCell ref="W95:Z95"/>
    <mergeCell ref="B96:D96"/>
    <mergeCell ref="E96:Q96"/>
    <mergeCell ref="R96:U96"/>
    <mergeCell ref="B97:D97"/>
    <mergeCell ref="E97:Q97"/>
    <mergeCell ref="R97:U97"/>
    <mergeCell ref="W97:Z97"/>
    <mergeCell ref="B98:D98"/>
    <mergeCell ref="E98:Q98"/>
    <mergeCell ref="W98:Z98"/>
    <mergeCell ref="B99:D99"/>
    <mergeCell ref="E99:Q99"/>
    <mergeCell ref="W99:Z99"/>
    <mergeCell ref="B100:D100"/>
    <mergeCell ref="E100:Q100"/>
    <mergeCell ref="W100:Z100"/>
    <mergeCell ref="B101:D101"/>
    <mergeCell ref="E101:Q101"/>
    <mergeCell ref="B102:D102"/>
    <mergeCell ref="E102:Q102"/>
    <mergeCell ref="W102:Z102"/>
    <mergeCell ref="B103:D103"/>
    <mergeCell ref="E103:Q103"/>
    <mergeCell ref="W103:Z103"/>
    <mergeCell ref="B104:D104"/>
    <mergeCell ref="E104:Q104"/>
    <mergeCell ref="W104:Z104"/>
    <mergeCell ref="B105:D105"/>
    <mergeCell ref="E105:Q105"/>
    <mergeCell ref="W105:Z105"/>
    <mergeCell ref="B106:D106"/>
    <mergeCell ref="E106:Q106"/>
    <mergeCell ref="AB106:AE106"/>
    <mergeCell ref="B107:D107"/>
    <mergeCell ref="E107:Q107"/>
    <mergeCell ref="AB107:AE107"/>
    <mergeCell ref="B108:D108"/>
    <mergeCell ref="E108:Q108"/>
    <mergeCell ref="B109:D109"/>
    <mergeCell ref="E109:Q109"/>
    <mergeCell ref="AB109:AE109"/>
    <mergeCell ref="B110:D110"/>
    <mergeCell ref="E110:Q110"/>
    <mergeCell ref="AB110:AE110"/>
    <mergeCell ref="B111:D111"/>
    <mergeCell ref="E111:Q111"/>
    <mergeCell ref="B112:D112"/>
    <mergeCell ref="E112:Q112"/>
    <mergeCell ref="AB112:AE112"/>
    <mergeCell ref="B113:D113"/>
    <mergeCell ref="E113:Q113"/>
    <mergeCell ref="AB113:AE113"/>
    <mergeCell ref="B114:D114"/>
    <mergeCell ref="E114:Q114"/>
    <mergeCell ref="AB114:AE114"/>
    <mergeCell ref="B115:D115"/>
    <mergeCell ref="E115:Q115"/>
    <mergeCell ref="AB115:AE115"/>
    <mergeCell ref="B116:D116"/>
    <mergeCell ref="E116:Q116"/>
    <mergeCell ref="AB116:AE116"/>
  </mergeCells>
  <conditionalFormatting sqref="B1:AG117">
    <cfRule type="cellIs" priority="2" operator="equal" aboveAverage="0" equalAverage="0" bottom="0" percent="0" rank="0" text="" dxfId="0">
      <formula>"✓"</formula>
    </cfRule>
    <cfRule type="cellIs" priority="3" operator="equal" aboveAverage="0" equalAverage="0" bottom="0" percent="0" rank="0" text="" dxfId="1">
      <formula>"✗"</formula>
    </cfRule>
  </conditionalFormatting>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2026-10-01T12:50:00Z</dcterms:created>
  <dc:creator>openpyxl</dc:creator>
  <dc:description/>
  <dc:language>en-US</dc:language>
  <cp:lastModifiedBy/>
  <dcterms:modified xsi:type="dcterms:W3CDTF">2026-10-01T12:50:01Z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