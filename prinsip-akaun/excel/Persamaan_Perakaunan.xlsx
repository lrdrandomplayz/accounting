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a Saya" sheetId="1" state="visible" r:id="rId3"/>
    <sheet name="Contoh" sheetId="2" state="visible" r:id="rId4"/>
    <sheet name="S1" sheetId="3" state="visible" r:id="rId5"/>
    <sheet name="S2" sheetId="4" state="visible" r:id="rId6"/>
    <sheet name="S1 Jawapan" sheetId="5" state="visible" r:id="rId7"/>
    <sheet name="S2 Jawapan" sheetId="6" state="visible" r:id="rId8"/>
  </sheets>
  <definedNames>
    <definedName function="false" hidden="false" localSheetId="0" name="_xlnm.Print_Area" vbProcedure="false">'Baca Saya'!$A$1:$AG$22</definedName>
    <definedName function="false" hidden="false" localSheetId="1" name="_xlnm.Print_Area" vbProcedure="false">Contoh!$A$1:$AG$41</definedName>
    <definedName function="false" hidden="false" localSheetId="2" name="_xlnm.Print_Area" vbProcedure="false">S1!$A$1:$AG$22</definedName>
    <definedName function="false" hidden="false" localSheetId="4" name="_xlnm.Print_Area" vbProcedure="false">'S1 Jawapan'!$A$1:$AG$22</definedName>
    <definedName function="false" hidden="false" localSheetId="3" name="_xlnm.Print_Area" vbProcedure="false">S2!$A$1:$AG$42</definedName>
    <definedName function="false" hidden="false" localSheetId="5" name="_xlnm.Print_Area" vbProcedure="false">'S2 Jawapan'!$A$1:$AG$42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<sst xmlns="http://schemas.openxmlformats.org/spreadsheetml/2006/main" count="184" uniqueCount="104">
  <si>
    <t xml:space="preserve">Persamaan Perakaunan</t>
  </si>
  <si>
    <t xml:space="preserve">Prinsip Akaun. Percuma untuk digunakan dan dikongsi. Bukan untuk dijual.</t>
  </si>
  <si>
    <t xml:space="preserve">Cara menggunakan buku kerja ini</t>
  </si>
  <si>
    <t xml:space="preserve">1. Baca nota dahulu. Kemudian buka tab Contoh (oren): tukar mana-mana angka biru dan lihat jawapan berubah.</t>
  </si>
  <si>
    <t xml:space="preserve">2. Cuba tab soalan (biru). Taip jawapan dalam sel kuning.</t>
  </si>
  <si>
    <t xml:space="preserve">3. Lajur kecil di sebelah setiap sel kuning menunjukkan ✓ (betul) atau ✗ (cuba lagi). Markah anda di bahagian atas.</t>
  </si>
  <si>
    <t xml:space="preserve">4. Tarikh dan butir diberikan supaya helaian dapat menyemak angka anda. Cuba tulis akaun di atas kertas dahulu.</t>
  </si>
  <si>
    <t xml:space="preserve">5. Tab Jawapan (hijau) menunjukkan jawapan penuh dalam format peperiksaan.</t>
  </si>
  <si>
    <t xml:space="preserve">Kunci warna</t>
  </si>
  <si>
    <t xml:space="preserve">Angka biru: maklumat soalan. Guru boleh menukarnya untuk membuat versi baharu.</t>
  </si>
  <si>
    <t xml:space="preserve">Angka hitam: formula. Jangan taip di atasnya.</t>
  </si>
  <si>
    <t xml:space="preserve">Sel kuning: taip jawapan anda di sini (nombor sahaja; 0 jika tiada).</t>
  </si>
  <si>
    <t xml:space="preserve">Sel hijau: jawapan yang betul (tab Jawapan).</t>
  </si>
  <si>
    <t xml:space="preserve">Helaian dalam buku kerja ini</t>
  </si>
  <si>
    <t xml:space="preserve">Helaian</t>
  </si>
  <si>
    <t xml:space="preserve">Kandungan</t>
  </si>
  <si>
    <t xml:space="preserve">Contoh</t>
  </si>
  <si>
    <t xml:space="preserve">Contoh (tab oren)</t>
  </si>
  <si>
    <t xml:space="preserve">S1</t>
  </si>
  <si>
    <t xml:space="preserve">Soalan 1 (Kertas 2): Kesan urus niaga [10 markah]. Jawapan: S1 Jawapan (tab hijau).</t>
  </si>
  <si>
    <t xml:space="preserve">S2</t>
  </si>
  <si>
    <t xml:space="preserve">Soalan 2 (Kertas 2): Pengiraan persamaan perakaunan [8 markah]. Jawapan: S2 Jawapan (tab hijau).</t>
  </si>
  <si>
    <t xml:space="preserve">Contoh. Tukar mana-mana angka biru dan semua jawapan di bawah akan dikemas kini.</t>
  </si>
  <si>
    <t xml:space="preserve">Angka hitam ialah formula. Jangan taip di atasnya.</t>
  </si>
  <si>
    <t xml:space="preserve">Contoh: Perniagaan Aiman, Januari 2025. Setiap urus niaga memberi kesan kepada sekurang-kurangnya dua item, tetapi Aset = Liabiliti + Ekuiti Pemilik sentiasa seimbang.</t>
  </si>
  <si>
    <t xml:space="preserve">Urus niaga</t>
  </si>
  <si>
    <t xml:space="preserve">Tunai</t>
  </si>
  <si>
    <t xml:space="preserve">Bank</t>
  </si>
  <si>
    <t xml:space="preserve">Inventori</t>
  </si>
  <si>
    <t xml:space="preserve">Perabot</t>
  </si>
  <si>
    <t xml:space="preserve">Akaun Belum Terima</t>
  </si>
  <si>
    <t xml:space="preserve">Akaun Belum Bayar</t>
  </si>
  <si>
    <t xml:space="preserve">Pinjaman</t>
  </si>
  <si>
    <t xml:space="preserve">Ekuiti Pemilik</t>
  </si>
  <si>
    <t xml:space="preserve">1. Memulakan perniagaan: RM20 000 ke bank dan RM2 000 tunai</t>
  </si>
  <si>
    <t xml:space="preserve">2. Membeli perabot dengan cek RM3 000</t>
  </si>
  <si>
    <t xml:space="preserve">3. Membeli barang niaga secara kredit daripada Kedai Siti RM5 000</t>
  </si>
  <si>
    <t xml:space="preserve">4. Menjual barang niaga berkos RM2 000 secara kredit kepada Encik Lim, RM3 200</t>
  </si>
  <si>
    <t xml:space="preserve">5. Menerima pinjaman bank RM10 000</t>
  </si>
  <si>
    <t xml:space="preserve">6. Membayar sewa kedai secara tunai RM800</t>
  </si>
  <si>
    <t xml:space="preserve">7. Menerima cek RM3 000 daripada Encik Lim</t>
  </si>
  <si>
    <t xml:space="preserve">8. Membayar Kedai Siti dengan cek RM4 800 dan menerima diskaun RM200</t>
  </si>
  <si>
    <t xml:space="preserve">9. Pemilik mengambil tunai RM500 untuk kegunaan sendiri</t>
  </si>
  <si>
    <t xml:space="preserve">10. Pemilik menambah modal: RM5 000 dimasukkan ke bank</t>
  </si>
  <si>
    <t xml:space="preserve">Baki akhir</t>
  </si>
  <si>
    <t xml:space="preserve">Aset: Tunai hingga Akaun Belum Terima. Liabiliti: Akaun Belum Bayar dan Pinjaman. Angka negatif bermaksud berkurang.</t>
  </si>
  <si>
    <t xml:space="preserve">Jumlah Aset (RM)</t>
  </si>
  <si>
    <t xml:space="preserve">Jumlah Liabiliti + Ekuiti Pemilik (RM)</t>
  </si>
  <si>
    <t xml:space="preserve">Perbezaan (mesti 0)</t>
  </si>
  <si>
    <t xml:space="preserve">Penyata Kedudukan Kewangan Perniagaan Aiman pada 31 Januari 2025</t>
  </si>
  <si>
    <t xml:space="preserve">Perniagaan Aiman</t>
  </si>
  <si>
    <t xml:space="preserve">Penyata Kedudukan Kewangan pada 31 Januari 2025</t>
  </si>
  <si>
    <t xml:space="preserve">Butir</t>
  </si>
  <si>
    <t xml:space="preserve">RM</t>
  </si>
  <si>
    <t xml:space="preserve">Aset</t>
  </si>
  <si>
    <t xml:space="preserve">Jumlah Aset</t>
  </si>
  <si>
    <t xml:space="preserve">Liabiliti</t>
  </si>
  <si>
    <t xml:space="preserve">Pinjaman bank</t>
  </si>
  <si>
    <t xml:space="preserve">Jumlah Liabiliti</t>
  </si>
  <si>
    <t xml:space="preserve">Jumlah Liabiliti dan Ekuiti Pemilik</t>
  </si>
  <si>
    <t xml:space="preserve">Soalan 1 (Kertas 2): Kesan urus niaga [10 markah]</t>
  </si>
  <si>
    <t xml:space="preserve">Taip jawapan anda dalam sel kuning. Nombor sahaja: tanpa RM, tanpa koma. Masukkan 0 jika tiada jawapan. Gunakan tanda tolak (-) untuk pengurangan. ✓ = betul, ✗ = cuba lagi.</t>
  </si>
  <si>
    <t xml:space="preserve">Markah anda:</t>
  </si>
  <si>
    <t xml:space="preserve">Perniagaan Nurul memulakan operasi pada 1 Mac 2025. Urus niaga berikut berlaku pada bulan Mac 2025.</t>
  </si>
  <si>
    <t xml:space="preserve">(a) Lengkapkan jadual berikut untuk menunjukkan kesan bersih setiap urus niaga ke atas Aset, Liabiliti dan Ekuiti Pemilik. Gunakan + untuk bertambah, - untuk berkurang dan 0 jika tiada kesan. [8 markah]</t>
  </si>
  <si>
    <t xml:space="preserve">Aset (RM)</t>
  </si>
  <si>
    <t xml:space="preserve">Liabiliti (RM)</t>
  </si>
  <si>
    <t xml:space="preserve">Ekuiti Pemilik (RM)</t>
  </si>
  <si>
    <t xml:space="preserve">1. Nurul memulakan perniagaan dengan RM15 000 di bank dan sebuah kenderaan bernilai RM25 000.</t>
  </si>
  <si>
    <t xml:space="preserve">2. Membeli barang niaga secara kredit RM3 600 daripada Syarikat Bina.</t>
  </si>
  <si>
    <t xml:space="preserve">3. Membeli mesin RM6 000. RM2 000 dibayar dengan cek dan bakinya secara kredit.</t>
  </si>
  <si>
    <t xml:space="preserve">4. Menjual barang niaga berkos RM1 500 secara tunai dengan harga RM2 300.</t>
  </si>
  <si>
    <t xml:space="preserve">5. Membayar gaji pekerja RM900 dengan cek.</t>
  </si>
  <si>
    <t xml:space="preserve">6. Membayar Syarikat Bina RM3 400 dengan cek dan menerima diskaun RM200.</t>
  </si>
  <si>
    <t xml:space="preserve">7. Pemilik mengambil barang niaga berkos RM300 untuk kegunaan sendiri.</t>
  </si>
  <si>
    <t xml:space="preserve">8. Menerima komisen RM450 secara tunai.</t>
  </si>
  <si>
    <t xml:space="preserve">(b) Hitung jumlah Aset, Liabiliti dan Ekuiti Pemilik pada 31 Mac 2025. [2 markah]</t>
  </si>
  <si>
    <t xml:space="preserve">Jumlah Liabiliti (RM)</t>
  </si>
  <si>
    <t xml:space="preserve">Soalan 2 (Kertas 2): Pengiraan persamaan perakaunan [8 markah]</t>
  </si>
  <si>
    <t xml:space="preserve">Jawab semua bahagian. Tunjukkan jalan kira.</t>
  </si>
  <si>
    <t xml:space="preserve">(a) Aset sebuah perniagaan berjumlah RM96 500 dan liabilitinya RM31 200. Hitung ekuiti pemilik. [1 markah]</t>
  </si>
  <si>
    <t xml:space="preserve">Maklumat soalan</t>
  </si>
  <si>
    <t xml:space="preserve">Angka</t>
  </si>
  <si>
    <t xml:space="preserve">Ekuiti pemilik (RM)</t>
  </si>
  <si>
    <t xml:space="preserve">(b) Maklumat berikut diperoleh daripada Perniagaan Hafiz bagi tahun berakhir 31 Disember 2025. Hitung untung bersih dan ekuiti pemilik pada 31 Disember 2025. [3 markah]</t>
  </si>
  <si>
    <t xml:space="preserve">Modal pada 1 Januari 2025 (RM)</t>
  </si>
  <si>
    <t xml:space="preserve">Modal tambahan (RM)</t>
  </si>
  <si>
    <t xml:space="preserve">Hasil (RM)</t>
  </si>
  <si>
    <t xml:space="preserve">Belanja (RM)</t>
  </si>
  <si>
    <t xml:space="preserve">Ambilan (RM)</t>
  </si>
  <si>
    <t xml:space="preserve">Untung bersih (RM)</t>
  </si>
  <si>
    <t xml:space="preserve">Ekuiti pemilik pada 31 Disember 2025 (RM)</t>
  </si>
  <si>
    <t xml:space="preserve">(c) Liabiliti Perniagaan Hafiz pada 31 Disember 2025 ialah RM18 300. Hitung jumlah aset. [1 markah]</t>
  </si>
  <si>
    <t xml:space="preserve">Jumlah aset (RM)</t>
  </si>
  <si>
    <t xml:space="preserve">(d) Baki berikut diambil daripada buku Kedai Ros. Hitung baki tunai. [3 markah]</t>
  </si>
  <si>
    <t xml:space="preserve">Bank (RM)</t>
  </si>
  <si>
    <t xml:space="preserve">Inventori (RM)</t>
  </si>
  <si>
    <t xml:space="preserve">Kenderaan (RM)</t>
  </si>
  <si>
    <t xml:space="preserve">Akaun Belum Terima (RM)</t>
  </si>
  <si>
    <t xml:space="preserve">Baki tunai (RM)</t>
  </si>
  <si>
    <t xml:space="preserve">Soalan 1 (Kertas 2): Kesan urus niaga [10 markah]: Jawapan</t>
  </si>
  <si>
    <t xml:space="preserve">Helaian jawapan. Sel hijau mengandungi jawapan yang betul. Setiap angka ialah formula yang dipautkan kepada helaian soalan.</t>
  </si>
  <si>
    <t xml:space="preserve">Jawapan bertulis ialah jawapan contoh: perkataan lain yang membawa maksud yang sama juga diterima.</t>
  </si>
  <si>
    <t xml:space="preserve">Soalan 2 (Kertas 2): Pengiraan persamaan perakaunan [8 markah]: Jawapan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</si>
</sst>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F2F2F2"/>
        <bgColor rgb="FFE2EFDA"/>
      </patternFill>
    </fill>
    <fill>
      <patternFill patternType="solid">
        <fgColor rgb="FFFFF59D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/>
      <bottom style="double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B050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AF2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6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customFormat="false" ht="18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customFormat="false" ht="16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6.5" hidden="false" customHeight="true" outlineLevel="0" collapsed="false">
      <c r="B6" s="4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customFormat="false" ht="16.5" hidden="false" customHeight="true" outlineLevel="0" collapsed="false">
      <c r="B7" s="4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6.5" hidden="false" customHeight="true" outlineLevel="0" collapsed="false">
      <c r="B8" s="4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6.5" hidden="false" customHeight="true" outlineLevel="0" collapsed="false">
      <c r="B9" s="4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1" customFormat="false" ht="18.75" hidden="false" customHeight="true" outlineLevel="0" collapsed="false">
      <c r="B11" s="3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customFormat="false" ht="15" hidden="false" customHeight="false" outlineLevel="0" collapsed="false">
      <c r="B12" s="5" t="n">
        <v>1000</v>
      </c>
      <c r="C12" s="5"/>
      <c r="D12" s="5"/>
      <c r="E12" s="5"/>
      <c r="F12" s="5"/>
      <c r="H12" s="6" t="s">
        <v>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customFormat="false" ht="15" hidden="false" customHeight="false" outlineLevel="0" collapsed="false">
      <c r="B13" s="7" t="n">
        <v>1000</v>
      </c>
      <c r="C13" s="7"/>
      <c r="D13" s="7"/>
      <c r="E13" s="7"/>
      <c r="F13" s="7"/>
      <c r="H13" s="6" t="s">
        <v>10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customFormat="false" ht="15" hidden="false" customHeight="false" outlineLevel="0" collapsed="false">
      <c r="B14" s="8"/>
      <c r="C14" s="8"/>
      <c r="D14" s="8"/>
      <c r="E14" s="8"/>
      <c r="F14" s="8"/>
      <c r="H14" s="6" t="s">
        <v>11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customFormat="false" ht="15" hidden="false" customHeight="false" outlineLevel="0" collapsed="false">
      <c r="B15" s="9" t="n">
        <v>1000</v>
      </c>
      <c r="C15" s="9"/>
      <c r="D15" s="9"/>
      <c r="E15" s="9"/>
      <c r="F15" s="9"/>
      <c r="H15" s="6" t="s">
        <v>12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7" customFormat="false" ht="18.75" hidden="false" customHeight="true" outlineLevel="0" collapsed="false">
      <c r="B17" s="3" t="s">
        <v>13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customFormat="false" ht="17.25" hidden="false" customHeight="true" outlineLevel="0" collapsed="false">
      <c r="B18" s="10" t="s">
        <v>14</v>
      </c>
      <c r="C18" s="10"/>
      <c r="D18" s="10"/>
      <c r="E18" s="10"/>
      <c r="F18" s="10"/>
      <c r="G18" s="10"/>
      <c r="H18" s="10"/>
      <c r="I18" s="11" t="s">
        <v>15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customFormat="false" ht="17.25" hidden="false" customHeight="true" outlineLevel="0" collapsed="false">
      <c r="B19" s="12" t="s">
        <v>16</v>
      </c>
      <c r="C19" s="12"/>
      <c r="D19" s="12"/>
      <c r="E19" s="12"/>
      <c r="F19" s="12"/>
      <c r="G19" s="12"/>
      <c r="H19" s="12"/>
      <c r="I19" s="13" t="s">
        <v>17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customFormat="false" ht="17.25" hidden="false" customHeight="true" outlineLevel="0" collapsed="false">
      <c r="B20" s="12" t="s">
        <v>18</v>
      </c>
      <c r="C20" s="12"/>
      <c r="D20" s="12"/>
      <c r="E20" s="12"/>
      <c r="F20" s="12"/>
      <c r="G20" s="12"/>
      <c r="H20" s="12"/>
      <c r="I20" s="13" t="s">
        <v>19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customFormat="false" ht="17.25" hidden="false" customHeight="true" outlineLevel="0" collapsed="false">
      <c r="B21" s="12" t="s">
        <v>20</v>
      </c>
      <c r="C21" s="12"/>
      <c r="D21" s="12"/>
      <c r="E21" s="12"/>
      <c r="F21" s="12"/>
      <c r="G21" s="12"/>
      <c r="H21" s="12"/>
      <c r="I21" s="13" t="s">
        <v>21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</sheetData>
  <mergeCells count="26">
    <mergeCell ref="B1:AF1"/>
    <mergeCell ref="B2:AF2"/>
    <mergeCell ref="B4:AF4"/>
    <mergeCell ref="B5:AF5"/>
    <mergeCell ref="B6:AF6"/>
    <mergeCell ref="B7:AF7"/>
    <mergeCell ref="B8:AF8"/>
    <mergeCell ref="B9:AF9"/>
    <mergeCell ref="B11:AF11"/>
    <mergeCell ref="B12:F12"/>
    <mergeCell ref="H12:AF12"/>
    <mergeCell ref="B13:F13"/>
    <mergeCell ref="H13:AF13"/>
    <mergeCell ref="B14:F14"/>
    <mergeCell ref="H14:AF14"/>
    <mergeCell ref="B15:F15"/>
    <mergeCell ref="H15:AF15"/>
    <mergeCell ref="B17:AF17"/>
    <mergeCell ref="B18:H18"/>
    <mergeCell ref="I18:AF18"/>
    <mergeCell ref="B19:H19"/>
    <mergeCell ref="I19:AF19"/>
    <mergeCell ref="B20:H20"/>
    <mergeCell ref="I20:AF20"/>
    <mergeCell ref="B21:H21"/>
    <mergeCell ref="I21:AF21"/>
  </mergeCells>
  <conditionalFormatting sqref="B1:AG2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B1:AF4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22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23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16.5" hidden="false" customHeight="true" outlineLevel="0" collapsed="false">
      <c r="B5" s="4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30.75" hidden="false" customHeight="true" outlineLevel="0" collapsed="false">
      <c r="B6" s="10" t="s">
        <v>25</v>
      </c>
      <c r="C6" s="10"/>
      <c r="D6" s="10"/>
      <c r="E6" s="10"/>
      <c r="F6" s="10"/>
      <c r="G6" s="10"/>
      <c r="H6" s="10"/>
      <c r="I6" s="11" t="s">
        <v>26</v>
      </c>
      <c r="J6" s="11"/>
      <c r="K6" s="11"/>
      <c r="L6" s="11" t="s">
        <v>27</v>
      </c>
      <c r="M6" s="11"/>
      <c r="N6" s="11"/>
      <c r="O6" s="11" t="s">
        <v>28</v>
      </c>
      <c r="P6" s="11"/>
      <c r="Q6" s="11"/>
      <c r="R6" s="11" t="s">
        <v>29</v>
      </c>
      <c r="S6" s="11"/>
      <c r="T6" s="11"/>
      <c r="U6" s="11" t="s">
        <v>30</v>
      </c>
      <c r="V6" s="11"/>
      <c r="W6" s="11"/>
      <c r="X6" s="11" t="s">
        <v>31</v>
      </c>
      <c r="Y6" s="11"/>
      <c r="Z6" s="11"/>
      <c r="AA6" s="11" t="s">
        <v>32</v>
      </c>
      <c r="AB6" s="11"/>
      <c r="AC6" s="11"/>
      <c r="AD6" s="11" t="s">
        <v>33</v>
      </c>
      <c r="AE6" s="11"/>
      <c r="AF6" s="11"/>
    </row>
    <row r="7" customFormat="false" ht="30.75" hidden="false" customHeight="true" outlineLevel="0" collapsed="false">
      <c r="B7" s="12" t="s">
        <v>34</v>
      </c>
      <c r="C7" s="12"/>
      <c r="D7" s="12"/>
      <c r="E7" s="12"/>
      <c r="F7" s="12"/>
      <c r="G7" s="12"/>
      <c r="H7" s="12"/>
      <c r="I7" s="15" t="n">
        <v>2000</v>
      </c>
      <c r="J7" s="15"/>
      <c r="K7" s="15"/>
      <c r="L7" s="15" t="n">
        <v>20000</v>
      </c>
      <c r="M7" s="15"/>
      <c r="N7" s="15"/>
      <c r="O7" s="15" t="n">
        <v>0</v>
      </c>
      <c r="P7" s="15"/>
      <c r="Q7" s="15"/>
      <c r="R7" s="15" t="n">
        <v>0</v>
      </c>
      <c r="S7" s="15"/>
      <c r="T7" s="15"/>
      <c r="U7" s="15" t="n">
        <v>0</v>
      </c>
      <c r="V7" s="15"/>
      <c r="W7" s="15"/>
      <c r="X7" s="15" t="n">
        <v>0</v>
      </c>
      <c r="Y7" s="15"/>
      <c r="Z7" s="15"/>
      <c r="AA7" s="15" t="n">
        <v>0</v>
      </c>
      <c r="AB7" s="15"/>
      <c r="AC7" s="15"/>
      <c r="AD7" s="15" t="n">
        <v>22000</v>
      </c>
      <c r="AE7" s="15"/>
      <c r="AF7" s="15"/>
    </row>
    <row r="8" customFormat="false" ht="17.25" hidden="false" customHeight="true" outlineLevel="0" collapsed="false">
      <c r="B8" s="12" t="s">
        <v>35</v>
      </c>
      <c r="C8" s="12"/>
      <c r="D8" s="12"/>
      <c r="E8" s="12"/>
      <c r="F8" s="12"/>
      <c r="G8" s="12"/>
      <c r="H8" s="12"/>
      <c r="I8" s="15" t="n">
        <v>0</v>
      </c>
      <c r="J8" s="15"/>
      <c r="K8" s="15"/>
      <c r="L8" s="15" t="n">
        <v>-3000</v>
      </c>
      <c r="M8" s="15"/>
      <c r="N8" s="15"/>
      <c r="O8" s="15" t="n">
        <v>0</v>
      </c>
      <c r="P8" s="15"/>
      <c r="Q8" s="15"/>
      <c r="R8" s="15" t="n">
        <v>3000</v>
      </c>
      <c r="S8" s="15"/>
      <c r="T8" s="15"/>
      <c r="U8" s="15" t="n">
        <v>0</v>
      </c>
      <c r="V8" s="15"/>
      <c r="W8" s="15"/>
      <c r="X8" s="15" t="n">
        <v>0</v>
      </c>
      <c r="Y8" s="15"/>
      <c r="Z8" s="15"/>
      <c r="AA8" s="15" t="n">
        <v>0</v>
      </c>
      <c r="AB8" s="15"/>
      <c r="AC8" s="15"/>
      <c r="AD8" s="15" t="n">
        <v>0</v>
      </c>
      <c r="AE8" s="15"/>
      <c r="AF8" s="15"/>
    </row>
    <row r="9" customFormat="false" ht="30.75" hidden="false" customHeight="true" outlineLevel="0" collapsed="false">
      <c r="B9" s="12" t="s">
        <v>36</v>
      </c>
      <c r="C9" s="12"/>
      <c r="D9" s="12"/>
      <c r="E9" s="12"/>
      <c r="F9" s="12"/>
      <c r="G9" s="12"/>
      <c r="H9" s="12"/>
      <c r="I9" s="15" t="n">
        <v>0</v>
      </c>
      <c r="J9" s="15"/>
      <c r="K9" s="15"/>
      <c r="L9" s="15" t="n">
        <v>0</v>
      </c>
      <c r="M9" s="15"/>
      <c r="N9" s="15"/>
      <c r="O9" s="15" t="n">
        <v>5000</v>
      </c>
      <c r="P9" s="15"/>
      <c r="Q9" s="15"/>
      <c r="R9" s="15" t="n">
        <v>0</v>
      </c>
      <c r="S9" s="15"/>
      <c r="T9" s="15"/>
      <c r="U9" s="15" t="n">
        <v>0</v>
      </c>
      <c r="V9" s="15"/>
      <c r="W9" s="15"/>
      <c r="X9" s="15" t="n">
        <v>5000</v>
      </c>
      <c r="Y9" s="15"/>
      <c r="Z9" s="15"/>
      <c r="AA9" s="15" t="n">
        <v>0</v>
      </c>
      <c r="AB9" s="15"/>
      <c r="AC9" s="15"/>
      <c r="AD9" s="15" t="n">
        <v>0</v>
      </c>
      <c r="AE9" s="15"/>
      <c r="AF9" s="15"/>
    </row>
    <row r="10" customFormat="false" ht="44.25" hidden="false" customHeight="true" outlineLevel="0" collapsed="false">
      <c r="B10" s="12" t="s">
        <v>37</v>
      </c>
      <c r="C10" s="12"/>
      <c r="D10" s="12"/>
      <c r="E10" s="12"/>
      <c r="F10" s="12"/>
      <c r="G10" s="12"/>
      <c r="H10" s="12"/>
      <c r="I10" s="15" t="n">
        <v>0</v>
      </c>
      <c r="J10" s="15"/>
      <c r="K10" s="15"/>
      <c r="L10" s="15" t="n">
        <v>0</v>
      </c>
      <c r="M10" s="15"/>
      <c r="N10" s="15"/>
      <c r="O10" s="15" t="n">
        <v>-2000</v>
      </c>
      <c r="P10" s="15"/>
      <c r="Q10" s="15"/>
      <c r="R10" s="15" t="n">
        <v>0</v>
      </c>
      <c r="S10" s="15"/>
      <c r="T10" s="15"/>
      <c r="U10" s="15" t="n">
        <v>3200</v>
      </c>
      <c r="V10" s="15"/>
      <c r="W10" s="15"/>
      <c r="X10" s="15" t="n">
        <v>0</v>
      </c>
      <c r="Y10" s="15"/>
      <c r="Z10" s="15"/>
      <c r="AA10" s="15" t="n">
        <v>0</v>
      </c>
      <c r="AB10" s="15"/>
      <c r="AC10" s="15"/>
      <c r="AD10" s="15" t="n">
        <v>1200</v>
      </c>
      <c r="AE10" s="15"/>
      <c r="AF10" s="15"/>
    </row>
    <row r="11" customFormat="false" ht="17.25" hidden="false" customHeight="true" outlineLevel="0" collapsed="false">
      <c r="B11" s="12" t="s">
        <v>38</v>
      </c>
      <c r="C11" s="12"/>
      <c r="D11" s="12"/>
      <c r="E11" s="12"/>
      <c r="F11" s="12"/>
      <c r="G11" s="12"/>
      <c r="H11" s="12"/>
      <c r="I11" s="15" t="n">
        <v>0</v>
      </c>
      <c r="J11" s="15"/>
      <c r="K11" s="15"/>
      <c r="L11" s="15" t="n">
        <v>10000</v>
      </c>
      <c r="M11" s="15"/>
      <c r="N11" s="15"/>
      <c r="O11" s="15" t="n">
        <v>0</v>
      </c>
      <c r="P11" s="15"/>
      <c r="Q11" s="15"/>
      <c r="R11" s="15" t="n">
        <v>0</v>
      </c>
      <c r="S11" s="15"/>
      <c r="T11" s="15"/>
      <c r="U11" s="15" t="n">
        <v>0</v>
      </c>
      <c r="V11" s="15"/>
      <c r="W11" s="15"/>
      <c r="X11" s="15" t="n">
        <v>0</v>
      </c>
      <c r="Y11" s="15"/>
      <c r="Z11" s="15"/>
      <c r="AA11" s="15" t="n">
        <v>10000</v>
      </c>
      <c r="AB11" s="15"/>
      <c r="AC11" s="15"/>
      <c r="AD11" s="15" t="n">
        <v>0</v>
      </c>
      <c r="AE11" s="15"/>
      <c r="AF11" s="15"/>
    </row>
    <row r="12" customFormat="false" ht="30.75" hidden="false" customHeight="true" outlineLevel="0" collapsed="false">
      <c r="B12" s="12" t="s">
        <v>39</v>
      </c>
      <c r="C12" s="12"/>
      <c r="D12" s="12"/>
      <c r="E12" s="12"/>
      <c r="F12" s="12"/>
      <c r="G12" s="12"/>
      <c r="H12" s="12"/>
      <c r="I12" s="15" t="n">
        <v>-800</v>
      </c>
      <c r="J12" s="15"/>
      <c r="K12" s="15"/>
      <c r="L12" s="15" t="n">
        <v>0</v>
      </c>
      <c r="M12" s="15"/>
      <c r="N12" s="15"/>
      <c r="O12" s="15" t="n">
        <v>0</v>
      </c>
      <c r="P12" s="15"/>
      <c r="Q12" s="15"/>
      <c r="R12" s="15" t="n">
        <v>0</v>
      </c>
      <c r="S12" s="15"/>
      <c r="T12" s="15"/>
      <c r="U12" s="15" t="n">
        <v>0</v>
      </c>
      <c r="V12" s="15"/>
      <c r="W12" s="15"/>
      <c r="X12" s="15" t="n">
        <v>0</v>
      </c>
      <c r="Y12" s="15"/>
      <c r="Z12" s="15"/>
      <c r="AA12" s="15" t="n">
        <v>0</v>
      </c>
      <c r="AB12" s="15"/>
      <c r="AC12" s="15"/>
      <c r="AD12" s="15" t="n">
        <v>-800</v>
      </c>
      <c r="AE12" s="15"/>
      <c r="AF12" s="15"/>
    </row>
    <row r="13" customFormat="false" ht="30.75" hidden="false" customHeight="true" outlineLevel="0" collapsed="false">
      <c r="B13" s="12" t="s">
        <v>40</v>
      </c>
      <c r="C13" s="12"/>
      <c r="D13" s="12"/>
      <c r="E13" s="12"/>
      <c r="F13" s="12"/>
      <c r="G13" s="12"/>
      <c r="H13" s="12"/>
      <c r="I13" s="15" t="n">
        <v>0</v>
      </c>
      <c r="J13" s="15"/>
      <c r="K13" s="15"/>
      <c r="L13" s="15" t="n">
        <v>3000</v>
      </c>
      <c r="M13" s="15"/>
      <c r="N13" s="15"/>
      <c r="O13" s="15" t="n">
        <v>0</v>
      </c>
      <c r="P13" s="15"/>
      <c r="Q13" s="15"/>
      <c r="R13" s="15" t="n">
        <v>0</v>
      </c>
      <c r="S13" s="15"/>
      <c r="T13" s="15"/>
      <c r="U13" s="15" t="n">
        <v>-3000</v>
      </c>
      <c r="V13" s="15"/>
      <c r="W13" s="15"/>
      <c r="X13" s="15" t="n">
        <v>0</v>
      </c>
      <c r="Y13" s="15"/>
      <c r="Z13" s="15"/>
      <c r="AA13" s="15" t="n">
        <v>0</v>
      </c>
      <c r="AB13" s="15"/>
      <c r="AC13" s="15"/>
      <c r="AD13" s="15" t="n">
        <v>0</v>
      </c>
      <c r="AE13" s="15"/>
      <c r="AF13" s="15"/>
    </row>
    <row r="14" customFormat="false" ht="30.75" hidden="false" customHeight="true" outlineLevel="0" collapsed="false">
      <c r="B14" s="12" t="s">
        <v>41</v>
      </c>
      <c r="C14" s="12"/>
      <c r="D14" s="12"/>
      <c r="E14" s="12"/>
      <c r="F14" s="12"/>
      <c r="G14" s="12"/>
      <c r="H14" s="12"/>
      <c r="I14" s="15" t="n">
        <v>0</v>
      </c>
      <c r="J14" s="15"/>
      <c r="K14" s="15"/>
      <c r="L14" s="15" t="n">
        <v>-4800</v>
      </c>
      <c r="M14" s="15"/>
      <c r="N14" s="15"/>
      <c r="O14" s="15" t="n">
        <v>0</v>
      </c>
      <c r="P14" s="15"/>
      <c r="Q14" s="15"/>
      <c r="R14" s="15" t="n">
        <v>0</v>
      </c>
      <c r="S14" s="15"/>
      <c r="T14" s="15"/>
      <c r="U14" s="15" t="n">
        <v>0</v>
      </c>
      <c r="V14" s="15"/>
      <c r="W14" s="15"/>
      <c r="X14" s="15" t="n">
        <v>-5000</v>
      </c>
      <c r="Y14" s="15"/>
      <c r="Z14" s="15"/>
      <c r="AA14" s="15" t="n">
        <v>0</v>
      </c>
      <c r="AB14" s="15"/>
      <c r="AC14" s="15"/>
      <c r="AD14" s="15" t="n">
        <v>200</v>
      </c>
      <c r="AE14" s="15"/>
      <c r="AF14" s="15"/>
    </row>
    <row r="15" customFormat="false" ht="30.75" hidden="false" customHeight="true" outlineLevel="0" collapsed="false">
      <c r="B15" s="12" t="s">
        <v>42</v>
      </c>
      <c r="C15" s="12"/>
      <c r="D15" s="12"/>
      <c r="E15" s="12"/>
      <c r="F15" s="12"/>
      <c r="G15" s="12"/>
      <c r="H15" s="12"/>
      <c r="I15" s="15" t="n">
        <v>-500</v>
      </c>
      <c r="J15" s="15"/>
      <c r="K15" s="15"/>
      <c r="L15" s="15" t="n">
        <v>0</v>
      </c>
      <c r="M15" s="15"/>
      <c r="N15" s="15"/>
      <c r="O15" s="15" t="n">
        <v>0</v>
      </c>
      <c r="P15" s="15"/>
      <c r="Q15" s="15"/>
      <c r="R15" s="15" t="n">
        <v>0</v>
      </c>
      <c r="S15" s="15"/>
      <c r="T15" s="15"/>
      <c r="U15" s="15" t="n">
        <v>0</v>
      </c>
      <c r="V15" s="15"/>
      <c r="W15" s="15"/>
      <c r="X15" s="15" t="n">
        <v>0</v>
      </c>
      <c r="Y15" s="15"/>
      <c r="Z15" s="15"/>
      <c r="AA15" s="15" t="n">
        <v>0</v>
      </c>
      <c r="AB15" s="15"/>
      <c r="AC15" s="15"/>
      <c r="AD15" s="15" t="n">
        <v>-500</v>
      </c>
      <c r="AE15" s="15"/>
      <c r="AF15" s="15"/>
    </row>
    <row r="16" customFormat="false" ht="30.75" hidden="false" customHeight="true" outlineLevel="0" collapsed="false">
      <c r="B16" s="12" t="s">
        <v>43</v>
      </c>
      <c r="C16" s="12"/>
      <c r="D16" s="12"/>
      <c r="E16" s="12"/>
      <c r="F16" s="12"/>
      <c r="G16" s="12"/>
      <c r="H16" s="12"/>
      <c r="I16" s="15" t="n">
        <v>0</v>
      </c>
      <c r="J16" s="15"/>
      <c r="K16" s="15"/>
      <c r="L16" s="15" t="n">
        <v>5000</v>
      </c>
      <c r="M16" s="15"/>
      <c r="N16" s="15"/>
      <c r="O16" s="15" t="n">
        <v>0</v>
      </c>
      <c r="P16" s="15"/>
      <c r="Q16" s="15"/>
      <c r="R16" s="15" t="n">
        <v>0</v>
      </c>
      <c r="S16" s="15"/>
      <c r="T16" s="15"/>
      <c r="U16" s="15" t="n">
        <v>0</v>
      </c>
      <c r="V16" s="15"/>
      <c r="W16" s="15"/>
      <c r="X16" s="15" t="n">
        <v>0</v>
      </c>
      <c r="Y16" s="15"/>
      <c r="Z16" s="15"/>
      <c r="AA16" s="15" t="n">
        <v>0</v>
      </c>
      <c r="AB16" s="15"/>
      <c r="AC16" s="15"/>
      <c r="AD16" s="15" t="n">
        <v>5000</v>
      </c>
      <c r="AE16" s="15"/>
      <c r="AF16" s="15"/>
    </row>
    <row r="17" customFormat="false" ht="17.25" hidden="false" customHeight="true" outlineLevel="0" collapsed="false">
      <c r="B17" s="16" t="s">
        <v>44</v>
      </c>
      <c r="C17" s="16"/>
      <c r="D17" s="16"/>
      <c r="E17" s="16"/>
      <c r="F17" s="16"/>
      <c r="G17" s="16"/>
      <c r="H17" s="16"/>
      <c r="I17" s="17" t="n">
        <f aca="false">$I$7+$I$8+$I$9+$I$10+$I$11+$I$12+$I$13+$I$14+$I$15+$I$16</f>
        <v>700</v>
      </c>
      <c r="J17" s="17"/>
      <c r="K17" s="17"/>
      <c r="L17" s="17" t="n">
        <f aca="false">$L$7+$L$8+$L$9+$L$10+$L$11+$L$12+$L$13+$L$14+$L$15+$L$16</f>
        <v>30200</v>
      </c>
      <c r="M17" s="17"/>
      <c r="N17" s="17"/>
      <c r="O17" s="17" t="n">
        <f aca="false">$O$7+$O$8+$O$9+$O$10+$O$11+$O$12+$O$13+$O$14+$O$15+$O$16</f>
        <v>3000</v>
      </c>
      <c r="P17" s="17"/>
      <c r="Q17" s="17"/>
      <c r="R17" s="17" t="n">
        <f aca="false">$R$7+$R$8+$R$9+$R$10+$R$11+$R$12+$R$13+$R$14+$R$15+$R$16</f>
        <v>3000</v>
      </c>
      <c r="S17" s="17"/>
      <c r="T17" s="17"/>
      <c r="U17" s="17" t="n">
        <f aca="false">$U$7+$U$8+$U$9+$U$10+$U$11+$U$12+$U$13+$U$14+$U$15+$U$16</f>
        <v>200</v>
      </c>
      <c r="V17" s="17"/>
      <c r="W17" s="17"/>
      <c r="X17" s="17" t="n">
        <f aca="false">$X$7+$X$8+$X$9+$X$10+$X$11+$X$12+$X$13+$X$14+$X$15+$X$16</f>
        <v>0</v>
      </c>
      <c r="Y17" s="17"/>
      <c r="Z17" s="17"/>
      <c r="AA17" s="17" t="n">
        <f aca="false">$AA$7+$AA$8+$AA$9+$AA$10+$AA$11+$AA$12+$AA$13+$AA$14+$AA$15+$AA$16</f>
        <v>10000</v>
      </c>
      <c r="AB17" s="17"/>
      <c r="AC17" s="17"/>
      <c r="AD17" s="17" t="n">
        <f aca="false">$AD$7+$AD$8+$AD$9+$AD$10+$AD$11+$AD$12+$AD$13+$AD$14+$AD$15+$AD$16</f>
        <v>27100</v>
      </c>
      <c r="AE17" s="17"/>
      <c r="AF17" s="17"/>
    </row>
    <row r="18" customFormat="false" ht="16.5" hidden="false" customHeight="true" outlineLevel="0" collapsed="false">
      <c r="B18" s="2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20" customFormat="false" ht="17.25" hidden="false" customHeight="true" outlineLevel="0" collapsed="false">
      <c r="B20" s="18" t="s">
        <v>46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7" t="n">
        <f aca="false">$I$17+$L$17+$O$17+$R$17+$U$17</f>
        <v>37100</v>
      </c>
      <c r="Y20" s="7"/>
      <c r="Z20" s="7"/>
      <c r="AA20" s="7"/>
      <c r="AB20" s="7"/>
    </row>
    <row r="21" customFormat="false" ht="17.25" hidden="false" customHeight="true" outlineLevel="0" collapsed="false">
      <c r="B21" s="18" t="s">
        <v>47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7" t="n">
        <f aca="false">$X$17+$AA$17+$AD$17</f>
        <v>37100</v>
      </c>
      <c r="Y21" s="7"/>
      <c r="Z21" s="7"/>
      <c r="AA21" s="7"/>
      <c r="AB21" s="7"/>
    </row>
    <row r="22" customFormat="false" ht="17.25" hidden="false" customHeight="true" outlineLevel="0" collapsed="false">
      <c r="B22" s="18" t="s">
        <v>48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7" t="n">
        <f aca="false">$X$20-$X$21</f>
        <v>0</v>
      </c>
      <c r="Y22" s="7"/>
      <c r="Z22" s="7"/>
      <c r="AA22" s="7"/>
      <c r="AB22" s="7"/>
    </row>
    <row r="24" customFormat="false" ht="18.75" hidden="false" customHeight="true" outlineLevel="0" collapsed="false">
      <c r="B24" s="3" t="s">
        <v>49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customFormat="false" ht="15" hidden="false" customHeight="false" outlineLevel="0" collapsed="false">
      <c r="B25" s="19" t="s">
        <v>50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customFormat="false" ht="15" hidden="false" customHeight="false" outlineLevel="0" collapsed="false">
      <c r="B26" s="19" t="s">
        <v>51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customFormat="false" ht="15" hidden="false" customHeight="false" outlineLevel="0" collapsed="false">
      <c r="B27" s="20"/>
      <c r="C27" s="20"/>
      <c r="D27" s="20"/>
      <c r="E27" s="21" t="s">
        <v>52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2" t="s">
        <v>53</v>
      </c>
      <c r="S27" s="22"/>
      <c r="T27" s="22"/>
      <c r="U27" s="22"/>
      <c r="V27" s="22"/>
      <c r="W27" s="22" t="s">
        <v>53</v>
      </c>
      <c r="X27" s="22"/>
      <c r="Y27" s="22"/>
      <c r="Z27" s="22"/>
      <c r="AA27" s="22"/>
      <c r="AB27" s="22" t="s">
        <v>53</v>
      </c>
      <c r="AC27" s="22"/>
      <c r="AD27" s="22"/>
      <c r="AE27" s="22"/>
      <c r="AF27" s="22"/>
    </row>
    <row r="28" customFormat="false" ht="17.25" hidden="false" customHeight="true" outlineLevel="0" collapsed="false">
      <c r="B28" s="23"/>
      <c r="C28" s="23"/>
      <c r="D28" s="23"/>
      <c r="E28" s="24" t="s">
        <v>54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</row>
    <row r="29" customFormat="false" ht="17.25" hidden="false" customHeight="true" outlineLevel="0" collapsed="false">
      <c r="B29" s="23"/>
      <c r="C29" s="23"/>
      <c r="D29" s="23"/>
      <c r="E29" s="25" t="s">
        <v>29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W29" s="7" t="n">
        <f aca="false">$R$17</f>
        <v>3000</v>
      </c>
      <c r="X29" s="7"/>
      <c r="Y29" s="7"/>
      <c r="Z29" s="7"/>
    </row>
    <row r="30" customFormat="false" ht="17.25" hidden="false" customHeight="true" outlineLevel="0" collapsed="false">
      <c r="B30" s="23"/>
      <c r="C30" s="23"/>
      <c r="D30" s="23"/>
      <c r="E30" s="25" t="s">
        <v>28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W30" s="7" t="n">
        <f aca="false">$O$17</f>
        <v>3000</v>
      </c>
      <c r="X30" s="7"/>
      <c r="Y30" s="7"/>
      <c r="Z30" s="7"/>
    </row>
    <row r="31" customFormat="false" ht="17.25" hidden="false" customHeight="true" outlineLevel="0" collapsed="false">
      <c r="B31" s="23"/>
      <c r="C31" s="23"/>
      <c r="D31" s="23"/>
      <c r="E31" s="25" t="s">
        <v>30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W31" s="7" t="n">
        <f aca="false">$U$17</f>
        <v>200</v>
      </c>
      <c r="X31" s="7"/>
      <c r="Y31" s="7"/>
      <c r="Z31" s="7"/>
    </row>
    <row r="32" customFormat="false" ht="17.25" hidden="false" customHeight="true" outlineLevel="0" collapsed="false">
      <c r="B32" s="23"/>
      <c r="C32" s="23"/>
      <c r="D32" s="23"/>
      <c r="E32" s="25" t="s">
        <v>27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W32" s="7" t="n">
        <f aca="false">$L$17</f>
        <v>30200</v>
      </c>
      <c r="X32" s="7"/>
      <c r="Y32" s="7"/>
      <c r="Z32" s="7"/>
    </row>
    <row r="33" customFormat="false" ht="17.25" hidden="false" customHeight="true" outlineLevel="0" collapsed="false">
      <c r="B33" s="23"/>
      <c r="C33" s="23"/>
      <c r="D33" s="23"/>
      <c r="E33" s="25" t="s">
        <v>26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W33" s="26" t="n">
        <f aca="false">$I$17</f>
        <v>700</v>
      </c>
      <c r="X33" s="26"/>
      <c r="Y33" s="26"/>
      <c r="Z33" s="26"/>
    </row>
    <row r="34" customFormat="false" ht="17.25" hidden="false" customHeight="true" outlineLevel="0" collapsed="false">
      <c r="B34" s="23"/>
      <c r="C34" s="23"/>
      <c r="D34" s="23"/>
      <c r="E34" s="27" t="s">
        <v>55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AB34" s="28" t="n">
        <f aca="false">$X$20</f>
        <v>37100</v>
      </c>
      <c r="AC34" s="28"/>
      <c r="AD34" s="28"/>
      <c r="AE34" s="28"/>
    </row>
    <row r="35" customFormat="false" ht="17.25" hidden="false" customHeight="true" outlineLevel="0" collapsed="false">
      <c r="B35" s="23"/>
      <c r="C35" s="23"/>
      <c r="D35" s="23"/>
      <c r="E35" s="24" t="s">
        <v>56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customFormat="false" ht="17.25" hidden="false" customHeight="true" outlineLevel="0" collapsed="false">
      <c r="B36" s="23"/>
      <c r="C36" s="23"/>
      <c r="D36" s="23"/>
      <c r="E36" s="25" t="s">
        <v>57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W36" s="7" t="n">
        <f aca="false">$AA$17</f>
        <v>10000</v>
      </c>
      <c r="X36" s="7"/>
      <c r="Y36" s="7"/>
      <c r="Z36" s="7"/>
    </row>
    <row r="37" customFormat="false" ht="17.25" hidden="false" customHeight="true" outlineLevel="0" collapsed="false">
      <c r="B37" s="23"/>
      <c r="C37" s="23"/>
      <c r="D37" s="23"/>
      <c r="E37" s="25" t="s">
        <v>31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W37" s="26" t="n">
        <f aca="false">$X$17</f>
        <v>0</v>
      </c>
      <c r="X37" s="26"/>
      <c r="Y37" s="26"/>
      <c r="Z37" s="26"/>
    </row>
    <row r="38" customFormat="false" ht="17.25" hidden="false" customHeight="true" outlineLevel="0" collapsed="false">
      <c r="B38" s="23"/>
      <c r="C38" s="23"/>
      <c r="D38" s="23"/>
      <c r="E38" s="25" t="s">
        <v>58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AB38" s="7" t="n">
        <f aca="false">$AA$17+$X$17</f>
        <v>10000</v>
      </c>
      <c r="AC38" s="7"/>
      <c r="AD38" s="7"/>
      <c r="AE38" s="7"/>
    </row>
    <row r="39" customFormat="false" ht="17.25" hidden="false" customHeight="true" outlineLevel="0" collapsed="false">
      <c r="B39" s="23"/>
      <c r="C39" s="23"/>
      <c r="D39" s="23"/>
      <c r="E39" s="25" t="s">
        <v>33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AB39" s="26" t="n">
        <f aca="false">$AD$17</f>
        <v>27100</v>
      </c>
      <c r="AC39" s="26"/>
      <c r="AD39" s="26"/>
      <c r="AE39" s="26"/>
    </row>
    <row r="40" customFormat="false" ht="17.25" hidden="false" customHeight="true" outlineLevel="0" collapsed="false">
      <c r="B40" s="23"/>
      <c r="C40" s="23"/>
      <c r="D40" s="23"/>
      <c r="E40" s="27" t="s">
        <v>59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AB40" s="28" t="n">
        <f aca="false">$X$21</f>
        <v>37100</v>
      </c>
      <c r="AC40" s="28"/>
      <c r="AD40" s="28"/>
      <c r="AE40" s="28"/>
    </row>
  </sheetData>
  <mergeCells count="164">
    <mergeCell ref="B1:AF1"/>
    <mergeCell ref="B2:AF2"/>
    <mergeCell ref="B3:AF3"/>
    <mergeCell ref="B5:AF5"/>
    <mergeCell ref="B6:H6"/>
    <mergeCell ref="I6:K6"/>
    <mergeCell ref="L6:N6"/>
    <mergeCell ref="O6:Q6"/>
    <mergeCell ref="R6:T6"/>
    <mergeCell ref="U6:W6"/>
    <mergeCell ref="X6:Z6"/>
    <mergeCell ref="AA6:AC6"/>
    <mergeCell ref="AD6:AF6"/>
    <mergeCell ref="B7:H7"/>
    <mergeCell ref="I7:K7"/>
    <mergeCell ref="L7:N7"/>
    <mergeCell ref="O7:Q7"/>
    <mergeCell ref="R7:T7"/>
    <mergeCell ref="U7:W7"/>
    <mergeCell ref="X7:Z7"/>
    <mergeCell ref="AA7:AC7"/>
    <mergeCell ref="AD7:AF7"/>
    <mergeCell ref="B8:H8"/>
    <mergeCell ref="I8:K8"/>
    <mergeCell ref="L8:N8"/>
    <mergeCell ref="O8:Q8"/>
    <mergeCell ref="R8:T8"/>
    <mergeCell ref="U8:W8"/>
    <mergeCell ref="X8:Z8"/>
    <mergeCell ref="AA8:AC8"/>
    <mergeCell ref="AD8:AF8"/>
    <mergeCell ref="B9:H9"/>
    <mergeCell ref="I9:K9"/>
    <mergeCell ref="L9:N9"/>
    <mergeCell ref="O9:Q9"/>
    <mergeCell ref="R9:T9"/>
    <mergeCell ref="U9:W9"/>
    <mergeCell ref="X9:Z9"/>
    <mergeCell ref="AA9:AC9"/>
    <mergeCell ref="AD9:AF9"/>
    <mergeCell ref="B10:H10"/>
    <mergeCell ref="I10:K10"/>
    <mergeCell ref="L10:N10"/>
    <mergeCell ref="O10:Q10"/>
    <mergeCell ref="R10:T10"/>
    <mergeCell ref="U10:W10"/>
    <mergeCell ref="X10:Z10"/>
    <mergeCell ref="AA10:AC10"/>
    <mergeCell ref="AD10:AF10"/>
    <mergeCell ref="B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B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B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B14:H14"/>
    <mergeCell ref="I14:K14"/>
    <mergeCell ref="L14:N14"/>
    <mergeCell ref="O14:Q14"/>
    <mergeCell ref="R14:T14"/>
    <mergeCell ref="U14:W14"/>
    <mergeCell ref="X14:Z14"/>
    <mergeCell ref="AA14:AC14"/>
    <mergeCell ref="AD14:AF14"/>
    <mergeCell ref="B15:H15"/>
    <mergeCell ref="I15:K15"/>
    <mergeCell ref="L15:N15"/>
    <mergeCell ref="O15:Q15"/>
    <mergeCell ref="R15:T15"/>
    <mergeCell ref="U15:W15"/>
    <mergeCell ref="X15:Z15"/>
    <mergeCell ref="AA15:AC15"/>
    <mergeCell ref="AD15:AF15"/>
    <mergeCell ref="B16:H16"/>
    <mergeCell ref="I16:K16"/>
    <mergeCell ref="L16:N16"/>
    <mergeCell ref="O16:Q16"/>
    <mergeCell ref="R16:T16"/>
    <mergeCell ref="U16:W16"/>
    <mergeCell ref="X16:Z16"/>
    <mergeCell ref="AA16:AC16"/>
    <mergeCell ref="AD16:AF16"/>
    <mergeCell ref="B17:H17"/>
    <mergeCell ref="I17:K17"/>
    <mergeCell ref="L17:N17"/>
    <mergeCell ref="O17:Q17"/>
    <mergeCell ref="R17:T17"/>
    <mergeCell ref="U17:W17"/>
    <mergeCell ref="X17:Z17"/>
    <mergeCell ref="AA17:AC17"/>
    <mergeCell ref="AD17:AF17"/>
    <mergeCell ref="B18:AF18"/>
    <mergeCell ref="B20:W20"/>
    <mergeCell ref="X20:AB20"/>
    <mergeCell ref="B21:W21"/>
    <mergeCell ref="X21:AB21"/>
    <mergeCell ref="B22:W22"/>
    <mergeCell ref="X22:AB22"/>
    <mergeCell ref="B24:AF24"/>
    <mergeCell ref="B25:AF25"/>
    <mergeCell ref="B26:AF26"/>
    <mergeCell ref="B27:D27"/>
    <mergeCell ref="E27:Q27"/>
    <mergeCell ref="R27:V27"/>
    <mergeCell ref="W27:AA27"/>
    <mergeCell ref="AB27:AF27"/>
    <mergeCell ref="B28:D28"/>
    <mergeCell ref="E28:Q28"/>
    <mergeCell ref="B29:D29"/>
    <mergeCell ref="E29:Q29"/>
    <mergeCell ref="W29:Z29"/>
    <mergeCell ref="B30:D30"/>
    <mergeCell ref="E30:Q30"/>
    <mergeCell ref="W30:Z30"/>
    <mergeCell ref="B31:D31"/>
    <mergeCell ref="E31:Q31"/>
    <mergeCell ref="W31:Z31"/>
    <mergeCell ref="B32:D32"/>
    <mergeCell ref="E32:Q32"/>
    <mergeCell ref="W32:Z32"/>
    <mergeCell ref="B33:D33"/>
    <mergeCell ref="E33:Q33"/>
    <mergeCell ref="W33:Z33"/>
    <mergeCell ref="B34:D34"/>
    <mergeCell ref="E34:Q34"/>
    <mergeCell ref="AB34:AE34"/>
    <mergeCell ref="B35:D35"/>
    <mergeCell ref="E35:Q35"/>
    <mergeCell ref="B36:D36"/>
    <mergeCell ref="E36:Q36"/>
    <mergeCell ref="W36:Z36"/>
    <mergeCell ref="B37:D37"/>
    <mergeCell ref="E37:Q37"/>
    <mergeCell ref="W37:Z37"/>
    <mergeCell ref="B38:D38"/>
    <mergeCell ref="E38:Q38"/>
    <mergeCell ref="AB38:AE38"/>
    <mergeCell ref="B39:D39"/>
    <mergeCell ref="E39:Q39"/>
    <mergeCell ref="AB39:AE39"/>
    <mergeCell ref="B40:D40"/>
    <mergeCell ref="E40:Q40"/>
    <mergeCell ref="AB40:AE40"/>
  </mergeCells>
  <conditionalFormatting sqref="B1:AG41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1:AF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61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29" t="s">
        <v>62</v>
      </c>
      <c r="C3" s="29"/>
      <c r="D3" s="29"/>
      <c r="E3" s="29"/>
      <c r="F3" s="29"/>
      <c r="G3" s="29"/>
      <c r="H3" s="29" t="str">
        <f aca="false">COUNTIF(B4:AG22,"✓")&amp;" betul daripada 27 sel jawapan"</f>
        <v>0 betul daripada 27 sel jawapan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5" customFormat="false" ht="16.5" hidden="false" customHeight="true" outlineLevel="0" collapsed="false">
      <c r="B5" s="4" t="s">
        <v>63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7" customFormat="false" ht="33" hidden="false" customHeight="true" outlineLevel="0" collapsed="false">
      <c r="B7" s="3" t="s">
        <v>64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customFormat="false" ht="17.25" hidden="false" customHeight="true" outlineLevel="0" collapsed="false">
      <c r="B8" s="10" t="s">
        <v>25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 t="s">
        <v>65</v>
      </c>
      <c r="P8" s="11"/>
      <c r="Q8" s="11"/>
      <c r="R8" s="11"/>
      <c r="S8" s="11"/>
      <c r="T8" s="11"/>
      <c r="U8" s="11" t="s">
        <v>66</v>
      </c>
      <c r="V8" s="11"/>
      <c r="W8" s="11"/>
      <c r="X8" s="11"/>
      <c r="Y8" s="11"/>
      <c r="Z8" s="11"/>
      <c r="AA8" s="11" t="s">
        <v>67</v>
      </c>
      <c r="AB8" s="11"/>
      <c r="AC8" s="11"/>
      <c r="AD8" s="11"/>
      <c r="AE8" s="11"/>
      <c r="AF8" s="11"/>
    </row>
    <row r="9" customFormat="false" ht="30.75" hidden="false" customHeight="true" outlineLevel="0" collapsed="false">
      <c r="B9" s="12" t="s">
        <v>68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0"/>
      <c r="P9" s="30"/>
      <c r="Q9" s="30"/>
      <c r="R9" s="30"/>
      <c r="S9" s="30"/>
      <c r="T9" s="31" t="str">
        <f aca="false">IF(O9="","",IFERROR(IF(ABS(O9-'S1 Jawapan'!O9)&lt;0.5,"✓","✗"),"✗"))</f>
        <v/>
      </c>
      <c r="U9" s="30"/>
      <c r="V9" s="30"/>
      <c r="W9" s="30"/>
      <c r="X9" s="30"/>
      <c r="Y9" s="30"/>
      <c r="Z9" s="31" t="str">
        <f aca="false">IF(U9="","",IFERROR(IF(ABS(U9-'S1 Jawapan'!U9)&lt;0.5,"✓","✗"),"✗"))</f>
        <v/>
      </c>
      <c r="AA9" s="30"/>
      <c r="AB9" s="30"/>
      <c r="AC9" s="30"/>
      <c r="AD9" s="30"/>
      <c r="AE9" s="30"/>
      <c r="AF9" s="31" t="str">
        <f aca="false">IF(AA9="","",IFERROR(IF(ABS(AA9-'S1 Jawapan'!AA9)&lt;0.5,"✓","✗"),"✗"))</f>
        <v/>
      </c>
    </row>
    <row r="10" customFormat="false" ht="17.25" hidden="false" customHeight="true" outlineLevel="0" collapsed="false">
      <c r="B10" s="12" t="s">
        <v>69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30"/>
      <c r="P10" s="30"/>
      <c r="Q10" s="30"/>
      <c r="R10" s="30"/>
      <c r="S10" s="30"/>
      <c r="T10" s="31" t="str">
        <f aca="false">IF(O10="","",IFERROR(IF(ABS(O10-'S1 Jawapan'!O10)&lt;0.5,"✓","✗"),"✗"))</f>
        <v/>
      </c>
      <c r="U10" s="30"/>
      <c r="V10" s="30"/>
      <c r="W10" s="30"/>
      <c r="X10" s="30"/>
      <c r="Y10" s="30"/>
      <c r="Z10" s="31" t="str">
        <f aca="false">IF(U10="","",IFERROR(IF(ABS(U10-'S1 Jawapan'!U10)&lt;0.5,"✓","✗"),"✗"))</f>
        <v/>
      </c>
      <c r="AA10" s="30"/>
      <c r="AB10" s="30"/>
      <c r="AC10" s="30"/>
      <c r="AD10" s="30"/>
      <c r="AE10" s="30"/>
      <c r="AF10" s="31" t="str">
        <f aca="false">IF(AA10="","",IFERROR(IF(ABS(AA10-'S1 Jawapan'!AA10)&lt;0.5,"✓","✗"),"✗"))</f>
        <v/>
      </c>
    </row>
    <row r="11" customFormat="false" ht="30.75" hidden="false" customHeight="true" outlineLevel="0" collapsed="false">
      <c r="B11" s="12" t="s">
        <v>70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30"/>
      <c r="P11" s="30"/>
      <c r="Q11" s="30"/>
      <c r="R11" s="30"/>
      <c r="S11" s="30"/>
      <c r="T11" s="31" t="str">
        <f aca="false">IF(O11="","",IFERROR(IF(ABS(O11-'S1 Jawapan'!O11)&lt;0.5,"✓","✗"),"✗"))</f>
        <v/>
      </c>
      <c r="U11" s="30"/>
      <c r="V11" s="30"/>
      <c r="W11" s="30"/>
      <c r="X11" s="30"/>
      <c r="Y11" s="30"/>
      <c r="Z11" s="31" t="str">
        <f aca="false">IF(U11="","",IFERROR(IF(ABS(U11-'S1 Jawapan'!U11)&lt;0.5,"✓","✗"),"✗"))</f>
        <v/>
      </c>
      <c r="AA11" s="30"/>
      <c r="AB11" s="30"/>
      <c r="AC11" s="30"/>
      <c r="AD11" s="30"/>
      <c r="AE11" s="30"/>
      <c r="AF11" s="31" t="str">
        <f aca="false">IF(AA11="","",IFERROR(IF(ABS(AA11-'S1 Jawapan'!AA11)&lt;0.5,"✓","✗"),"✗"))</f>
        <v/>
      </c>
    </row>
    <row r="12" customFormat="false" ht="30.75" hidden="false" customHeight="true" outlineLevel="0" collapsed="false">
      <c r="B12" s="12" t="s">
        <v>71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30"/>
      <c r="P12" s="30"/>
      <c r="Q12" s="30"/>
      <c r="R12" s="30"/>
      <c r="S12" s="30"/>
      <c r="T12" s="31" t="str">
        <f aca="false">IF(O12="","",IFERROR(IF(ABS(O12-'S1 Jawapan'!O12)&lt;0.5,"✓","✗"),"✗"))</f>
        <v/>
      </c>
      <c r="U12" s="30"/>
      <c r="V12" s="30"/>
      <c r="W12" s="30"/>
      <c r="X12" s="30"/>
      <c r="Y12" s="30"/>
      <c r="Z12" s="31" t="str">
        <f aca="false">IF(U12="","",IFERROR(IF(ABS(U12-'S1 Jawapan'!U12)&lt;0.5,"✓","✗"),"✗"))</f>
        <v/>
      </c>
      <c r="AA12" s="30"/>
      <c r="AB12" s="30"/>
      <c r="AC12" s="30"/>
      <c r="AD12" s="30"/>
      <c r="AE12" s="30"/>
      <c r="AF12" s="31" t="str">
        <f aca="false">IF(AA12="","",IFERROR(IF(ABS(AA12-'S1 Jawapan'!AA12)&lt;0.5,"✓","✗"),"✗"))</f>
        <v/>
      </c>
    </row>
    <row r="13" customFormat="false" ht="17.25" hidden="false" customHeight="true" outlineLevel="0" collapsed="false">
      <c r="B13" s="12" t="s">
        <v>72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30"/>
      <c r="P13" s="30"/>
      <c r="Q13" s="30"/>
      <c r="R13" s="30"/>
      <c r="S13" s="30"/>
      <c r="T13" s="31" t="str">
        <f aca="false">IF(O13="","",IFERROR(IF(ABS(O13-'S1 Jawapan'!O13)&lt;0.5,"✓","✗"),"✗"))</f>
        <v/>
      </c>
      <c r="U13" s="30"/>
      <c r="V13" s="30"/>
      <c r="W13" s="30"/>
      <c r="X13" s="30"/>
      <c r="Y13" s="30"/>
      <c r="Z13" s="31" t="str">
        <f aca="false">IF(U13="","",IFERROR(IF(ABS(U13-'S1 Jawapan'!U13)&lt;0.5,"✓","✗"),"✗"))</f>
        <v/>
      </c>
      <c r="AA13" s="30"/>
      <c r="AB13" s="30"/>
      <c r="AC13" s="30"/>
      <c r="AD13" s="30"/>
      <c r="AE13" s="30"/>
      <c r="AF13" s="31" t="str">
        <f aca="false">IF(AA13="","",IFERROR(IF(ABS(AA13-'S1 Jawapan'!AA13)&lt;0.5,"✓","✗"),"✗"))</f>
        <v/>
      </c>
    </row>
    <row r="14" customFormat="false" ht="30.75" hidden="false" customHeight="true" outlineLevel="0" collapsed="false">
      <c r="B14" s="12" t="s">
        <v>73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0"/>
      <c r="P14" s="30"/>
      <c r="Q14" s="30"/>
      <c r="R14" s="30"/>
      <c r="S14" s="30"/>
      <c r="T14" s="31" t="str">
        <f aca="false">IF(O14="","",IFERROR(IF(ABS(O14-'S1 Jawapan'!O14)&lt;0.5,"✓","✗"),"✗"))</f>
        <v/>
      </c>
      <c r="U14" s="30"/>
      <c r="V14" s="30"/>
      <c r="W14" s="30"/>
      <c r="X14" s="30"/>
      <c r="Y14" s="30"/>
      <c r="Z14" s="31" t="str">
        <f aca="false">IF(U14="","",IFERROR(IF(ABS(U14-'S1 Jawapan'!U14)&lt;0.5,"✓","✗"),"✗"))</f>
        <v/>
      </c>
      <c r="AA14" s="30"/>
      <c r="AB14" s="30"/>
      <c r="AC14" s="30"/>
      <c r="AD14" s="30"/>
      <c r="AE14" s="30"/>
      <c r="AF14" s="31" t="str">
        <f aca="false">IF(AA14="","",IFERROR(IF(ABS(AA14-'S1 Jawapan'!AA14)&lt;0.5,"✓","✗"),"✗"))</f>
        <v/>
      </c>
    </row>
    <row r="15" customFormat="false" ht="17.25" hidden="false" customHeight="true" outlineLevel="0" collapsed="false">
      <c r="B15" s="12" t="s">
        <v>74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30"/>
      <c r="P15" s="30"/>
      <c r="Q15" s="30"/>
      <c r="R15" s="30"/>
      <c r="S15" s="30"/>
      <c r="T15" s="31" t="str">
        <f aca="false">IF(O15="","",IFERROR(IF(ABS(O15-'S1 Jawapan'!O15)&lt;0.5,"✓","✗"),"✗"))</f>
        <v/>
      </c>
      <c r="U15" s="30"/>
      <c r="V15" s="30"/>
      <c r="W15" s="30"/>
      <c r="X15" s="30"/>
      <c r="Y15" s="30"/>
      <c r="Z15" s="31" t="str">
        <f aca="false">IF(U15="","",IFERROR(IF(ABS(U15-'S1 Jawapan'!U15)&lt;0.5,"✓","✗"),"✗"))</f>
        <v/>
      </c>
      <c r="AA15" s="30"/>
      <c r="AB15" s="30"/>
      <c r="AC15" s="30"/>
      <c r="AD15" s="30"/>
      <c r="AE15" s="30"/>
      <c r="AF15" s="31" t="str">
        <f aca="false">IF(AA15="","",IFERROR(IF(ABS(AA15-'S1 Jawapan'!AA15)&lt;0.5,"✓","✗"),"✗"))</f>
        <v/>
      </c>
    </row>
    <row r="16" customFormat="false" ht="17.25" hidden="false" customHeight="true" outlineLevel="0" collapsed="false">
      <c r="B16" s="12" t="s">
        <v>75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30"/>
      <c r="P16" s="30"/>
      <c r="Q16" s="30"/>
      <c r="R16" s="30"/>
      <c r="S16" s="30"/>
      <c r="T16" s="31" t="str">
        <f aca="false">IF(O16="","",IFERROR(IF(ABS(O16-'S1 Jawapan'!O16)&lt;0.5,"✓","✗"),"✗"))</f>
        <v/>
      </c>
      <c r="U16" s="30"/>
      <c r="V16" s="30"/>
      <c r="W16" s="30"/>
      <c r="X16" s="30"/>
      <c r="Y16" s="30"/>
      <c r="Z16" s="31" t="str">
        <f aca="false">IF(U16="","",IFERROR(IF(ABS(U16-'S1 Jawapan'!U16)&lt;0.5,"✓","✗"),"✗"))</f>
        <v/>
      </c>
      <c r="AA16" s="30"/>
      <c r="AB16" s="30"/>
      <c r="AC16" s="30"/>
      <c r="AD16" s="30"/>
      <c r="AE16" s="30"/>
      <c r="AF16" s="31" t="str">
        <f aca="false">IF(AA16="","",IFERROR(IF(ABS(AA16-'S1 Jawapan'!AA16)&lt;0.5,"✓","✗"),"✗"))</f>
        <v/>
      </c>
    </row>
    <row r="18" customFormat="false" ht="18.75" hidden="false" customHeight="true" outlineLevel="0" collapsed="false">
      <c r="B18" s="3" t="s">
        <v>76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customFormat="false" ht="17.25" hidden="false" customHeight="true" outlineLevel="0" collapsed="false">
      <c r="B19" s="18" t="s">
        <v>46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30"/>
      <c r="Y19" s="30"/>
      <c r="Z19" s="30"/>
      <c r="AA19" s="30"/>
      <c r="AB19" s="30"/>
      <c r="AC19" s="32" t="str">
        <f aca="false">IF(X19="","",IFERROR(IF(ABS(X19-'S1 Jawapan'!X19)&lt;0.5,"✓","✗"),"✗"))</f>
        <v/>
      </c>
    </row>
    <row r="20" customFormat="false" ht="17.25" hidden="false" customHeight="true" outlineLevel="0" collapsed="false">
      <c r="B20" s="18" t="s">
        <v>77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30"/>
      <c r="Y20" s="30"/>
      <c r="Z20" s="30"/>
      <c r="AA20" s="30"/>
      <c r="AB20" s="30"/>
      <c r="AC20" s="32" t="str">
        <f aca="false">IF(X20="","",IFERROR(IF(ABS(X20-'S1 Jawapan'!X20)&lt;0.5,"✓","✗"),"✗"))</f>
        <v/>
      </c>
    </row>
    <row r="21" customFormat="false" ht="17.25" hidden="false" customHeight="true" outlineLevel="0" collapsed="false">
      <c r="B21" s="18" t="s">
        <v>67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30"/>
      <c r="Y21" s="30"/>
      <c r="Z21" s="30"/>
      <c r="AA21" s="30"/>
      <c r="AB21" s="30"/>
      <c r="AC21" s="32" t="str">
        <f aca="false">IF(X21="","",IFERROR(IF(ABS(X21-'S1 Jawapan'!X21)&lt;0.5,"✓","✗"),"✗"))</f>
        <v/>
      </c>
    </row>
  </sheetData>
  <mergeCells count="49">
    <mergeCell ref="B1:AF1"/>
    <mergeCell ref="B2:AF2"/>
    <mergeCell ref="B3:G3"/>
    <mergeCell ref="H3:AF3"/>
    <mergeCell ref="B5:AF5"/>
    <mergeCell ref="B7:AF7"/>
    <mergeCell ref="B8:N8"/>
    <mergeCell ref="O8:T8"/>
    <mergeCell ref="U8:Z8"/>
    <mergeCell ref="AA8:AF8"/>
    <mergeCell ref="B9:N9"/>
    <mergeCell ref="O9:S9"/>
    <mergeCell ref="U9:Y9"/>
    <mergeCell ref="AA9:AE9"/>
    <mergeCell ref="B10:N10"/>
    <mergeCell ref="O10:S10"/>
    <mergeCell ref="U10:Y10"/>
    <mergeCell ref="AA10:AE10"/>
    <mergeCell ref="B11:N11"/>
    <mergeCell ref="O11:S11"/>
    <mergeCell ref="U11:Y11"/>
    <mergeCell ref="AA11:AE11"/>
    <mergeCell ref="B12:N12"/>
    <mergeCell ref="O12:S12"/>
    <mergeCell ref="U12:Y12"/>
    <mergeCell ref="AA12:AE12"/>
    <mergeCell ref="B13:N13"/>
    <mergeCell ref="O13:S13"/>
    <mergeCell ref="U13:Y13"/>
    <mergeCell ref="AA13:AE13"/>
    <mergeCell ref="B14:N14"/>
    <mergeCell ref="O14:S14"/>
    <mergeCell ref="U14:Y14"/>
    <mergeCell ref="AA14:AE14"/>
    <mergeCell ref="B15:N15"/>
    <mergeCell ref="O15:S15"/>
    <mergeCell ref="U15:Y15"/>
    <mergeCell ref="AA15:AE15"/>
    <mergeCell ref="B16:N16"/>
    <mergeCell ref="O16:S16"/>
    <mergeCell ref="U16:Y16"/>
    <mergeCell ref="AA16:AE16"/>
    <mergeCell ref="B18:AF18"/>
    <mergeCell ref="B19:W19"/>
    <mergeCell ref="X19:AB19"/>
    <mergeCell ref="B20:W20"/>
    <mergeCell ref="X20:AB20"/>
    <mergeCell ref="B21:W21"/>
    <mergeCell ref="X21:AB21"/>
  </mergeCells>
  <conditionalFormatting sqref="B4:AG2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B1:AF4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78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61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29" t="s">
        <v>62</v>
      </c>
      <c r="C3" s="29"/>
      <c r="D3" s="29"/>
      <c r="E3" s="29"/>
      <c r="F3" s="29"/>
      <c r="G3" s="29"/>
      <c r="H3" s="29" t="str">
        <f aca="false">COUNTIF(B4:AG42,"✓")&amp;" betul daripada 6 sel jawapan"</f>
        <v>0 betul daripada 6 sel jawapan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5" customFormat="false" ht="16.5" hidden="false" customHeight="true" outlineLevel="0" collapsed="false">
      <c r="B5" s="4" t="s">
        <v>79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7" customFormat="false" ht="18.75" hidden="false" customHeight="true" outlineLevel="0" collapsed="false">
      <c r="B7" s="3" t="s">
        <v>80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customFormat="false" ht="15" hidden="false" customHeight="false" outlineLevel="0" collapsed="false">
      <c r="B8" s="21" t="s">
        <v>81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2" t="s">
        <v>82</v>
      </c>
      <c r="Y8" s="22"/>
      <c r="Z8" s="22"/>
      <c r="AA8" s="22"/>
      <c r="AB8" s="22"/>
      <c r="AC8" s="22"/>
    </row>
    <row r="9" customFormat="false" ht="16.5" hidden="false" customHeight="true" outlineLevel="0" collapsed="false">
      <c r="B9" s="12" t="s">
        <v>65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5" t="n">
        <v>96500</v>
      </c>
      <c r="Y9" s="15"/>
      <c r="Z9" s="15"/>
      <c r="AA9" s="15"/>
      <c r="AB9" s="15"/>
      <c r="AC9" s="15"/>
    </row>
    <row r="10" customFormat="false" ht="16.5" hidden="false" customHeight="true" outlineLevel="0" collapsed="false">
      <c r="B10" s="12" t="s">
        <v>66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5" t="n">
        <v>31200</v>
      </c>
      <c r="Y10" s="15"/>
      <c r="Z10" s="15"/>
      <c r="AA10" s="15"/>
      <c r="AB10" s="15"/>
      <c r="AC10" s="15"/>
    </row>
    <row r="12" customFormat="false" ht="17.25" hidden="false" customHeight="true" outlineLevel="0" collapsed="false">
      <c r="B12" s="18" t="s">
        <v>83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30"/>
      <c r="Y12" s="30"/>
      <c r="Z12" s="30"/>
      <c r="AA12" s="30"/>
      <c r="AB12" s="30"/>
      <c r="AC12" s="32" t="str">
        <f aca="false">IF(X12="","",IFERROR(IF(ABS(ABS(X12)-ABS('S2 Jawapan'!X12))&lt;0.5,"✓","✗"),"✗"))</f>
        <v/>
      </c>
    </row>
    <row r="14" customFormat="false" ht="18.75" hidden="false" customHeight="true" outlineLevel="0" collapsed="false">
      <c r="B14" s="3" t="s">
        <v>84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customFormat="false" ht="15" hidden="false" customHeight="false" outlineLevel="0" collapsed="false">
      <c r="B15" s="21" t="s">
        <v>81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 t="s">
        <v>82</v>
      </c>
      <c r="Y15" s="22"/>
      <c r="Z15" s="22"/>
      <c r="AA15" s="22"/>
      <c r="AB15" s="22"/>
      <c r="AC15" s="22"/>
    </row>
    <row r="16" customFormat="false" ht="16.5" hidden="false" customHeight="true" outlineLevel="0" collapsed="false">
      <c r="B16" s="12" t="s">
        <v>85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5" t="n">
        <v>48000</v>
      </c>
      <c r="Y16" s="15"/>
      <c r="Z16" s="15"/>
      <c r="AA16" s="15"/>
      <c r="AB16" s="15"/>
      <c r="AC16" s="15"/>
    </row>
    <row r="17" customFormat="false" ht="16.5" hidden="false" customHeight="true" outlineLevel="0" collapsed="false">
      <c r="B17" s="12" t="s">
        <v>86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5" t="n">
        <v>5000</v>
      </c>
      <c r="Y17" s="15"/>
      <c r="Z17" s="15"/>
      <c r="AA17" s="15"/>
      <c r="AB17" s="15"/>
      <c r="AC17" s="15"/>
    </row>
    <row r="18" customFormat="false" ht="16.5" hidden="false" customHeight="true" outlineLevel="0" collapsed="false">
      <c r="B18" s="12" t="s">
        <v>87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5" t="n">
        <v>36500</v>
      </c>
      <c r="Y18" s="15"/>
      <c r="Z18" s="15"/>
      <c r="AA18" s="15"/>
      <c r="AB18" s="15"/>
      <c r="AC18" s="15"/>
    </row>
    <row r="19" customFormat="false" ht="16.5" hidden="false" customHeight="true" outlineLevel="0" collapsed="false">
      <c r="B19" s="12" t="s">
        <v>88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5" t="n">
        <v>21800</v>
      </c>
      <c r="Y19" s="15"/>
      <c r="Z19" s="15"/>
      <c r="AA19" s="15"/>
      <c r="AB19" s="15"/>
      <c r="AC19" s="15"/>
    </row>
    <row r="20" customFormat="false" ht="16.5" hidden="false" customHeight="true" outlineLevel="0" collapsed="false">
      <c r="B20" s="12" t="s">
        <v>89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5" t="n">
        <v>6200</v>
      </c>
      <c r="Y20" s="15"/>
      <c r="Z20" s="15"/>
      <c r="AA20" s="15"/>
      <c r="AB20" s="15"/>
      <c r="AC20" s="15"/>
    </row>
    <row r="22" customFormat="false" ht="17.25" hidden="false" customHeight="true" outlineLevel="0" collapsed="false">
      <c r="B22" s="18" t="s">
        <v>90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30"/>
      <c r="Y22" s="30"/>
      <c r="Z22" s="30"/>
      <c r="AA22" s="30"/>
      <c r="AB22" s="30"/>
      <c r="AC22" s="32" t="str">
        <f aca="false">IF(X22="","",IFERROR(IF(ABS(ABS(X22)-ABS('S2 Jawapan'!X22))&lt;0.5,"✓","✗"),"✗"))</f>
        <v/>
      </c>
    </row>
    <row r="23" customFormat="false" ht="17.25" hidden="false" customHeight="true" outlineLevel="0" collapsed="false">
      <c r="B23" s="18" t="s">
        <v>91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30"/>
      <c r="Y23" s="30"/>
      <c r="Z23" s="30"/>
      <c r="AA23" s="30"/>
      <c r="AB23" s="30"/>
      <c r="AC23" s="32" t="str">
        <f aca="false">IF(X23="","",IFERROR(IF(ABS(ABS(X23)-ABS('S2 Jawapan'!X23))&lt;0.5,"✓","✗"),"✗"))</f>
        <v/>
      </c>
    </row>
    <row r="25" customFormat="false" ht="18.75" hidden="false" customHeight="true" outlineLevel="0" collapsed="false">
      <c r="B25" s="3" t="s">
        <v>92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customFormat="false" ht="15" hidden="false" customHeight="false" outlineLevel="0" collapsed="false">
      <c r="B26" s="21" t="s">
        <v>81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2" t="s">
        <v>82</v>
      </c>
      <c r="Y26" s="22"/>
      <c r="Z26" s="22"/>
      <c r="AA26" s="22"/>
      <c r="AB26" s="22"/>
      <c r="AC26" s="22"/>
    </row>
    <row r="27" customFormat="false" ht="16.5" hidden="false" customHeight="true" outlineLevel="0" collapsed="false">
      <c r="B27" s="12" t="s">
        <v>66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5" t="n">
        <v>18300</v>
      </c>
      <c r="Y27" s="15"/>
      <c r="Z27" s="15"/>
      <c r="AA27" s="15"/>
      <c r="AB27" s="15"/>
      <c r="AC27" s="15"/>
    </row>
    <row r="29" customFormat="false" ht="17.25" hidden="false" customHeight="true" outlineLevel="0" collapsed="false">
      <c r="B29" s="18" t="s">
        <v>93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30"/>
      <c r="Y29" s="30"/>
      <c r="Z29" s="30"/>
      <c r="AA29" s="30"/>
      <c r="AB29" s="30"/>
      <c r="AC29" s="32" t="str">
        <f aca="false">IF(X29="","",IFERROR(IF(ABS(ABS(X29)-ABS('S2 Jawapan'!X29))&lt;0.5,"✓","✗"),"✗"))</f>
        <v/>
      </c>
    </row>
    <row r="31" customFormat="false" ht="18.75" hidden="false" customHeight="true" outlineLevel="0" collapsed="false">
      <c r="B31" s="3" t="s">
        <v>94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customFormat="false" ht="15" hidden="false" customHeight="false" outlineLevel="0" collapsed="false">
      <c r="B32" s="21" t="s">
        <v>81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2" t="s">
        <v>82</v>
      </c>
      <c r="Y32" s="22"/>
      <c r="Z32" s="22"/>
      <c r="AA32" s="22"/>
      <c r="AB32" s="22"/>
      <c r="AC32" s="22"/>
    </row>
    <row r="33" customFormat="false" ht="16.5" hidden="false" customHeight="true" outlineLevel="0" collapsed="false">
      <c r="B33" s="12" t="s">
        <v>95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5" t="n">
        <v>12000</v>
      </c>
      <c r="Y33" s="15"/>
      <c r="Z33" s="15"/>
      <c r="AA33" s="15"/>
      <c r="AB33" s="15"/>
      <c r="AC33" s="15"/>
    </row>
    <row r="34" customFormat="false" ht="16.5" hidden="false" customHeight="true" outlineLevel="0" collapsed="false">
      <c r="B34" s="12" t="s">
        <v>96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5" t="n">
        <v>9500</v>
      </c>
      <c r="Y34" s="15"/>
      <c r="Z34" s="15"/>
      <c r="AA34" s="15"/>
      <c r="AB34" s="15"/>
      <c r="AC34" s="15"/>
    </row>
    <row r="35" customFormat="false" ht="16.5" hidden="false" customHeight="true" outlineLevel="0" collapsed="false">
      <c r="B35" s="12" t="s">
        <v>97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5" t="n">
        <v>30000</v>
      </c>
      <c r="Y35" s="15"/>
      <c r="Z35" s="15"/>
      <c r="AA35" s="15"/>
      <c r="AB35" s="15"/>
      <c r="AC35" s="15"/>
    </row>
    <row r="36" customFormat="false" ht="16.5" hidden="false" customHeight="true" outlineLevel="0" collapsed="false">
      <c r="B36" s="12" t="s">
        <v>98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5" t="n">
        <v>4200</v>
      </c>
      <c r="Y36" s="15"/>
      <c r="Z36" s="15"/>
      <c r="AA36" s="15"/>
      <c r="AB36" s="15"/>
      <c r="AC36" s="15"/>
    </row>
    <row r="37" customFormat="false" ht="16.5" hidden="false" customHeight="true" outlineLevel="0" collapsed="false">
      <c r="B37" s="12" t="s">
        <v>66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5" t="n">
        <v>15000</v>
      </c>
      <c r="Y37" s="15"/>
      <c r="Z37" s="15"/>
      <c r="AA37" s="15"/>
      <c r="AB37" s="15"/>
      <c r="AC37" s="15"/>
    </row>
    <row r="38" customFormat="false" ht="16.5" hidden="false" customHeight="true" outlineLevel="0" collapsed="false">
      <c r="B38" s="12" t="s">
        <v>67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5" t="n">
        <v>42000</v>
      </c>
      <c r="Y38" s="15"/>
      <c r="Z38" s="15"/>
      <c r="AA38" s="15"/>
      <c r="AB38" s="15"/>
      <c r="AC38" s="15"/>
    </row>
    <row r="40" customFormat="false" ht="17.25" hidden="false" customHeight="true" outlineLevel="0" collapsed="false">
      <c r="B40" s="18" t="s">
        <v>47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30"/>
      <c r="Y40" s="30"/>
      <c r="Z40" s="30"/>
      <c r="AA40" s="30"/>
      <c r="AB40" s="30"/>
      <c r="AC40" s="32" t="str">
        <f aca="false">IF(X40="","",IFERROR(IF(ABS(ABS(X40)-ABS('S2 Jawapan'!X40))&lt;0.5,"✓","✗"),"✗"))</f>
        <v/>
      </c>
    </row>
    <row r="41" customFormat="false" ht="17.25" hidden="false" customHeight="true" outlineLevel="0" collapsed="false">
      <c r="B41" s="18" t="s">
        <v>99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30"/>
      <c r="Y41" s="30"/>
      <c r="Z41" s="30"/>
      <c r="AA41" s="30"/>
      <c r="AB41" s="30"/>
      <c r="AC41" s="32" t="str">
        <f aca="false">IF(X41="","",IFERROR(IF(ABS(ABS(X41)-ABS('S2 Jawapan'!X41))&lt;0.5,"✓","✗"),"✗"))</f>
        <v/>
      </c>
    </row>
  </sheetData>
  <mergeCells count="57">
    <mergeCell ref="B1:AF1"/>
    <mergeCell ref="B2:AF2"/>
    <mergeCell ref="B3:G3"/>
    <mergeCell ref="H3:AF3"/>
    <mergeCell ref="B5:AF5"/>
    <mergeCell ref="B7:AF7"/>
    <mergeCell ref="B8:W8"/>
    <mergeCell ref="X8:AC8"/>
    <mergeCell ref="B9:W9"/>
    <mergeCell ref="X9:AC9"/>
    <mergeCell ref="B10:W10"/>
    <mergeCell ref="X10:AC10"/>
    <mergeCell ref="B12:W12"/>
    <mergeCell ref="X12:AB12"/>
    <mergeCell ref="B14:AF14"/>
    <mergeCell ref="B15:W15"/>
    <mergeCell ref="X15:AC15"/>
    <mergeCell ref="B16:W16"/>
    <mergeCell ref="X16:AC16"/>
    <mergeCell ref="B17:W17"/>
    <mergeCell ref="X17:AC17"/>
    <mergeCell ref="B18:W18"/>
    <mergeCell ref="X18:AC18"/>
    <mergeCell ref="B19:W19"/>
    <mergeCell ref="X19:AC19"/>
    <mergeCell ref="B20:W20"/>
    <mergeCell ref="X20:AC20"/>
    <mergeCell ref="B22:W22"/>
    <mergeCell ref="X22:AB22"/>
    <mergeCell ref="B23:W23"/>
    <mergeCell ref="X23:AB23"/>
    <mergeCell ref="B25:AF25"/>
    <mergeCell ref="B26:W26"/>
    <mergeCell ref="X26:AC26"/>
    <mergeCell ref="B27:W27"/>
    <mergeCell ref="X27:AC27"/>
    <mergeCell ref="B29:W29"/>
    <mergeCell ref="X29:AB29"/>
    <mergeCell ref="B31:AF31"/>
    <mergeCell ref="B32:W32"/>
    <mergeCell ref="X32:AC32"/>
    <mergeCell ref="B33:W33"/>
    <mergeCell ref="X33:AC33"/>
    <mergeCell ref="B34:W34"/>
    <mergeCell ref="X34:AC34"/>
    <mergeCell ref="B35:W35"/>
    <mergeCell ref="X35:AC35"/>
    <mergeCell ref="B36:W36"/>
    <mergeCell ref="X36:AC36"/>
    <mergeCell ref="B37:W37"/>
    <mergeCell ref="X37:AC37"/>
    <mergeCell ref="B38:W38"/>
    <mergeCell ref="X38:AC38"/>
    <mergeCell ref="B40:W40"/>
    <mergeCell ref="X40:AB40"/>
    <mergeCell ref="B41:W41"/>
    <mergeCell ref="X41:AB41"/>
  </mergeCells>
  <conditionalFormatting sqref="B4:AG4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1:AF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100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101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102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16.5" hidden="false" customHeight="true" outlineLevel="0" collapsed="false">
      <c r="B5" s="4" t="s">
        <v>63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7" customFormat="false" ht="33" hidden="false" customHeight="true" outlineLevel="0" collapsed="false">
      <c r="B7" s="3" t="s">
        <v>64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customFormat="false" ht="17.25" hidden="false" customHeight="true" outlineLevel="0" collapsed="false">
      <c r="B8" s="10" t="s">
        <v>25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 t="s">
        <v>65</v>
      </c>
      <c r="P8" s="11"/>
      <c r="Q8" s="11"/>
      <c r="R8" s="11"/>
      <c r="S8" s="11"/>
      <c r="T8" s="11"/>
      <c r="U8" s="11" t="s">
        <v>66</v>
      </c>
      <c r="V8" s="11"/>
      <c r="W8" s="11"/>
      <c r="X8" s="11"/>
      <c r="Y8" s="11"/>
      <c r="Z8" s="11"/>
      <c r="AA8" s="11" t="s">
        <v>67</v>
      </c>
      <c r="AB8" s="11"/>
      <c r="AC8" s="11"/>
      <c r="AD8" s="11"/>
      <c r="AE8" s="11"/>
      <c r="AF8" s="11"/>
    </row>
    <row r="9" customFormat="false" ht="30.75" hidden="false" customHeight="true" outlineLevel="0" collapsed="false">
      <c r="B9" s="12" t="s">
        <v>68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3" t="n">
        <f aca="false">40000</f>
        <v>40000</v>
      </c>
      <c r="P9" s="33"/>
      <c r="Q9" s="33"/>
      <c r="R9" s="33"/>
      <c r="S9" s="33"/>
      <c r="T9" s="34"/>
      <c r="U9" s="33" t="n">
        <f aca="false">0</f>
        <v>0</v>
      </c>
      <c r="V9" s="33"/>
      <c r="W9" s="33"/>
      <c r="X9" s="33"/>
      <c r="Y9" s="33"/>
      <c r="Z9" s="34"/>
      <c r="AA9" s="33" t="n">
        <f aca="false">40000</f>
        <v>40000</v>
      </c>
      <c r="AB9" s="33"/>
      <c r="AC9" s="33"/>
      <c r="AD9" s="33"/>
      <c r="AE9" s="33"/>
      <c r="AF9" s="34"/>
    </row>
    <row r="10" customFormat="false" ht="17.25" hidden="false" customHeight="true" outlineLevel="0" collapsed="false">
      <c r="B10" s="12" t="s">
        <v>69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33" t="n">
        <f aca="false">3600</f>
        <v>3600</v>
      </c>
      <c r="P10" s="33"/>
      <c r="Q10" s="33"/>
      <c r="R10" s="33"/>
      <c r="S10" s="33"/>
      <c r="T10" s="34"/>
      <c r="U10" s="33" t="n">
        <f aca="false">3600</f>
        <v>3600</v>
      </c>
      <c r="V10" s="33"/>
      <c r="W10" s="33"/>
      <c r="X10" s="33"/>
      <c r="Y10" s="33"/>
      <c r="Z10" s="34"/>
      <c r="AA10" s="33" t="n">
        <f aca="false">0</f>
        <v>0</v>
      </c>
      <c r="AB10" s="33"/>
      <c r="AC10" s="33"/>
      <c r="AD10" s="33"/>
      <c r="AE10" s="33"/>
      <c r="AF10" s="34"/>
    </row>
    <row r="11" customFormat="false" ht="30.75" hidden="false" customHeight="true" outlineLevel="0" collapsed="false">
      <c r="B11" s="12" t="s">
        <v>70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33" t="n">
        <f aca="false">4000</f>
        <v>4000</v>
      </c>
      <c r="P11" s="33"/>
      <c r="Q11" s="33"/>
      <c r="R11" s="33"/>
      <c r="S11" s="33"/>
      <c r="T11" s="34"/>
      <c r="U11" s="33" t="n">
        <f aca="false">4000</f>
        <v>4000</v>
      </c>
      <c r="V11" s="33"/>
      <c r="W11" s="33"/>
      <c r="X11" s="33"/>
      <c r="Y11" s="33"/>
      <c r="Z11" s="34"/>
      <c r="AA11" s="33" t="n">
        <f aca="false">0</f>
        <v>0</v>
      </c>
      <c r="AB11" s="33"/>
      <c r="AC11" s="33"/>
      <c r="AD11" s="33"/>
      <c r="AE11" s="33"/>
      <c r="AF11" s="34"/>
    </row>
    <row r="12" customFormat="false" ht="30.75" hidden="false" customHeight="true" outlineLevel="0" collapsed="false">
      <c r="B12" s="12" t="s">
        <v>71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33" t="n">
        <f aca="false">800</f>
        <v>800</v>
      </c>
      <c r="P12" s="33"/>
      <c r="Q12" s="33"/>
      <c r="R12" s="33"/>
      <c r="S12" s="33"/>
      <c r="T12" s="34"/>
      <c r="U12" s="33" t="n">
        <f aca="false">0</f>
        <v>0</v>
      </c>
      <c r="V12" s="33"/>
      <c r="W12" s="33"/>
      <c r="X12" s="33"/>
      <c r="Y12" s="33"/>
      <c r="Z12" s="34"/>
      <c r="AA12" s="33" t="n">
        <f aca="false">800</f>
        <v>800</v>
      </c>
      <c r="AB12" s="33"/>
      <c r="AC12" s="33"/>
      <c r="AD12" s="33"/>
      <c r="AE12" s="33"/>
      <c r="AF12" s="34"/>
    </row>
    <row r="13" customFormat="false" ht="17.25" hidden="false" customHeight="true" outlineLevel="0" collapsed="false">
      <c r="B13" s="12" t="s">
        <v>72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33" t="n">
        <f aca="false">-900</f>
        <v>-900</v>
      </c>
      <c r="P13" s="33"/>
      <c r="Q13" s="33"/>
      <c r="R13" s="33"/>
      <c r="S13" s="33"/>
      <c r="T13" s="34"/>
      <c r="U13" s="33" t="n">
        <f aca="false">0</f>
        <v>0</v>
      </c>
      <c r="V13" s="33"/>
      <c r="W13" s="33"/>
      <c r="X13" s="33"/>
      <c r="Y13" s="33"/>
      <c r="Z13" s="34"/>
      <c r="AA13" s="33" t="n">
        <f aca="false">-900</f>
        <v>-900</v>
      </c>
      <c r="AB13" s="33"/>
      <c r="AC13" s="33"/>
      <c r="AD13" s="33"/>
      <c r="AE13" s="33"/>
      <c r="AF13" s="34"/>
    </row>
    <row r="14" customFormat="false" ht="30.75" hidden="false" customHeight="true" outlineLevel="0" collapsed="false">
      <c r="B14" s="12" t="s">
        <v>73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33" t="n">
        <f aca="false">-3400</f>
        <v>-3400</v>
      </c>
      <c r="P14" s="33"/>
      <c r="Q14" s="33"/>
      <c r="R14" s="33"/>
      <c r="S14" s="33"/>
      <c r="T14" s="34"/>
      <c r="U14" s="33" t="n">
        <f aca="false">-3600</f>
        <v>-3600</v>
      </c>
      <c r="V14" s="33"/>
      <c r="W14" s="33"/>
      <c r="X14" s="33"/>
      <c r="Y14" s="33"/>
      <c r="Z14" s="34"/>
      <c r="AA14" s="33" t="n">
        <f aca="false">200</f>
        <v>200</v>
      </c>
      <c r="AB14" s="33"/>
      <c r="AC14" s="33"/>
      <c r="AD14" s="33"/>
      <c r="AE14" s="33"/>
      <c r="AF14" s="34"/>
    </row>
    <row r="15" customFormat="false" ht="17.25" hidden="false" customHeight="true" outlineLevel="0" collapsed="false">
      <c r="B15" s="12" t="s">
        <v>74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33" t="n">
        <f aca="false">-300</f>
        <v>-300</v>
      </c>
      <c r="P15" s="33"/>
      <c r="Q15" s="33"/>
      <c r="R15" s="33"/>
      <c r="S15" s="33"/>
      <c r="T15" s="34"/>
      <c r="U15" s="33" t="n">
        <f aca="false">0</f>
        <v>0</v>
      </c>
      <c r="V15" s="33"/>
      <c r="W15" s="33"/>
      <c r="X15" s="33"/>
      <c r="Y15" s="33"/>
      <c r="Z15" s="34"/>
      <c r="AA15" s="33" t="n">
        <f aca="false">-300</f>
        <v>-300</v>
      </c>
      <c r="AB15" s="33"/>
      <c r="AC15" s="33"/>
      <c r="AD15" s="33"/>
      <c r="AE15" s="33"/>
      <c r="AF15" s="34"/>
    </row>
    <row r="16" customFormat="false" ht="17.25" hidden="false" customHeight="true" outlineLevel="0" collapsed="false">
      <c r="B16" s="12" t="s">
        <v>75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33" t="n">
        <f aca="false">450</f>
        <v>450</v>
      </c>
      <c r="P16" s="33"/>
      <c r="Q16" s="33"/>
      <c r="R16" s="33"/>
      <c r="S16" s="33"/>
      <c r="T16" s="34"/>
      <c r="U16" s="33" t="n">
        <f aca="false">0</f>
        <v>0</v>
      </c>
      <c r="V16" s="33"/>
      <c r="W16" s="33"/>
      <c r="X16" s="33"/>
      <c r="Y16" s="33"/>
      <c r="Z16" s="34"/>
      <c r="AA16" s="33" t="n">
        <f aca="false">450</f>
        <v>450</v>
      </c>
      <c r="AB16" s="33"/>
      <c r="AC16" s="33"/>
      <c r="AD16" s="33"/>
      <c r="AE16" s="33"/>
      <c r="AF16" s="34"/>
    </row>
    <row r="18" customFormat="false" ht="18.75" hidden="false" customHeight="true" outlineLevel="0" collapsed="false">
      <c r="B18" s="3" t="s">
        <v>76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customFormat="false" ht="17.25" hidden="false" customHeight="true" outlineLevel="0" collapsed="false">
      <c r="B19" s="18" t="s">
        <v>46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33" t="n">
        <f aca="false">$O$9+$O$10+$O$11+$O$12+$O$13+$O$14+$O$15+$O$16</f>
        <v>44250</v>
      </c>
      <c r="Y19" s="33"/>
      <c r="Z19" s="33"/>
      <c r="AA19" s="33"/>
      <c r="AB19" s="33"/>
    </row>
    <row r="20" customFormat="false" ht="17.25" hidden="false" customHeight="true" outlineLevel="0" collapsed="false">
      <c r="B20" s="18" t="s">
        <v>77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33" t="n">
        <f aca="false">$U$9+$U$10+$U$11+$U$12+$U$13+$U$14+$U$15+$U$16</f>
        <v>4000</v>
      </c>
      <c r="Y20" s="33"/>
      <c r="Z20" s="33"/>
      <c r="AA20" s="33"/>
      <c r="AB20" s="33"/>
    </row>
    <row r="21" customFormat="false" ht="17.25" hidden="false" customHeight="true" outlineLevel="0" collapsed="false">
      <c r="B21" s="18" t="s">
        <v>67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33" t="n">
        <f aca="false">$AA$9+$AA$10+$AA$11+$AA$12+$AA$13+$AA$14+$AA$15+$AA$16</f>
        <v>40250</v>
      </c>
      <c r="Y21" s="33"/>
      <c r="Z21" s="33"/>
      <c r="AA21" s="33"/>
      <c r="AB21" s="33"/>
    </row>
  </sheetData>
  <mergeCells count="48">
    <mergeCell ref="B1:AF1"/>
    <mergeCell ref="B2:AF2"/>
    <mergeCell ref="B3:AF3"/>
    <mergeCell ref="B5:AF5"/>
    <mergeCell ref="B7:AF7"/>
    <mergeCell ref="B8:N8"/>
    <mergeCell ref="O8:T8"/>
    <mergeCell ref="U8:Z8"/>
    <mergeCell ref="AA8:AF8"/>
    <mergeCell ref="B9:N9"/>
    <mergeCell ref="O9:S9"/>
    <mergeCell ref="U9:Y9"/>
    <mergeCell ref="AA9:AE9"/>
    <mergeCell ref="B10:N10"/>
    <mergeCell ref="O10:S10"/>
    <mergeCell ref="U10:Y10"/>
    <mergeCell ref="AA10:AE10"/>
    <mergeCell ref="B11:N11"/>
    <mergeCell ref="O11:S11"/>
    <mergeCell ref="U11:Y11"/>
    <mergeCell ref="AA11:AE11"/>
    <mergeCell ref="B12:N12"/>
    <mergeCell ref="O12:S12"/>
    <mergeCell ref="U12:Y12"/>
    <mergeCell ref="AA12:AE12"/>
    <mergeCell ref="B13:N13"/>
    <mergeCell ref="O13:S13"/>
    <mergeCell ref="U13:Y13"/>
    <mergeCell ref="AA13:AE13"/>
    <mergeCell ref="B14:N14"/>
    <mergeCell ref="O14:S14"/>
    <mergeCell ref="U14:Y14"/>
    <mergeCell ref="AA14:AE14"/>
    <mergeCell ref="B15:N15"/>
    <mergeCell ref="O15:S15"/>
    <mergeCell ref="U15:Y15"/>
    <mergeCell ref="AA15:AE15"/>
    <mergeCell ref="B16:N16"/>
    <mergeCell ref="O16:S16"/>
    <mergeCell ref="U16:Y16"/>
    <mergeCell ref="AA16:AE16"/>
    <mergeCell ref="B18:AF18"/>
    <mergeCell ref="B19:W19"/>
    <mergeCell ref="X19:AB19"/>
    <mergeCell ref="B20:W20"/>
    <mergeCell ref="X20:AB20"/>
    <mergeCell ref="B21:W21"/>
    <mergeCell ref="X21:AB21"/>
  </mergeCells>
  <conditionalFormatting sqref="B1:AG2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1:AF4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4" min="2" style="0" width="4.6"/>
  </cols>
  <sheetData>
    <row r="1" customFormat="false" ht="25.5" hidden="false" customHeight="true" outlineLevel="0" collapsed="false">
      <c r="B1" s="1" t="s">
        <v>103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B2" s="14" t="s">
        <v>101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customFormat="false" ht="15" hidden="false" customHeight="false" outlineLevel="0" collapsed="false">
      <c r="B3" s="14" t="s">
        <v>102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5" customFormat="false" ht="16.5" hidden="false" customHeight="true" outlineLevel="0" collapsed="false">
      <c r="B5" s="4" t="s">
        <v>79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7" customFormat="false" ht="18.75" hidden="false" customHeight="true" outlineLevel="0" collapsed="false">
      <c r="B7" s="3" t="s">
        <v>80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customFormat="false" ht="15" hidden="false" customHeight="false" outlineLevel="0" collapsed="false">
      <c r="B8" s="21" t="s">
        <v>81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2" t="s">
        <v>82</v>
      </c>
      <c r="Y8" s="22"/>
      <c r="Z8" s="22"/>
      <c r="AA8" s="22"/>
      <c r="AB8" s="22"/>
      <c r="AC8" s="22"/>
    </row>
    <row r="9" customFormat="false" ht="16.5" hidden="false" customHeight="true" outlineLevel="0" collapsed="false">
      <c r="B9" s="12" t="s">
        <v>65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35" t="n">
        <f aca="false">S2!X9</f>
        <v>96500</v>
      </c>
      <c r="Y9" s="35"/>
      <c r="Z9" s="35"/>
      <c r="AA9" s="35"/>
      <c r="AB9" s="35"/>
      <c r="AC9" s="35"/>
    </row>
    <row r="10" customFormat="false" ht="16.5" hidden="false" customHeight="true" outlineLevel="0" collapsed="false">
      <c r="B10" s="12" t="s">
        <v>66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35" t="n">
        <f aca="false">S2!X10</f>
        <v>31200</v>
      </c>
      <c r="Y10" s="35"/>
      <c r="Z10" s="35"/>
      <c r="AA10" s="35"/>
      <c r="AB10" s="35"/>
      <c r="AC10" s="35"/>
    </row>
    <row r="12" customFormat="false" ht="17.25" hidden="false" customHeight="true" outlineLevel="0" collapsed="false">
      <c r="B12" s="18" t="s">
        <v>83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33" t="n">
        <f aca="false">$X$9-$X$10</f>
        <v>65300</v>
      </c>
      <c r="Y12" s="33"/>
      <c r="Z12" s="33"/>
      <c r="AA12" s="33"/>
      <c r="AB12" s="33"/>
    </row>
    <row r="14" customFormat="false" ht="18.75" hidden="false" customHeight="true" outlineLevel="0" collapsed="false">
      <c r="B14" s="3" t="s">
        <v>84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customFormat="false" ht="15" hidden="false" customHeight="false" outlineLevel="0" collapsed="false">
      <c r="B15" s="21" t="s">
        <v>81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 t="s">
        <v>82</v>
      </c>
      <c r="Y15" s="22"/>
      <c r="Z15" s="22"/>
      <c r="AA15" s="22"/>
      <c r="AB15" s="22"/>
      <c r="AC15" s="22"/>
    </row>
    <row r="16" customFormat="false" ht="16.5" hidden="false" customHeight="true" outlineLevel="0" collapsed="false">
      <c r="B16" s="12" t="s">
        <v>85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35" t="n">
        <f aca="false">S2!X16</f>
        <v>48000</v>
      </c>
      <c r="Y16" s="35"/>
      <c r="Z16" s="35"/>
      <c r="AA16" s="35"/>
      <c r="AB16" s="35"/>
      <c r="AC16" s="35"/>
    </row>
    <row r="17" customFormat="false" ht="16.5" hidden="false" customHeight="true" outlineLevel="0" collapsed="false">
      <c r="B17" s="12" t="s">
        <v>86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35" t="n">
        <f aca="false">S2!X17</f>
        <v>5000</v>
      </c>
      <c r="Y17" s="35"/>
      <c r="Z17" s="35"/>
      <c r="AA17" s="35"/>
      <c r="AB17" s="35"/>
      <c r="AC17" s="35"/>
    </row>
    <row r="18" customFormat="false" ht="16.5" hidden="false" customHeight="true" outlineLevel="0" collapsed="false">
      <c r="B18" s="12" t="s">
        <v>87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35" t="n">
        <f aca="false">S2!X18</f>
        <v>36500</v>
      </c>
      <c r="Y18" s="35"/>
      <c r="Z18" s="35"/>
      <c r="AA18" s="35"/>
      <c r="AB18" s="35"/>
      <c r="AC18" s="35"/>
    </row>
    <row r="19" customFormat="false" ht="16.5" hidden="false" customHeight="true" outlineLevel="0" collapsed="false">
      <c r="B19" s="12" t="s">
        <v>88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35" t="n">
        <f aca="false">S2!X19</f>
        <v>21800</v>
      </c>
      <c r="Y19" s="35"/>
      <c r="Z19" s="35"/>
      <c r="AA19" s="35"/>
      <c r="AB19" s="35"/>
      <c r="AC19" s="35"/>
    </row>
    <row r="20" customFormat="false" ht="16.5" hidden="false" customHeight="true" outlineLevel="0" collapsed="false">
      <c r="B20" s="12" t="s">
        <v>89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35" t="n">
        <f aca="false">S2!X20</f>
        <v>6200</v>
      </c>
      <c r="Y20" s="35"/>
      <c r="Z20" s="35"/>
      <c r="AA20" s="35"/>
      <c r="AB20" s="35"/>
      <c r="AC20" s="35"/>
    </row>
    <row r="22" customFormat="false" ht="17.25" hidden="false" customHeight="true" outlineLevel="0" collapsed="false">
      <c r="B22" s="18" t="s">
        <v>90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33" t="n">
        <f aca="false">$X$18-$X$19</f>
        <v>14700</v>
      </c>
      <c r="Y22" s="33"/>
      <c r="Z22" s="33"/>
      <c r="AA22" s="33"/>
      <c r="AB22" s="33"/>
    </row>
    <row r="23" customFormat="false" ht="17.25" hidden="false" customHeight="true" outlineLevel="0" collapsed="false">
      <c r="B23" s="18" t="s">
        <v>91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33" t="n">
        <f aca="false">$X$16+$X$17+$X$22-$X$20</f>
        <v>61500</v>
      </c>
      <c r="Y23" s="33"/>
      <c r="Z23" s="33"/>
      <c r="AA23" s="33"/>
      <c r="AB23" s="33"/>
    </row>
    <row r="25" customFormat="false" ht="18.75" hidden="false" customHeight="true" outlineLevel="0" collapsed="false">
      <c r="B25" s="3" t="s">
        <v>92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customFormat="false" ht="15" hidden="false" customHeight="false" outlineLevel="0" collapsed="false">
      <c r="B26" s="21" t="s">
        <v>81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2" t="s">
        <v>82</v>
      </c>
      <c r="Y26" s="22"/>
      <c r="Z26" s="22"/>
      <c r="AA26" s="22"/>
      <c r="AB26" s="22"/>
      <c r="AC26" s="22"/>
    </row>
    <row r="27" customFormat="false" ht="16.5" hidden="false" customHeight="true" outlineLevel="0" collapsed="false">
      <c r="B27" s="12" t="s">
        <v>66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35" t="n">
        <f aca="false">S2!X27</f>
        <v>18300</v>
      </c>
      <c r="Y27" s="35"/>
      <c r="Z27" s="35"/>
      <c r="AA27" s="35"/>
      <c r="AB27" s="35"/>
      <c r="AC27" s="35"/>
    </row>
    <row r="29" customFormat="false" ht="17.25" hidden="false" customHeight="true" outlineLevel="0" collapsed="false">
      <c r="B29" s="18" t="s">
        <v>93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33" t="n">
        <f aca="false">$X$23+$X$27</f>
        <v>79800</v>
      </c>
      <c r="Y29" s="33"/>
      <c r="Z29" s="33"/>
      <c r="AA29" s="33"/>
      <c r="AB29" s="33"/>
    </row>
    <row r="31" customFormat="false" ht="18.75" hidden="false" customHeight="true" outlineLevel="0" collapsed="false">
      <c r="B31" s="3" t="s">
        <v>94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customFormat="false" ht="15" hidden="false" customHeight="false" outlineLevel="0" collapsed="false">
      <c r="B32" s="21" t="s">
        <v>81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2" t="s">
        <v>82</v>
      </c>
      <c r="Y32" s="22"/>
      <c r="Z32" s="22"/>
      <c r="AA32" s="22"/>
      <c r="AB32" s="22"/>
      <c r="AC32" s="22"/>
    </row>
    <row r="33" customFormat="false" ht="16.5" hidden="false" customHeight="true" outlineLevel="0" collapsed="false">
      <c r="B33" s="12" t="s">
        <v>95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35" t="n">
        <f aca="false">S2!X33</f>
        <v>12000</v>
      </c>
      <c r="Y33" s="35"/>
      <c r="Z33" s="35"/>
      <c r="AA33" s="35"/>
      <c r="AB33" s="35"/>
      <c r="AC33" s="35"/>
    </row>
    <row r="34" customFormat="false" ht="16.5" hidden="false" customHeight="true" outlineLevel="0" collapsed="false">
      <c r="B34" s="12" t="s">
        <v>96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35" t="n">
        <f aca="false">S2!X34</f>
        <v>9500</v>
      </c>
      <c r="Y34" s="35"/>
      <c r="Z34" s="35"/>
      <c r="AA34" s="35"/>
      <c r="AB34" s="35"/>
      <c r="AC34" s="35"/>
    </row>
    <row r="35" customFormat="false" ht="16.5" hidden="false" customHeight="true" outlineLevel="0" collapsed="false">
      <c r="B35" s="12" t="s">
        <v>97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35" t="n">
        <f aca="false">S2!X35</f>
        <v>30000</v>
      </c>
      <c r="Y35" s="35"/>
      <c r="Z35" s="35"/>
      <c r="AA35" s="35"/>
      <c r="AB35" s="35"/>
      <c r="AC35" s="35"/>
    </row>
    <row r="36" customFormat="false" ht="16.5" hidden="false" customHeight="true" outlineLevel="0" collapsed="false">
      <c r="B36" s="12" t="s">
        <v>98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35" t="n">
        <f aca="false">S2!X36</f>
        <v>4200</v>
      </c>
      <c r="Y36" s="35"/>
      <c r="Z36" s="35"/>
      <c r="AA36" s="35"/>
      <c r="AB36" s="35"/>
      <c r="AC36" s="35"/>
    </row>
    <row r="37" customFormat="false" ht="16.5" hidden="false" customHeight="true" outlineLevel="0" collapsed="false">
      <c r="B37" s="12" t="s">
        <v>66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35" t="n">
        <f aca="false">S2!X37</f>
        <v>15000</v>
      </c>
      <c r="Y37" s="35"/>
      <c r="Z37" s="35"/>
      <c r="AA37" s="35"/>
      <c r="AB37" s="35"/>
      <c r="AC37" s="35"/>
    </row>
    <row r="38" customFormat="false" ht="16.5" hidden="false" customHeight="true" outlineLevel="0" collapsed="false">
      <c r="B38" s="12" t="s">
        <v>67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35" t="n">
        <f aca="false">S2!X38</f>
        <v>42000</v>
      </c>
      <c r="Y38" s="35"/>
      <c r="Z38" s="35"/>
      <c r="AA38" s="35"/>
      <c r="AB38" s="35"/>
      <c r="AC38" s="35"/>
    </row>
    <row r="40" customFormat="false" ht="17.25" hidden="false" customHeight="true" outlineLevel="0" collapsed="false">
      <c r="B40" s="18" t="s">
        <v>47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33" t="n">
        <f aca="false">$X$37+$X$38</f>
        <v>57000</v>
      </c>
      <c r="Y40" s="33"/>
      <c r="Z40" s="33"/>
      <c r="AA40" s="33"/>
      <c r="AB40" s="33"/>
    </row>
    <row r="41" customFormat="false" ht="17.25" hidden="false" customHeight="true" outlineLevel="0" collapsed="false">
      <c r="B41" s="18" t="s">
        <v>99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33" t="n">
        <f aca="false">$X$40-($X$33+$X$34+$X$35+$X$36)</f>
        <v>1300</v>
      </c>
      <c r="Y41" s="33"/>
      <c r="Z41" s="33"/>
      <c r="AA41" s="33"/>
      <c r="AB41" s="33"/>
    </row>
  </sheetData>
  <mergeCells count="56">
    <mergeCell ref="B1:AF1"/>
    <mergeCell ref="B2:AF2"/>
    <mergeCell ref="B3:AF3"/>
    <mergeCell ref="B5:AF5"/>
    <mergeCell ref="B7:AF7"/>
    <mergeCell ref="B8:W8"/>
    <mergeCell ref="X8:AC8"/>
    <mergeCell ref="B9:W9"/>
    <mergeCell ref="X9:AC9"/>
    <mergeCell ref="B10:W10"/>
    <mergeCell ref="X10:AC10"/>
    <mergeCell ref="B12:W12"/>
    <mergeCell ref="X12:AB12"/>
    <mergeCell ref="B14:AF14"/>
    <mergeCell ref="B15:W15"/>
    <mergeCell ref="X15:AC15"/>
    <mergeCell ref="B16:W16"/>
    <mergeCell ref="X16:AC16"/>
    <mergeCell ref="B17:W17"/>
    <mergeCell ref="X17:AC17"/>
    <mergeCell ref="B18:W18"/>
    <mergeCell ref="X18:AC18"/>
    <mergeCell ref="B19:W19"/>
    <mergeCell ref="X19:AC19"/>
    <mergeCell ref="B20:W20"/>
    <mergeCell ref="X20:AC20"/>
    <mergeCell ref="B22:W22"/>
    <mergeCell ref="X22:AB22"/>
    <mergeCell ref="B23:W23"/>
    <mergeCell ref="X23:AB23"/>
    <mergeCell ref="B25:AF25"/>
    <mergeCell ref="B26:W26"/>
    <mergeCell ref="X26:AC26"/>
    <mergeCell ref="B27:W27"/>
    <mergeCell ref="X27:AC27"/>
    <mergeCell ref="B29:W29"/>
    <mergeCell ref="X29:AB29"/>
    <mergeCell ref="B31:AF31"/>
    <mergeCell ref="B32:W32"/>
    <mergeCell ref="X32:AC32"/>
    <mergeCell ref="B33:W33"/>
    <mergeCell ref="X33:AC33"/>
    <mergeCell ref="B34:W34"/>
    <mergeCell ref="X34:AC34"/>
    <mergeCell ref="B35:W35"/>
    <mergeCell ref="X35:AC35"/>
    <mergeCell ref="B36:W36"/>
    <mergeCell ref="X36:AC36"/>
    <mergeCell ref="B37:W37"/>
    <mergeCell ref="X37:AC37"/>
    <mergeCell ref="B38:W38"/>
    <mergeCell ref="X38:AC38"/>
    <mergeCell ref="B40:W40"/>
    <mergeCell ref="X40:AB40"/>
    <mergeCell ref="B41:W41"/>
    <mergeCell ref="X41:AB41"/>
  </mergeCells>
  <conditionalFormatting sqref="B1:AG42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2026-10-02T09:01:13Z</dcterms:created>
  <dc:creator>openpyxl</dc:creator>
  <dc:description/>
  <dc:language>en-US</dc:language>
  <cp:lastModifiedBy/>
  <dcterms:modified xsi:type="dcterms:W3CDTF">2026-10-02T09:01:13Z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