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a Saya" sheetId="1" state="visible" r:id="rId3"/>
    <sheet name="Contoh AK" sheetId="2" state="visible" r:id="rId4"/>
    <sheet name="Contoh Kontra" sheetId="3" state="visible" r:id="rId5"/>
    <sheet name="S3" sheetId="4" state="visible" r:id="rId6"/>
    <sheet name="S4" sheetId="5" state="visible" r:id="rId7"/>
    <sheet name="S5" sheetId="6" state="visible" r:id="rId8"/>
    <sheet name="S3 Jawapan" sheetId="7" state="visible" r:id="rId9"/>
    <sheet name="S4 Jawapan" sheetId="8" state="visible" r:id="rId10"/>
    <sheet name="S5 Jawapan" sheetId="9" state="visible" r:id="rId11"/>
  </sheets>
  <definedNames>
    <definedName function="false" hidden="false" localSheetId="0" name="_xlnm.Print_Area" vbProcedure="false">'Baca Saya'!$A$1:$AG$24</definedName>
    <definedName function="false" hidden="false" localSheetId="1" name="_xlnm.Print_Area" vbProcedure="false">'Contoh AK'!$A$1:$AG$50</definedName>
    <definedName function="false" hidden="false" localSheetId="2" name="_xlnm.Print_Area" vbProcedure="false">'Contoh Kontra'!$A$1:$AG$26</definedName>
    <definedName function="false" hidden="false" localSheetId="3" name="_xlnm.Print_Area" vbProcedure="false">S3!$A$1:$AG$54</definedName>
    <definedName function="false" hidden="false" localSheetId="6" name="_xlnm.Print_Area" vbProcedure="false">'S3 Jawapan'!$A$1:$AG$54</definedName>
    <definedName function="false" hidden="false" localSheetId="4" name="_xlnm.Print_Area" vbProcedure="false">S4!$A$1:$AG$43</definedName>
    <definedName function="false" hidden="false" localSheetId="7" name="_xlnm.Print_Area" vbProcedure="false">'S4 Jawapan'!$A$1:$AG$43</definedName>
    <definedName function="false" hidden="false" localSheetId="5" name="_xlnm.Print_Area" vbProcedure="false">S5!$A$1:$AG$26</definedName>
    <definedName function="false" hidden="false" localSheetId="8" name="_xlnm.Print_Area" vbProcedure="false">'S5 Jawapan'!$A$1:$AG$26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<sst xmlns="http://schemas.openxmlformats.org/spreadsheetml/2006/main" count="567" uniqueCount="167">
  <si>
    <t xml:space="preserve">Lejar dan Akaun Kawalan</t>
  </si>
  <si>
    <t xml:space="preserve">Prinsip Akaun. Percuma untuk digunakan dan dikongsi. Bukan untuk dijual.</t>
  </si>
  <si>
    <t xml:space="preserve">Cara menggunakan buku kerja ini</t>
  </si>
  <si>
    <t xml:space="preserve">1. Baca nota dahulu. Kemudian buka tab Contoh (oren): tukar mana-mana angka biru dan lihat jawapan berubah.</t>
  </si>
  <si>
    <t xml:space="preserve">2. Cuba tab soalan (biru). Taip jawapan dalam sel kuning.</t>
  </si>
  <si>
    <t xml:space="preserve">3. Lajur kecil di sebelah setiap sel kuning menunjukkan ✓ (betul) atau ✗ (cuba lagi). Markah anda di bahagian atas.</t>
  </si>
  <si>
    <t xml:space="preserve">4. Tarikh dan butir diberikan supaya helaian dapat menyemak angka anda. Cuba tulis akaun di atas kertas dahulu.</t>
  </si>
  <si>
    <t xml:space="preserve">5. Tab Jawapan (hijau) menunjukkan jawapan penuh dalam format peperiksaan.</t>
  </si>
  <si>
    <t xml:space="preserve">Kunci warna</t>
  </si>
  <si>
    <t xml:space="preserve">Angka biru: maklumat soalan. Guru boleh menukarnya untuk membuat versi baharu.</t>
  </si>
  <si>
    <t xml:space="preserve">Angka hitam: formula. Jangan taip di atasnya.</t>
  </si>
  <si>
    <t xml:space="preserve">Sel kuning: taip jawapan anda di sini (nombor sahaja; 0 jika tiada).</t>
  </si>
  <si>
    <t xml:space="preserve">Sel hijau: jawapan yang betul (tab Jawapan).</t>
  </si>
  <si>
    <t xml:space="preserve">Helaian dalam buku kerja ini</t>
  </si>
  <si>
    <t xml:space="preserve">Helaian</t>
  </si>
  <si>
    <t xml:space="preserve">Kandungan</t>
  </si>
  <si>
    <t xml:space="preserve">Contoh AK</t>
  </si>
  <si>
    <t xml:space="preserve">Contoh (tab oren)</t>
  </si>
  <si>
    <t xml:space="preserve">Contoh Kontra</t>
  </si>
  <si>
    <t xml:space="preserve">S3</t>
  </si>
  <si>
    <t xml:space="preserve">Soalan 3 (Kertas 2): Akaun Kawalan Belum Terima dan Belum Bayar [13 markah]. Jawapan: S3 Jawapan (tab hijau).</t>
  </si>
  <si>
    <t xml:space="preserve">S4</t>
  </si>
  <si>
    <t xml:space="preserve">Soalan 4 (Kertas 2): Catatan kontra dan lejar bentuk berbaki [10 markah]. Jawapan: S4 Jawapan (tab hijau).</t>
  </si>
  <si>
    <t xml:space="preserve">S5</t>
  </si>
  <si>
    <t xml:space="preserve">Latihan tambahan: sebelah dan sumber maklumat. Jawapan: S5 Jawapan (tab hijau).</t>
  </si>
  <si>
    <t xml:space="preserve">Contoh. Tukar mana-mana angka biru dan semua jawapan di bawah akan dikemas kini.</t>
  </si>
  <si>
    <t xml:space="preserve">Angka hitam ialah formula. Jangan taip di atasnya.</t>
  </si>
  <si>
    <t xml:space="preserve">Contoh: Perniagaan Mesra, tahun berakhir 31 Disember 2025. Maklumat diambil daripada jurnal-jurnal dan Buku Tunai.</t>
  </si>
  <si>
    <t xml:space="preserve">Maklumat: Akaun Belum Terima</t>
  </si>
  <si>
    <t xml:space="preserve">Angka</t>
  </si>
  <si>
    <t xml:space="preserve">Akaun Belum Terima pada 1 Januari 2025 (RM)</t>
  </si>
  <si>
    <t xml:space="preserve">Jualan kredit (RM)</t>
  </si>
  <si>
    <t xml:space="preserve">Tunai dan cek diterima daripada pelanggan (RM)</t>
  </si>
  <si>
    <t xml:space="preserve">Diskaun diberi (RM)</t>
  </si>
  <si>
    <t xml:space="preserve">Pulangan jualan (RM)</t>
  </si>
  <si>
    <t xml:space="preserve">Hutang lapuk (RM)</t>
  </si>
  <si>
    <t xml:space="preserve">Cek pelanggan tak laku (RM)</t>
  </si>
  <si>
    <t xml:space="preserve">Kontra (RM)</t>
  </si>
  <si>
    <t xml:space="preserve">Faedah dikenakan atas akaun tertunggak (RM)</t>
  </si>
  <si>
    <t xml:space="preserve">Dt</t>
  </si>
  <si>
    <t xml:space="preserve">Akaun Kawalan Belum Terima</t>
  </si>
  <si>
    <t xml:space="preserve">Kt</t>
  </si>
  <si>
    <t xml:space="preserve">Tarikh</t>
  </si>
  <si>
    <t xml:space="preserve">Butir</t>
  </si>
  <si>
    <t xml:space="preserve">Folio</t>
  </si>
  <si>
    <t xml:space="preserve">Amaun</t>
  </si>
  <si>
    <t xml:space="preserve">2025</t>
  </si>
  <si>
    <t xml:space="preserve">RM</t>
  </si>
  <si>
    <t xml:space="preserve">Jan 1</t>
  </si>
  <si>
    <t xml:space="preserve">Baki b/b</t>
  </si>
  <si>
    <t xml:space="preserve">Dis 31</t>
  </si>
  <si>
    <t xml:space="preserve">Bank</t>
  </si>
  <si>
    <t xml:space="preserve">BT1</t>
  </si>
  <si>
    <t xml:space="preserve">Jualan</t>
  </si>
  <si>
    <t xml:space="preserve">JJ1</t>
  </si>
  <si>
    <t xml:space="preserve">Diskaun diberi</t>
  </si>
  <si>
    <t xml:space="preserve">Bank (cek tak laku)</t>
  </si>
  <si>
    <t xml:space="preserve">Pulangan jualan</t>
  </si>
  <si>
    <t xml:space="preserve">JPJ1</t>
  </si>
  <si>
    <t xml:space="preserve">Faedah</t>
  </si>
  <si>
    <t xml:space="preserve">JA1</t>
  </si>
  <si>
    <t xml:space="preserve">Hutang lapuk</t>
  </si>
  <si>
    <t xml:space="preserve">Kontra</t>
  </si>
  <si>
    <t xml:space="preserve">Baki h/b</t>
  </si>
  <si>
    <t xml:space="preserve">2026</t>
  </si>
  <si>
    <t xml:space="preserve">Maklumat: Akaun Belum Bayar</t>
  </si>
  <si>
    <t xml:space="preserve">Akaun Belum Bayar pada 1 Januari 2025 (RM)</t>
  </si>
  <si>
    <t xml:space="preserve">Belian kredit (RM)</t>
  </si>
  <si>
    <t xml:space="preserve">Cek dibayar kepada pembekal (RM)</t>
  </si>
  <si>
    <t xml:space="preserve">Diskaun diterima (RM)</t>
  </si>
  <si>
    <t xml:space="preserve">Pulangan belian (RM)</t>
  </si>
  <si>
    <t xml:space="preserve">Angkutan masuk dikenakan oleh pembekal (RM)</t>
  </si>
  <si>
    <t xml:space="preserve">Akaun Kawalan Belum Bayar</t>
  </si>
  <si>
    <t xml:space="preserve">Diskaun diterima</t>
  </si>
  <si>
    <t xml:space="preserve">Belian</t>
  </si>
  <si>
    <t xml:space="preserve">JB1</t>
  </si>
  <si>
    <t xml:space="preserve">Pulangan belian</t>
  </si>
  <si>
    <t xml:space="preserve">JPB1</t>
  </si>
  <si>
    <t xml:space="preserve">Angkutan masuk</t>
  </si>
  <si>
    <t xml:space="preserve">Contoh catatan kontra: Pembekal Yani ialah pembekal dan juga pelanggan Perniagaan Wawan. Pada 3 Januari 2016, Perniagaan Wawan membeli barang niaga RM1 500 daripada Pembekal Yani. Pada 5 Januari 2016, Perniagaan Wawan menjual barang niaga RM450 kepada Pembekal Yani. Baki yang lebih kecil (RM450) dipindahkan ke baki yang lebih besar.</t>
  </si>
  <si>
    <t xml:space="preserve">Maklumat soalan</t>
  </si>
  <si>
    <t xml:space="preserve">Belian daripada Pembekal Yani (RM)</t>
  </si>
  <si>
    <t xml:space="preserve">Jualan kepada Pembekal Yani (RM)</t>
  </si>
  <si>
    <t xml:space="preserve">Lejar Belian</t>
  </si>
  <si>
    <t xml:space="preserve">Akaun Belum Bayar: Pembekal Yani</t>
  </si>
  <si>
    <t xml:space="preserve">2016</t>
  </si>
  <si>
    <t xml:space="preserve">Jan 31</t>
  </si>
  <si>
    <t xml:space="preserve">Jan 3</t>
  </si>
  <si>
    <t xml:space="preserve">Feb 1</t>
  </si>
  <si>
    <t xml:space="preserve">Lejar Jualan</t>
  </si>
  <si>
    <t xml:space="preserve">Akaun Belum Terima: Pembekal Yani</t>
  </si>
  <si>
    <t xml:space="preserve">Jan 5</t>
  </si>
  <si>
    <t xml:space="preserve">Soalan 3 (Kertas 2): Akaun Kawalan Belum Terima dan Belum Bayar [13 markah]</t>
  </si>
  <si>
    <t xml:space="preserve">Taip jawapan anda dalam sel kuning. Nombor sahaja: tanpa RM, tanpa koma. Masukkan 0 jika tiada jawapan. Gunakan tanda tolak (-) untuk pengurangan. ✓ = betul, ✗ = cuba lagi.</t>
  </si>
  <si>
    <t xml:space="preserve">Markah anda:</t>
  </si>
  <si>
    <t xml:space="preserve">Encik Nizam ialah pemilik Kedai Alatulis Nizam. Maklumat berikut diperoleh daripada buku perniagaannya bagi tahun berakhir 30 Jun 2025.</t>
  </si>
  <si>
    <t xml:space="preserve">Baki</t>
  </si>
  <si>
    <t xml:space="preserve">Akaun Belum Terima pada 1 Julai 2024 (RM)</t>
  </si>
  <si>
    <t xml:space="preserve">Akaun Belum Terima pada 30 Jun 2025 (RM)</t>
  </si>
  <si>
    <t xml:space="preserve">Akaun Belum Bayar pada 1 Julai 2024 (RM)</t>
  </si>
  <si>
    <t xml:space="preserve">Akaun Belum Bayar pada 30 Jun 2025 (RM)</t>
  </si>
  <si>
    <t xml:space="preserve">Ringkasan Akaun Bank</t>
  </si>
  <si>
    <t xml:space="preserve">Diterima daripada Akaun Belum Terima (RM)</t>
  </si>
  <si>
    <t xml:space="preserve">Dibayar kepada Akaun Belum Bayar (RM)</t>
  </si>
  <si>
    <t xml:space="preserve">Maklumat tambahan</t>
  </si>
  <si>
    <t xml:space="preserve">Hutang lapuk dihapuskan (RM)</t>
  </si>
  <si>
    <t xml:space="preserve">Kontra antara Lejar Jualan dan Lejar Belian (RM)</t>
  </si>
  <si>
    <t xml:space="preserve">(a) Hitung jualan kredit dan belian kredit bagi tahun berakhir 30 Jun 2025. [2 markah]</t>
  </si>
  <si>
    <t xml:space="preserve">(b) Sediakan Akaun Kawalan Belum Terima bagi tahun berakhir 30 Jun 2025. [6 markah]</t>
  </si>
  <si>
    <t xml:space="preserve">2024</t>
  </si>
  <si>
    <t xml:space="preserve">Jul 1</t>
  </si>
  <si>
    <t xml:space="preserve">Jun 30</t>
  </si>
  <si>
    <t xml:space="preserve">(c) Sediakan Akaun Kawalan Belum Bayar bagi tahun berakhir 30 Jun 2025. [5 markah]</t>
  </si>
  <si>
    <t xml:space="preserve">Soalan 4 (Kertas 2): Catatan kontra dan lejar bentuk berbaki [10 markah]</t>
  </si>
  <si>
    <t xml:space="preserve">Kedai Lina ialah pelanggan dan juga pembekal kepada Perniagaan Danial. Urus niaga berikut berlaku pada bulan Januari 2025.</t>
  </si>
  <si>
    <t xml:space="preserve">•  1 Januari: Kedai Lina berhutang RM2 000 kepada Perniagaan Danial.</t>
  </si>
  <si>
    <t xml:space="preserve">•  6 Januari: Menjual barang niaga secara kredit kepada Kedai Lina RM1 800.</t>
  </si>
  <si>
    <t xml:space="preserve">•  12 Januari: Kedai Lina memulangkan barang niaga RM200.</t>
  </si>
  <si>
    <t xml:space="preserve">•  15 Januari: Membeli barang niaga secara kredit daripada Kedai Lina RM900.</t>
  </si>
  <si>
    <t xml:space="preserve">•  20 Januari: Menerima cek RM1 500 daripada Kedai Lina.</t>
  </si>
  <si>
    <t xml:space="preserve">•  31 Januari: Baki dalam Lejar Belian dipindahkan ke Lejar Jualan (kontra).</t>
  </si>
  <si>
    <t xml:space="preserve">Baki pada 1 Januari (RM)</t>
  </si>
  <si>
    <t xml:space="preserve">Cek diterima (RM)</t>
  </si>
  <si>
    <t xml:space="preserve">(a) Sediakan Akaun Belum Terima Kedai Lina dalam Lejar Jualan dalam bentuk berbaki. [5 markah]</t>
  </si>
  <si>
    <t xml:space="preserve">Tarikh dan butir (2025)</t>
  </si>
  <si>
    <t xml:space="preserve">Debit (RM)</t>
  </si>
  <si>
    <t xml:space="preserve">Kredit (RM)</t>
  </si>
  <si>
    <t xml:space="preserve">Baki (RM)</t>
  </si>
  <si>
    <t xml:space="preserve">Jan 1  Baki b/b</t>
  </si>
  <si>
    <t xml:space="preserve">Jan 6  Jualan</t>
  </si>
  <si>
    <t xml:space="preserve">Jan 12  Pulangan jualan</t>
  </si>
  <si>
    <t xml:space="preserve">Jan 20  Bank</t>
  </si>
  <si>
    <t xml:space="preserve">Jan 31  Kontra</t>
  </si>
  <si>
    <t xml:space="preserve">(b) Sediakan Akaun Belum Bayar Kedai Lina dalam Lejar Belian. [2 markah]</t>
  </si>
  <si>
    <t xml:space="preserve">Akaun Belum Bayar: Kedai Lina</t>
  </si>
  <si>
    <t xml:space="preserve">Jan 15</t>
  </si>
  <si>
    <t xml:space="preserve">(c) Di sebelah manakah catatan kontra direkodkan dalam Akaun Kawalan Belum Terima? [1 markah]</t>
  </si>
  <si>
    <t xml:space="preserve">Sebelah</t>
  </si>
  <si>
    <t xml:space="preserve">(d) Nyatakan dua implikasi Akaun Kawalan. [2 markah]</t>
  </si>
  <si>
    <t xml:space="preserve">Latihan tambahan: sebelah dan sumber maklumat</t>
  </si>
  <si>
    <t xml:space="preserve">Bagi setiap item, pilih sebelah yang betul dalam Akaun Kawalan Belum Terima (AKBT) atau Akaun Kawalan Belum Bayar (AKBB), dan sumber maklumatnya.</t>
  </si>
  <si>
    <t xml:space="preserve">1. Jualan kredit: sebelah</t>
  </si>
  <si>
    <t xml:space="preserve">1. Jualan kredit: sumber maklumat</t>
  </si>
  <si>
    <t xml:space="preserve">2. Belian kredit: sebelah</t>
  </si>
  <si>
    <t xml:space="preserve">2. Belian kredit: sumber maklumat</t>
  </si>
  <si>
    <t xml:space="preserve">3. Pulangan jualan: sebelah</t>
  </si>
  <si>
    <t xml:space="preserve">3. Pulangan jualan: sumber maklumat</t>
  </si>
  <si>
    <t xml:space="preserve">4. Pulangan belian: sebelah</t>
  </si>
  <si>
    <t xml:space="preserve">4. Pulangan belian: sumber maklumat</t>
  </si>
  <si>
    <t xml:space="preserve">5. Cek diterima daripada pelanggan: sebelah</t>
  </si>
  <si>
    <t xml:space="preserve">5. Cek diterima daripada pelanggan: sumber maklumat</t>
  </si>
  <si>
    <t xml:space="preserve">6. Diskaun diterima: sebelah</t>
  </si>
  <si>
    <t xml:space="preserve">6. Diskaun diterima: sumber maklumat</t>
  </si>
  <si>
    <t xml:space="preserve">7. Hutang lapuk dihapuskan: sebelah</t>
  </si>
  <si>
    <t xml:space="preserve">7. Hutang lapuk dihapuskan: sumber maklumat</t>
  </si>
  <si>
    <t xml:space="preserve">8. Cek pelanggan tak laku: sebelah</t>
  </si>
  <si>
    <t xml:space="preserve">8. Cek pelanggan tak laku: sumber maklumat</t>
  </si>
  <si>
    <t xml:space="preserve">9. Kontra (dalam Akaun Kawalan Belum Bayar): sebelah</t>
  </si>
  <si>
    <t xml:space="preserve">9. Kontra (dalam Akaun Kawalan Belum Bayar): sumber maklumat</t>
  </si>
  <si>
    <t xml:space="preserve">10. Faedah dikenakan oleh pembekal: sebelah</t>
  </si>
  <si>
    <t xml:space="preserve">10. Faedah dikenakan oleh pembekal: sumber maklumat</t>
  </si>
  <si>
    <t xml:space="preserve">Soalan 3 (Kertas 2): Akaun Kawalan Belum Terima dan Belum Bayar [13 markah]: Jawapan</t>
  </si>
  <si>
    <t xml:space="preserve">Helaian jawapan. Sel hijau mengandungi jawapan yang betul. Setiap angka ialah formula yang dipautkan kepada helaian soalan.</t>
  </si>
  <si>
    <t xml:space="preserve">Jawapan bertulis ialah jawapan contoh: perkataan lain yang membawa maksud yang sama juga diterima.</t>
  </si>
  <si>
    <t xml:space="preserve">Soalan 4 (Kertas 2): Catatan kontra dan lejar bentuk berbaki [10 markah]: Jawapan</t>
  </si>
  <si>
    <t xml:space="preserve">Mana-mana dua:
Sukar mengesan kesilapan ketinggalan catatan.
Sukar mengesan kesilapan menjumlahkan Akaun Belum Terima dan Akaun Belum Bayar.
Sukar mengesan kesilapan memindahkan catatan.</t>
  </si>
  <si>
    <t xml:space="preserve">Latihan tambahan: sebelah dan sumber maklumat: Jawapan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</si>
</sst>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i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D9E1F2"/>
      </patternFill>
    </fill>
    <fill>
      <patternFill patternType="solid">
        <fgColor rgb="FFF2F2F2"/>
        <bgColor rgb="FFEEF6E8"/>
      </patternFill>
    </fill>
    <fill>
      <patternFill patternType="solid">
        <fgColor rgb="FFFFF59D"/>
        <bgColor rgb="FFE2EFDA"/>
      </patternFill>
    </fill>
    <fill>
      <patternFill patternType="solid">
        <fgColor rgb="FFE2EFDA"/>
        <bgColor rgb="FFEEF6E8"/>
      </patternFill>
    </fill>
    <fill>
      <patternFill patternType="solid">
        <fgColor rgb="FFD9E1F2"/>
        <bgColor rgb="FFDDEBF7"/>
      </patternFill>
    </fill>
    <fill>
      <patternFill patternType="solid">
        <fgColor rgb="FFEEF6E8"/>
        <bgColor rgb="FFF2F2F2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 style="medium">
        <color rgb="FF1F3864"/>
      </left>
      <right/>
      <top/>
      <bottom style="medium">
        <color rgb="FF1F3864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 style="thin">
        <color rgb="FFB4C6E7"/>
      </left>
      <right style="thin">
        <color rgb="FFB4C6E7"/>
      </right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3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6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00B050"/>
      </font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EEF6E8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59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595959"/>
      <rgbColor rgb="FF70AD47"/>
      <rgbColor rgb="FF1F3864"/>
      <rgbColor rgb="FF00B050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1:AF23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4" min="2" style="0" width="4.6"/>
  </cols>
  <sheetData>
    <row r="1" customFormat="false" ht="25.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16.5" hidden="false" customHeight="true" outlineLevel="0" collapsed="false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4" customFormat="false" ht="18.75" hidden="false" customHeight="true" outlineLevel="0" collapsed="false">
      <c r="B4" s="3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customFormat="false" ht="16.5" hidden="false" customHeight="true" outlineLevel="0" collapsed="false">
      <c r="B5" s="4" t="s">
        <v>3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customFormat="false" ht="16.5" hidden="false" customHeight="true" outlineLevel="0" collapsed="false">
      <c r="B6" s="4" t="s">
        <v>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customFormat="false" ht="16.5" hidden="false" customHeight="true" outlineLevel="0" collapsed="false">
      <c r="B7" s="4" t="s">
        <v>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customFormat="false" ht="16.5" hidden="false" customHeight="true" outlineLevel="0" collapsed="false">
      <c r="B8" s="4" t="s">
        <v>6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customFormat="false" ht="16.5" hidden="false" customHeight="true" outlineLevel="0" collapsed="false">
      <c r="B9" s="4" t="s">
        <v>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1" customFormat="false" ht="18.75" hidden="false" customHeight="true" outlineLevel="0" collapsed="false">
      <c r="B11" s="3" t="s">
        <v>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customFormat="false" ht="15" hidden="false" customHeight="false" outlineLevel="0" collapsed="false">
      <c r="B12" s="5" t="n">
        <v>1000</v>
      </c>
      <c r="C12" s="5"/>
      <c r="D12" s="5"/>
      <c r="E12" s="5"/>
      <c r="F12" s="5"/>
      <c r="H12" s="6" t="s">
        <v>9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 customFormat="false" ht="15" hidden="false" customHeight="false" outlineLevel="0" collapsed="false">
      <c r="B13" s="7" t="n">
        <v>1000</v>
      </c>
      <c r="C13" s="7"/>
      <c r="D13" s="7"/>
      <c r="E13" s="7"/>
      <c r="F13" s="7"/>
      <c r="H13" s="6" t="s">
        <v>10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4" customFormat="false" ht="15" hidden="false" customHeight="false" outlineLevel="0" collapsed="false">
      <c r="B14" s="8"/>
      <c r="C14" s="8"/>
      <c r="D14" s="8"/>
      <c r="E14" s="8"/>
      <c r="F14" s="8"/>
      <c r="H14" s="6" t="s">
        <v>11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 customFormat="false" ht="15" hidden="false" customHeight="false" outlineLevel="0" collapsed="false">
      <c r="B15" s="9" t="n">
        <v>1000</v>
      </c>
      <c r="C15" s="9"/>
      <c r="D15" s="9"/>
      <c r="E15" s="9"/>
      <c r="F15" s="9"/>
      <c r="H15" s="6" t="s">
        <v>12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7" customFormat="false" ht="18.75" hidden="false" customHeight="true" outlineLevel="0" collapsed="false">
      <c r="B17" s="3" t="s">
        <v>13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customFormat="false" ht="17.25" hidden="false" customHeight="true" outlineLevel="0" collapsed="false">
      <c r="B18" s="10" t="s">
        <v>14</v>
      </c>
      <c r="C18" s="10"/>
      <c r="D18" s="10"/>
      <c r="E18" s="10"/>
      <c r="F18" s="10"/>
      <c r="G18" s="10"/>
      <c r="H18" s="10"/>
      <c r="I18" s="11" t="s">
        <v>15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</row>
    <row r="19" customFormat="false" ht="17.25" hidden="false" customHeight="true" outlineLevel="0" collapsed="false">
      <c r="B19" s="12" t="s">
        <v>16</v>
      </c>
      <c r="C19" s="12"/>
      <c r="D19" s="12"/>
      <c r="E19" s="12"/>
      <c r="F19" s="12"/>
      <c r="G19" s="12"/>
      <c r="H19" s="12"/>
      <c r="I19" s="13" t="s">
        <v>17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</row>
    <row r="20" customFormat="false" ht="17.25" hidden="false" customHeight="true" outlineLevel="0" collapsed="false">
      <c r="B20" s="12" t="s">
        <v>18</v>
      </c>
      <c r="C20" s="12"/>
      <c r="D20" s="12"/>
      <c r="E20" s="12"/>
      <c r="F20" s="12"/>
      <c r="G20" s="12"/>
      <c r="H20" s="12"/>
      <c r="I20" s="13" t="s">
        <v>17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</row>
    <row r="21" customFormat="false" ht="17.25" hidden="false" customHeight="true" outlineLevel="0" collapsed="false">
      <c r="B21" s="12" t="s">
        <v>19</v>
      </c>
      <c r="C21" s="12"/>
      <c r="D21" s="12"/>
      <c r="E21" s="12"/>
      <c r="F21" s="12"/>
      <c r="G21" s="12"/>
      <c r="H21" s="12"/>
      <c r="I21" s="13" t="s">
        <v>20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</row>
    <row r="22" customFormat="false" ht="17.25" hidden="false" customHeight="true" outlineLevel="0" collapsed="false">
      <c r="B22" s="12" t="s">
        <v>21</v>
      </c>
      <c r="C22" s="12"/>
      <c r="D22" s="12"/>
      <c r="E22" s="12"/>
      <c r="F22" s="12"/>
      <c r="G22" s="12"/>
      <c r="H22" s="12"/>
      <c r="I22" s="13" t="s">
        <v>22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</row>
    <row r="23" customFormat="false" ht="17.25" hidden="false" customHeight="true" outlineLevel="0" collapsed="false">
      <c r="B23" s="12" t="s">
        <v>23</v>
      </c>
      <c r="C23" s="12"/>
      <c r="D23" s="12"/>
      <c r="E23" s="12"/>
      <c r="F23" s="12"/>
      <c r="G23" s="12"/>
      <c r="H23" s="12"/>
      <c r="I23" s="13" t="s">
        <v>24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</row>
  </sheetData>
  <mergeCells count="30">
    <mergeCell ref="B1:AF1"/>
    <mergeCell ref="B2:AF2"/>
    <mergeCell ref="B4:AF4"/>
    <mergeCell ref="B5:AF5"/>
    <mergeCell ref="B6:AF6"/>
    <mergeCell ref="B7:AF7"/>
    <mergeCell ref="B8:AF8"/>
    <mergeCell ref="B9:AF9"/>
    <mergeCell ref="B11:AF11"/>
    <mergeCell ref="B12:F12"/>
    <mergeCell ref="H12:AF12"/>
    <mergeCell ref="B13:F13"/>
    <mergeCell ref="H13:AF13"/>
    <mergeCell ref="B14:F14"/>
    <mergeCell ref="H14:AF14"/>
    <mergeCell ref="B15:F15"/>
    <mergeCell ref="H15:AF15"/>
    <mergeCell ref="B17:AF17"/>
    <mergeCell ref="B18:H18"/>
    <mergeCell ref="I18:AF18"/>
    <mergeCell ref="B19:H19"/>
    <mergeCell ref="I19:AF19"/>
    <mergeCell ref="B20:H20"/>
    <mergeCell ref="I20:AF20"/>
    <mergeCell ref="B21:H21"/>
    <mergeCell ref="I21:AF21"/>
    <mergeCell ref="B22:H22"/>
    <mergeCell ref="I22:AF22"/>
    <mergeCell ref="B23:H23"/>
    <mergeCell ref="I23:AF23"/>
  </mergeCells>
  <conditionalFormatting sqref="B1:AG24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B1:AF49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4" min="2" style="0" width="4.6"/>
  </cols>
  <sheetData>
    <row r="1" customFormat="false" ht="25.5" hidden="false" customHeight="true" outlineLevel="0" collapsed="false">
      <c r="B1" s="1" t="s">
        <v>16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15" hidden="false" customHeight="false" outlineLevel="0" collapsed="false">
      <c r="B2" s="14" t="s">
        <v>25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 customFormat="false" ht="15" hidden="false" customHeight="false" outlineLevel="0" collapsed="false">
      <c r="B3" s="14" t="s">
        <v>26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</row>
    <row r="5" customFormat="false" ht="16.5" hidden="false" customHeight="true" outlineLevel="0" collapsed="false">
      <c r="B5" s="4" t="s">
        <v>27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customFormat="false" ht="15" hidden="false" customHeight="false" outlineLevel="0" collapsed="false">
      <c r="B6" s="15" t="s">
        <v>28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6" t="s">
        <v>29</v>
      </c>
      <c r="Y6" s="16"/>
      <c r="Z6" s="16"/>
      <c r="AA6" s="16"/>
      <c r="AB6" s="16"/>
      <c r="AC6" s="16"/>
    </row>
    <row r="7" customFormat="false" ht="16.5" hidden="false" customHeight="true" outlineLevel="0" collapsed="false">
      <c r="B7" s="12" t="s">
        <v>30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7" t="n">
        <v>12400</v>
      </c>
      <c r="Y7" s="17"/>
      <c r="Z7" s="17"/>
      <c r="AA7" s="17"/>
      <c r="AB7" s="17"/>
      <c r="AC7" s="17"/>
    </row>
    <row r="8" customFormat="false" ht="16.5" hidden="false" customHeight="true" outlineLevel="0" collapsed="false">
      <c r="B8" s="12" t="s">
        <v>31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7" t="n">
        <v>48600</v>
      </c>
      <c r="Y8" s="17"/>
      <c r="Z8" s="17"/>
      <c r="AA8" s="17"/>
      <c r="AB8" s="17"/>
      <c r="AC8" s="17"/>
    </row>
    <row r="9" customFormat="false" ht="16.5" hidden="false" customHeight="true" outlineLevel="0" collapsed="false">
      <c r="B9" s="12" t="s">
        <v>32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7" t="n">
        <v>41250</v>
      </c>
      <c r="Y9" s="17"/>
      <c r="Z9" s="17"/>
      <c r="AA9" s="17"/>
      <c r="AB9" s="17"/>
      <c r="AC9" s="17"/>
    </row>
    <row r="10" customFormat="false" ht="16.5" hidden="false" customHeight="true" outlineLevel="0" collapsed="false">
      <c r="B10" s="12" t="s">
        <v>33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7" t="n">
        <v>1150</v>
      </c>
      <c r="Y10" s="17"/>
      <c r="Z10" s="17"/>
      <c r="AA10" s="17"/>
      <c r="AB10" s="17"/>
      <c r="AC10" s="17"/>
    </row>
    <row r="11" customFormat="false" ht="16.5" hidden="false" customHeight="true" outlineLevel="0" collapsed="false">
      <c r="B11" s="12" t="s">
        <v>34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7" t="n">
        <v>860</v>
      </c>
      <c r="Y11" s="17"/>
      <c r="Z11" s="17"/>
      <c r="AA11" s="17"/>
      <c r="AB11" s="17"/>
      <c r="AC11" s="17"/>
    </row>
    <row r="12" customFormat="false" ht="16.5" hidden="false" customHeight="true" outlineLevel="0" collapsed="false">
      <c r="B12" s="12" t="s">
        <v>35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7" t="n">
        <v>540</v>
      </c>
      <c r="Y12" s="17"/>
      <c r="Z12" s="17"/>
      <c r="AA12" s="17"/>
      <c r="AB12" s="17"/>
      <c r="AC12" s="17"/>
    </row>
    <row r="13" customFormat="false" ht="16.5" hidden="false" customHeight="true" outlineLevel="0" collapsed="false">
      <c r="B13" s="12" t="s">
        <v>36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7" t="n">
        <v>700</v>
      </c>
      <c r="Y13" s="17"/>
      <c r="Z13" s="17"/>
      <c r="AA13" s="17"/>
      <c r="AB13" s="17"/>
      <c r="AC13" s="17"/>
    </row>
    <row r="14" customFormat="false" ht="16.5" hidden="false" customHeight="true" outlineLevel="0" collapsed="false">
      <c r="B14" s="12" t="s">
        <v>37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7" t="n">
        <v>380</v>
      </c>
      <c r="Y14" s="17"/>
      <c r="Z14" s="17"/>
      <c r="AA14" s="17"/>
      <c r="AB14" s="17"/>
      <c r="AC14" s="17"/>
    </row>
    <row r="15" customFormat="false" ht="16.5" hidden="false" customHeight="true" outlineLevel="0" collapsed="false">
      <c r="B15" s="12" t="s">
        <v>38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7" t="n">
        <v>60</v>
      </c>
      <c r="Y15" s="17"/>
      <c r="Z15" s="17"/>
      <c r="AA15" s="17"/>
      <c r="AB15" s="17"/>
      <c r="AC15" s="17"/>
    </row>
    <row r="17" customFormat="false" ht="15" hidden="false" customHeight="false" outlineLevel="0" collapsed="false">
      <c r="B17" s="18" t="s">
        <v>39</v>
      </c>
      <c r="C17" s="18"/>
      <c r="D17" s="18"/>
      <c r="E17" s="19" t="s">
        <v>40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20" t="s">
        <v>41</v>
      </c>
      <c r="AE17" s="20"/>
      <c r="AF17" s="20"/>
    </row>
    <row r="18" customFormat="false" ht="15" hidden="false" customHeight="false" outlineLevel="0" collapsed="false">
      <c r="B18" s="21" t="s">
        <v>42</v>
      </c>
      <c r="C18" s="21"/>
      <c r="D18" s="21"/>
      <c r="E18" s="21" t="s">
        <v>43</v>
      </c>
      <c r="F18" s="21"/>
      <c r="G18" s="21"/>
      <c r="H18" s="21"/>
      <c r="I18" s="21"/>
      <c r="J18" s="21"/>
      <c r="K18" s="21"/>
      <c r="L18" s="22" t="s">
        <v>44</v>
      </c>
      <c r="M18" s="23" t="s">
        <v>45</v>
      </c>
      <c r="N18" s="23"/>
      <c r="O18" s="23"/>
      <c r="P18" s="23"/>
      <c r="Q18" s="24"/>
      <c r="R18" s="25" t="s">
        <v>42</v>
      </c>
      <c r="S18" s="25"/>
      <c r="T18" s="25"/>
      <c r="U18" s="21" t="s">
        <v>43</v>
      </c>
      <c r="V18" s="21"/>
      <c r="W18" s="21"/>
      <c r="X18" s="21"/>
      <c r="Y18" s="21"/>
      <c r="Z18" s="21"/>
      <c r="AA18" s="21"/>
      <c r="AB18" s="22" t="s">
        <v>44</v>
      </c>
      <c r="AC18" s="23" t="s">
        <v>45</v>
      </c>
      <c r="AD18" s="23"/>
      <c r="AE18" s="23"/>
      <c r="AF18" s="23"/>
    </row>
    <row r="19" customFormat="false" ht="16.5" hidden="false" customHeight="true" outlineLevel="0" collapsed="false">
      <c r="B19" s="26" t="s">
        <v>46</v>
      </c>
      <c r="C19" s="26"/>
      <c r="D19" s="26"/>
      <c r="M19" s="27" t="s">
        <v>47</v>
      </c>
      <c r="N19" s="27"/>
      <c r="O19" s="27"/>
      <c r="R19" s="28" t="s">
        <v>46</v>
      </c>
      <c r="S19" s="28"/>
      <c r="T19" s="28"/>
      <c r="AC19" s="27" t="s">
        <v>47</v>
      </c>
      <c r="AD19" s="27"/>
      <c r="AE19" s="27"/>
    </row>
    <row r="20" customFormat="false" ht="17.25" hidden="false" customHeight="true" outlineLevel="0" collapsed="false">
      <c r="B20" s="6" t="s">
        <v>48</v>
      </c>
      <c r="C20" s="6"/>
      <c r="D20" s="6"/>
      <c r="E20" s="29" t="s">
        <v>49</v>
      </c>
      <c r="F20" s="29"/>
      <c r="G20" s="29"/>
      <c r="H20" s="29"/>
      <c r="I20" s="29"/>
      <c r="J20" s="29"/>
      <c r="K20" s="29"/>
      <c r="L20" s="30"/>
      <c r="M20" s="7" t="n">
        <f aca="false">$X$7</f>
        <v>12400</v>
      </c>
      <c r="N20" s="7"/>
      <c r="O20" s="7"/>
      <c r="R20" s="31" t="s">
        <v>50</v>
      </c>
      <c r="S20" s="31"/>
      <c r="T20" s="31"/>
      <c r="U20" s="29" t="s">
        <v>51</v>
      </c>
      <c r="V20" s="29"/>
      <c r="W20" s="29"/>
      <c r="X20" s="29"/>
      <c r="Y20" s="29"/>
      <c r="Z20" s="29"/>
      <c r="AA20" s="29"/>
      <c r="AB20" s="30" t="s">
        <v>52</v>
      </c>
      <c r="AC20" s="7" t="n">
        <f aca="false">$X$9</f>
        <v>41250</v>
      </c>
      <c r="AD20" s="7"/>
      <c r="AE20" s="7"/>
    </row>
    <row r="21" customFormat="false" ht="17.25" hidden="false" customHeight="true" outlineLevel="0" collapsed="false">
      <c r="B21" s="6" t="s">
        <v>50</v>
      </c>
      <c r="C21" s="6"/>
      <c r="D21" s="6"/>
      <c r="E21" s="29" t="s">
        <v>53</v>
      </c>
      <c r="F21" s="29"/>
      <c r="G21" s="29"/>
      <c r="H21" s="29"/>
      <c r="I21" s="29"/>
      <c r="J21" s="29"/>
      <c r="K21" s="29"/>
      <c r="L21" s="30" t="s">
        <v>54</v>
      </c>
      <c r="M21" s="7" t="n">
        <f aca="false">$X$8</f>
        <v>48600</v>
      </c>
      <c r="N21" s="7"/>
      <c r="O21" s="7"/>
      <c r="R21" s="31" t="s">
        <v>50</v>
      </c>
      <c r="S21" s="31"/>
      <c r="T21" s="31"/>
      <c r="U21" s="29" t="s">
        <v>55</v>
      </c>
      <c r="V21" s="29"/>
      <c r="W21" s="29"/>
      <c r="X21" s="29"/>
      <c r="Y21" s="29"/>
      <c r="Z21" s="29"/>
      <c r="AA21" s="29"/>
      <c r="AB21" s="30" t="s">
        <v>52</v>
      </c>
      <c r="AC21" s="7" t="n">
        <f aca="false">$X$10</f>
        <v>1150</v>
      </c>
      <c r="AD21" s="7"/>
      <c r="AE21" s="7"/>
    </row>
    <row r="22" customFormat="false" ht="17.25" hidden="false" customHeight="true" outlineLevel="0" collapsed="false">
      <c r="B22" s="6" t="s">
        <v>50</v>
      </c>
      <c r="C22" s="6"/>
      <c r="D22" s="6"/>
      <c r="E22" s="29" t="s">
        <v>56</v>
      </c>
      <c r="F22" s="29"/>
      <c r="G22" s="29"/>
      <c r="H22" s="29"/>
      <c r="I22" s="29"/>
      <c r="J22" s="29"/>
      <c r="K22" s="29"/>
      <c r="L22" s="30" t="s">
        <v>52</v>
      </c>
      <c r="M22" s="7" t="n">
        <f aca="false">$X$13</f>
        <v>700</v>
      </c>
      <c r="N22" s="7"/>
      <c r="O22" s="7"/>
      <c r="R22" s="31" t="s">
        <v>50</v>
      </c>
      <c r="S22" s="31"/>
      <c r="T22" s="31"/>
      <c r="U22" s="29" t="s">
        <v>57</v>
      </c>
      <c r="V22" s="29"/>
      <c r="W22" s="29"/>
      <c r="X22" s="29"/>
      <c r="Y22" s="29"/>
      <c r="Z22" s="29"/>
      <c r="AA22" s="29"/>
      <c r="AB22" s="30" t="s">
        <v>58</v>
      </c>
      <c r="AC22" s="7" t="n">
        <f aca="false">$X$11</f>
        <v>860</v>
      </c>
      <c r="AD22" s="7"/>
      <c r="AE22" s="7"/>
    </row>
    <row r="23" customFormat="false" ht="17.25" hidden="false" customHeight="true" outlineLevel="0" collapsed="false">
      <c r="B23" s="6" t="s">
        <v>50</v>
      </c>
      <c r="C23" s="6"/>
      <c r="D23" s="6"/>
      <c r="E23" s="29" t="s">
        <v>59</v>
      </c>
      <c r="F23" s="29"/>
      <c r="G23" s="29"/>
      <c r="H23" s="29"/>
      <c r="I23" s="29"/>
      <c r="J23" s="29"/>
      <c r="K23" s="29"/>
      <c r="L23" s="30" t="s">
        <v>60</v>
      </c>
      <c r="M23" s="7" t="n">
        <f aca="false">$X$15</f>
        <v>60</v>
      </c>
      <c r="N23" s="7"/>
      <c r="O23" s="7"/>
      <c r="R23" s="31" t="s">
        <v>50</v>
      </c>
      <c r="S23" s="31"/>
      <c r="T23" s="31"/>
      <c r="U23" s="29" t="s">
        <v>61</v>
      </c>
      <c r="V23" s="29"/>
      <c r="W23" s="29"/>
      <c r="X23" s="29"/>
      <c r="Y23" s="29"/>
      <c r="Z23" s="29"/>
      <c r="AA23" s="29"/>
      <c r="AB23" s="30" t="s">
        <v>60</v>
      </c>
      <c r="AC23" s="7" t="n">
        <f aca="false">$X$12</f>
        <v>540</v>
      </c>
      <c r="AD23" s="7"/>
      <c r="AE23" s="7"/>
    </row>
    <row r="24" customFormat="false" ht="17.25" hidden="false" customHeight="true" outlineLevel="0" collapsed="false">
      <c r="R24" s="31" t="s">
        <v>50</v>
      </c>
      <c r="S24" s="31"/>
      <c r="T24" s="31"/>
      <c r="U24" s="29" t="s">
        <v>62</v>
      </c>
      <c r="V24" s="29"/>
      <c r="W24" s="29"/>
      <c r="X24" s="29"/>
      <c r="Y24" s="29"/>
      <c r="Z24" s="29"/>
      <c r="AA24" s="29"/>
      <c r="AB24" s="30" t="s">
        <v>60</v>
      </c>
      <c r="AC24" s="7" t="n">
        <f aca="false">$X$14</f>
        <v>380</v>
      </c>
      <c r="AD24" s="7"/>
      <c r="AE24" s="7"/>
    </row>
    <row r="25" customFormat="false" ht="17.25" hidden="false" customHeight="true" outlineLevel="0" collapsed="false">
      <c r="R25" s="31" t="s">
        <v>50</v>
      </c>
      <c r="S25" s="31"/>
      <c r="T25" s="31"/>
      <c r="U25" s="29" t="s">
        <v>63</v>
      </c>
      <c r="V25" s="29"/>
      <c r="W25" s="29"/>
      <c r="X25" s="29"/>
      <c r="Y25" s="29"/>
      <c r="Z25" s="29"/>
      <c r="AA25" s="29"/>
      <c r="AB25" s="30"/>
      <c r="AC25" s="7" t="n">
        <f aca="false">$X$7+$X$8+$X$13+$X$15-($X$9+$X$10+$X$11+$X$12+$X$14)</f>
        <v>17580</v>
      </c>
      <c r="AD25" s="7"/>
      <c r="AE25" s="7"/>
    </row>
    <row r="26" customFormat="false" ht="16.5" hidden="false" customHeight="true" outlineLevel="0" collapsed="false">
      <c r="M26" s="32" t="n">
        <f aca="false">SUM(M19:M25)</f>
        <v>61760</v>
      </c>
      <c r="N26" s="32"/>
      <c r="O26" s="32"/>
      <c r="R26" s="33"/>
      <c r="AC26" s="32" t="n">
        <f aca="false">SUM(AC19:AC25)</f>
        <v>61760</v>
      </c>
      <c r="AD26" s="32"/>
      <c r="AE26" s="32"/>
    </row>
    <row r="27" customFormat="false" ht="16.5" hidden="false" customHeight="true" outlineLevel="0" collapsed="false">
      <c r="B27" s="26" t="s">
        <v>64</v>
      </c>
      <c r="C27" s="26"/>
      <c r="D27" s="26"/>
      <c r="R27" s="33"/>
    </row>
    <row r="28" customFormat="false" ht="17.25" hidden="false" customHeight="true" outlineLevel="0" collapsed="false">
      <c r="B28" s="6" t="s">
        <v>48</v>
      </c>
      <c r="C28" s="6"/>
      <c r="D28" s="6"/>
      <c r="E28" s="29" t="s">
        <v>49</v>
      </c>
      <c r="F28" s="29"/>
      <c r="G28" s="29"/>
      <c r="H28" s="29"/>
      <c r="I28" s="29"/>
      <c r="J28" s="29"/>
      <c r="K28" s="29"/>
      <c r="L28" s="30"/>
      <c r="M28" s="7" t="n">
        <f aca="false">$X$7+$X$8+$X$13+$X$15-($X$9+$X$10+$X$11+$X$12+$X$14)</f>
        <v>17580</v>
      </c>
      <c r="N28" s="7"/>
      <c r="O28" s="7"/>
      <c r="R28" s="33"/>
    </row>
    <row r="30" customFormat="false" ht="15" hidden="false" customHeight="false" outlineLevel="0" collapsed="false">
      <c r="B30" s="15" t="s">
        <v>65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6" t="s">
        <v>29</v>
      </c>
      <c r="Y30" s="16"/>
      <c r="Z30" s="16"/>
      <c r="AA30" s="16"/>
      <c r="AB30" s="16"/>
      <c r="AC30" s="16"/>
    </row>
    <row r="31" customFormat="false" ht="16.5" hidden="false" customHeight="true" outlineLevel="0" collapsed="false">
      <c r="B31" s="12" t="s">
        <v>66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7" t="n">
        <v>9300</v>
      </c>
      <c r="Y31" s="17"/>
      <c r="Z31" s="17"/>
      <c r="AA31" s="17"/>
      <c r="AB31" s="17"/>
      <c r="AC31" s="17"/>
    </row>
    <row r="32" customFormat="false" ht="16.5" hidden="false" customHeight="true" outlineLevel="0" collapsed="false">
      <c r="B32" s="12" t="s">
        <v>67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7" t="n">
        <v>36800</v>
      </c>
      <c r="Y32" s="17"/>
      <c r="Z32" s="17"/>
      <c r="AA32" s="17"/>
      <c r="AB32" s="17"/>
      <c r="AC32" s="17"/>
    </row>
    <row r="33" customFormat="false" ht="16.5" hidden="false" customHeight="true" outlineLevel="0" collapsed="false">
      <c r="B33" s="12" t="s">
        <v>68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7" t="n">
        <v>34100</v>
      </c>
      <c r="Y33" s="17"/>
      <c r="Z33" s="17"/>
      <c r="AA33" s="17"/>
      <c r="AB33" s="17"/>
      <c r="AC33" s="17"/>
    </row>
    <row r="34" customFormat="false" ht="16.5" hidden="false" customHeight="true" outlineLevel="0" collapsed="false">
      <c r="B34" s="12" t="s">
        <v>69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7" t="n">
        <v>920</v>
      </c>
      <c r="Y34" s="17"/>
      <c r="Z34" s="17"/>
      <c r="AA34" s="17"/>
      <c r="AB34" s="17"/>
      <c r="AC34" s="17"/>
    </row>
    <row r="35" customFormat="false" ht="16.5" hidden="false" customHeight="true" outlineLevel="0" collapsed="false">
      <c r="B35" s="12" t="s">
        <v>70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7" t="n">
        <v>640</v>
      </c>
      <c r="Y35" s="17"/>
      <c r="Z35" s="17"/>
      <c r="AA35" s="17"/>
      <c r="AB35" s="17"/>
      <c r="AC35" s="17"/>
    </row>
    <row r="36" customFormat="false" ht="16.5" hidden="false" customHeight="true" outlineLevel="0" collapsed="false">
      <c r="B36" s="12" t="s">
        <v>37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7" t="n">
        <v>380</v>
      </c>
      <c r="Y36" s="17"/>
      <c r="Z36" s="17"/>
      <c r="AA36" s="17"/>
      <c r="AB36" s="17"/>
      <c r="AC36" s="17"/>
    </row>
    <row r="37" customFormat="false" ht="16.5" hidden="false" customHeight="true" outlineLevel="0" collapsed="false">
      <c r="B37" s="12" t="s">
        <v>71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7" t="n">
        <v>150</v>
      </c>
      <c r="Y37" s="17"/>
      <c r="Z37" s="17"/>
      <c r="AA37" s="17"/>
      <c r="AB37" s="17"/>
      <c r="AC37" s="17"/>
    </row>
    <row r="39" customFormat="false" ht="15" hidden="false" customHeight="false" outlineLevel="0" collapsed="false">
      <c r="B39" s="18" t="s">
        <v>39</v>
      </c>
      <c r="C39" s="18"/>
      <c r="D39" s="18"/>
      <c r="E39" s="19" t="s">
        <v>72</v>
      </c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20" t="s">
        <v>41</v>
      </c>
      <c r="AE39" s="20"/>
      <c r="AF39" s="20"/>
    </row>
    <row r="40" customFormat="false" ht="15" hidden="false" customHeight="false" outlineLevel="0" collapsed="false">
      <c r="B40" s="21" t="s">
        <v>42</v>
      </c>
      <c r="C40" s="21"/>
      <c r="D40" s="21"/>
      <c r="E40" s="21" t="s">
        <v>43</v>
      </c>
      <c r="F40" s="21"/>
      <c r="G40" s="21"/>
      <c r="H40" s="21"/>
      <c r="I40" s="21"/>
      <c r="J40" s="21"/>
      <c r="K40" s="21"/>
      <c r="L40" s="22" t="s">
        <v>44</v>
      </c>
      <c r="M40" s="23" t="s">
        <v>45</v>
      </c>
      <c r="N40" s="23"/>
      <c r="O40" s="23"/>
      <c r="P40" s="23"/>
      <c r="Q40" s="24"/>
      <c r="R40" s="25" t="s">
        <v>42</v>
      </c>
      <c r="S40" s="25"/>
      <c r="T40" s="25"/>
      <c r="U40" s="21" t="s">
        <v>43</v>
      </c>
      <c r="V40" s="21"/>
      <c r="W40" s="21"/>
      <c r="X40" s="21"/>
      <c r="Y40" s="21"/>
      <c r="Z40" s="21"/>
      <c r="AA40" s="21"/>
      <c r="AB40" s="22" t="s">
        <v>44</v>
      </c>
      <c r="AC40" s="23" t="s">
        <v>45</v>
      </c>
      <c r="AD40" s="23"/>
      <c r="AE40" s="23"/>
      <c r="AF40" s="23"/>
    </row>
    <row r="41" customFormat="false" ht="16.5" hidden="false" customHeight="true" outlineLevel="0" collapsed="false">
      <c r="B41" s="26" t="s">
        <v>46</v>
      </c>
      <c r="C41" s="26"/>
      <c r="D41" s="26"/>
      <c r="M41" s="27" t="s">
        <v>47</v>
      </c>
      <c r="N41" s="27"/>
      <c r="O41" s="27"/>
      <c r="R41" s="28" t="s">
        <v>46</v>
      </c>
      <c r="S41" s="28"/>
      <c r="T41" s="28"/>
      <c r="AC41" s="27" t="s">
        <v>47</v>
      </c>
      <c r="AD41" s="27"/>
      <c r="AE41" s="27"/>
    </row>
    <row r="42" customFormat="false" ht="17.25" hidden="false" customHeight="true" outlineLevel="0" collapsed="false">
      <c r="B42" s="6" t="s">
        <v>50</v>
      </c>
      <c r="C42" s="6"/>
      <c r="D42" s="6"/>
      <c r="E42" s="29" t="s">
        <v>51</v>
      </c>
      <c r="F42" s="29"/>
      <c r="G42" s="29"/>
      <c r="H42" s="29"/>
      <c r="I42" s="29"/>
      <c r="J42" s="29"/>
      <c r="K42" s="29"/>
      <c r="L42" s="30" t="s">
        <v>52</v>
      </c>
      <c r="M42" s="7" t="n">
        <f aca="false">$X$33</f>
        <v>34100</v>
      </c>
      <c r="N42" s="7"/>
      <c r="O42" s="7"/>
      <c r="R42" s="31" t="s">
        <v>48</v>
      </c>
      <c r="S42" s="31"/>
      <c r="T42" s="31"/>
      <c r="U42" s="29" t="s">
        <v>49</v>
      </c>
      <c r="V42" s="29"/>
      <c r="W42" s="29"/>
      <c r="X42" s="29"/>
      <c r="Y42" s="29"/>
      <c r="Z42" s="29"/>
      <c r="AA42" s="29"/>
      <c r="AB42" s="30"/>
      <c r="AC42" s="7" t="n">
        <f aca="false">$X$31</f>
        <v>9300</v>
      </c>
      <c r="AD42" s="7"/>
      <c r="AE42" s="7"/>
    </row>
    <row r="43" customFormat="false" ht="17.25" hidden="false" customHeight="true" outlineLevel="0" collapsed="false">
      <c r="B43" s="6" t="s">
        <v>50</v>
      </c>
      <c r="C43" s="6"/>
      <c r="D43" s="6"/>
      <c r="E43" s="29" t="s">
        <v>73</v>
      </c>
      <c r="F43" s="29"/>
      <c r="G43" s="29"/>
      <c r="H43" s="29"/>
      <c r="I43" s="29"/>
      <c r="J43" s="29"/>
      <c r="K43" s="29"/>
      <c r="L43" s="30" t="s">
        <v>52</v>
      </c>
      <c r="M43" s="7" t="n">
        <f aca="false">$X$34</f>
        <v>920</v>
      </c>
      <c r="N43" s="7"/>
      <c r="O43" s="7"/>
      <c r="R43" s="31" t="s">
        <v>50</v>
      </c>
      <c r="S43" s="31"/>
      <c r="T43" s="31"/>
      <c r="U43" s="29" t="s">
        <v>74</v>
      </c>
      <c r="V43" s="29"/>
      <c r="W43" s="29"/>
      <c r="X43" s="29"/>
      <c r="Y43" s="29"/>
      <c r="Z43" s="29"/>
      <c r="AA43" s="29"/>
      <c r="AB43" s="30" t="s">
        <v>75</v>
      </c>
      <c r="AC43" s="7" t="n">
        <f aca="false">$X$32</f>
        <v>36800</v>
      </c>
      <c r="AD43" s="7"/>
      <c r="AE43" s="7"/>
    </row>
    <row r="44" customFormat="false" ht="17.25" hidden="false" customHeight="true" outlineLevel="0" collapsed="false">
      <c r="B44" s="6" t="s">
        <v>50</v>
      </c>
      <c r="C44" s="6"/>
      <c r="D44" s="6"/>
      <c r="E44" s="29" t="s">
        <v>76</v>
      </c>
      <c r="F44" s="29"/>
      <c r="G44" s="29"/>
      <c r="H44" s="29"/>
      <c r="I44" s="29"/>
      <c r="J44" s="29"/>
      <c r="K44" s="29"/>
      <c r="L44" s="30" t="s">
        <v>77</v>
      </c>
      <c r="M44" s="7" t="n">
        <f aca="false">$X$35</f>
        <v>640</v>
      </c>
      <c r="N44" s="7"/>
      <c r="O44" s="7"/>
      <c r="R44" s="31" t="s">
        <v>50</v>
      </c>
      <c r="S44" s="31"/>
      <c r="T44" s="31"/>
      <c r="U44" s="29" t="s">
        <v>78</v>
      </c>
      <c r="V44" s="29"/>
      <c r="W44" s="29"/>
      <c r="X44" s="29"/>
      <c r="Y44" s="29"/>
      <c r="Z44" s="29"/>
      <c r="AA44" s="29"/>
      <c r="AB44" s="30" t="s">
        <v>60</v>
      </c>
      <c r="AC44" s="7" t="n">
        <f aca="false">$X$37</f>
        <v>150</v>
      </c>
      <c r="AD44" s="7"/>
      <c r="AE44" s="7"/>
    </row>
    <row r="45" customFormat="false" ht="17.25" hidden="false" customHeight="true" outlineLevel="0" collapsed="false">
      <c r="B45" s="6" t="s">
        <v>50</v>
      </c>
      <c r="C45" s="6"/>
      <c r="D45" s="6"/>
      <c r="E45" s="29" t="s">
        <v>62</v>
      </c>
      <c r="F45" s="29"/>
      <c r="G45" s="29"/>
      <c r="H45" s="29"/>
      <c r="I45" s="29"/>
      <c r="J45" s="29"/>
      <c r="K45" s="29"/>
      <c r="L45" s="30" t="s">
        <v>60</v>
      </c>
      <c r="M45" s="7" t="n">
        <f aca="false">$X$36</f>
        <v>380</v>
      </c>
      <c r="N45" s="7"/>
      <c r="O45" s="7"/>
      <c r="R45" s="33"/>
    </row>
    <row r="46" customFormat="false" ht="17.25" hidden="false" customHeight="true" outlineLevel="0" collapsed="false">
      <c r="B46" s="6" t="s">
        <v>50</v>
      </c>
      <c r="C46" s="6"/>
      <c r="D46" s="6"/>
      <c r="E46" s="29" t="s">
        <v>63</v>
      </c>
      <c r="F46" s="29"/>
      <c r="G46" s="29"/>
      <c r="H46" s="29"/>
      <c r="I46" s="29"/>
      <c r="J46" s="29"/>
      <c r="K46" s="29"/>
      <c r="L46" s="30"/>
      <c r="M46" s="7" t="n">
        <f aca="false">$X$31+$X$32+$X$37-($X$33+$X$34+$X$35+$X$36)</f>
        <v>10210</v>
      </c>
      <c r="N46" s="7"/>
      <c r="O46" s="7"/>
      <c r="R46" s="33"/>
    </row>
    <row r="47" customFormat="false" ht="16.5" hidden="false" customHeight="true" outlineLevel="0" collapsed="false">
      <c r="M47" s="32" t="n">
        <f aca="false">SUM(M41:M46)</f>
        <v>46250</v>
      </c>
      <c r="N47" s="32"/>
      <c r="O47" s="32"/>
      <c r="R47" s="33"/>
      <c r="AC47" s="32" t="n">
        <f aca="false">SUM(AC41:AC46)</f>
        <v>46250</v>
      </c>
      <c r="AD47" s="32"/>
      <c r="AE47" s="32"/>
    </row>
    <row r="48" customFormat="false" ht="16.5" hidden="false" customHeight="true" outlineLevel="0" collapsed="false">
      <c r="R48" s="28" t="s">
        <v>64</v>
      </c>
      <c r="S48" s="28"/>
      <c r="T48" s="28"/>
    </row>
    <row r="49" customFormat="false" ht="17.25" hidden="false" customHeight="true" outlineLevel="0" collapsed="false">
      <c r="R49" s="31" t="s">
        <v>48</v>
      </c>
      <c r="S49" s="31"/>
      <c r="T49" s="31"/>
      <c r="U49" s="29" t="s">
        <v>49</v>
      </c>
      <c r="V49" s="29"/>
      <c r="W49" s="29"/>
      <c r="X49" s="29"/>
      <c r="Y49" s="29"/>
      <c r="Z49" s="29"/>
      <c r="AA49" s="29"/>
      <c r="AB49" s="30"/>
      <c r="AC49" s="7" t="n">
        <f aca="false">$X$31+$X$32+$X$37-($X$33+$X$34+$X$35+$X$36)</f>
        <v>10210</v>
      </c>
      <c r="AD49" s="7"/>
      <c r="AE49" s="7"/>
    </row>
  </sheetData>
  <mergeCells count="132">
    <mergeCell ref="B1:AF1"/>
    <mergeCell ref="B2:AF2"/>
    <mergeCell ref="B3:AF3"/>
    <mergeCell ref="B5:AF5"/>
    <mergeCell ref="B6:W6"/>
    <mergeCell ref="X6:AC6"/>
    <mergeCell ref="B7:W7"/>
    <mergeCell ref="X7:AC7"/>
    <mergeCell ref="B8:W8"/>
    <mergeCell ref="X8:AC8"/>
    <mergeCell ref="B9:W9"/>
    <mergeCell ref="X9:AC9"/>
    <mergeCell ref="B10:W10"/>
    <mergeCell ref="X10:AC10"/>
    <mergeCell ref="B11:W11"/>
    <mergeCell ref="X11:AC11"/>
    <mergeCell ref="B12:W12"/>
    <mergeCell ref="X12:AC12"/>
    <mergeCell ref="B13:W13"/>
    <mergeCell ref="X13:AC13"/>
    <mergeCell ref="B14:W14"/>
    <mergeCell ref="X14:AC14"/>
    <mergeCell ref="B15:W15"/>
    <mergeCell ref="X15:AC15"/>
    <mergeCell ref="B17:D17"/>
    <mergeCell ref="E17:AC17"/>
    <mergeCell ref="AD17:AF17"/>
    <mergeCell ref="B18:D18"/>
    <mergeCell ref="E18:K18"/>
    <mergeCell ref="M18:P18"/>
    <mergeCell ref="R18:T18"/>
    <mergeCell ref="U18:AA18"/>
    <mergeCell ref="AC18:AF18"/>
    <mergeCell ref="B19:D19"/>
    <mergeCell ref="M19:O19"/>
    <mergeCell ref="R19:T19"/>
    <mergeCell ref="AC19:AE19"/>
    <mergeCell ref="B20:D20"/>
    <mergeCell ref="E20:K20"/>
    <mergeCell ref="M20:O20"/>
    <mergeCell ref="R20:T20"/>
    <mergeCell ref="U20:AA20"/>
    <mergeCell ref="AC20:AE20"/>
    <mergeCell ref="B21:D21"/>
    <mergeCell ref="E21:K21"/>
    <mergeCell ref="M21:O21"/>
    <mergeCell ref="R21:T21"/>
    <mergeCell ref="U21:AA21"/>
    <mergeCell ref="AC21:AE21"/>
    <mergeCell ref="B22:D22"/>
    <mergeCell ref="E22:K22"/>
    <mergeCell ref="M22:O22"/>
    <mergeCell ref="R22:T22"/>
    <mergeCell ref="U22:AA22"/>
    <mergeCell ref="AC22:AE22"/>
    <mergeCell ref="B23:D23"/>
    <mergeCell ref="E23:K23"/>
    <mergeCell ref="M23:O23"/>
    <mergeCell ref="R23:T23"/>
    <mergeCell ref="U23:AA23"/>
    <mergeCell ref="AC23:AE23"/>
    <mergeCell ref="R24:T24"/>
    <mergeCell ref="U24:AA24"/>
    <mergeCell ref="AC24:AE24"/>
    <mergeCell ref="R25:T25"/>
    <mergeCell ref="U25:AA25"/>
    <mergeCell ref="AC25:AE25"/>
    <mergeCell ref="M26:O26"/>
    <mergeCell ref="AC26:AE26"/>
    <mergeCell ref="B27:D27"/>
    <mergeCell ref="B28:D28"/>
    <mergeCell ref="E28:K28"/>
    <mergeCell ref="M28:O28"/>
    <mergeCell ref="B30:W30"/>
    <mergeCell ref="X30:AC30"/>
    <mergeCell ref="B31:W31"/>
    <mergeCell ref="X31:AC31"/>
    <mergeCell ref="B32:W32"/>
    <mergeCell ref="X32:AC32"/>
    <mergeCell ref="B33:W33"/>
    <mergeCell ref="X33:AC33"/>
    <mergeCell ref="B34:W34"/>
    <mergeCell ref="X34:AC34"/>
    <mergeCell ref="B35:W35"/>
    <mergeCell ref="X35:AC35"/>
    <mergeCell ref="B36:W36"/>
    <mergeCell ref="X36:AC36"/>
    <mergeCell ref="B37:W37"/>
    <mergeCell ref="X37:AC37"/>
    <mergeCell ref="B39:D39"/>
    <mergeCell ref="E39:AC39"/>
    <mergeCell ref="AD39:AF39"/>
    <mergeCell ref="B40:D40"/>
    <mergeCell ref="E40:K40"/>
    <mergeCell ref="M40:P40"/>
    <mergeCell ref="R40:T40"/>
    <mergeCell ref="U40:AA40"/>
    <mergeCell ref="AC40:AF40"/>
    <mergeCell ref="B41:D41"/>
    <mergeCell ref="M41:O41"/>
    <mergeCell ref="R41:T41"/>
    <mergeCell ref="AC41:AE41"/>
    <mergeCell ref="B42:D42"/>
    <mergeCell ref="E42:K42"/>
    <mergeCell ref="M42:O42"/>
    <mergeCell ref="R42:T42"/>
    <mergeCell ref="U42:AA42"/>
    <mergeCell ref="AC42:AE42"/>
    <mergeCell ref="B43:D43"/>
    <mergeCell ref="E43:K43"/>
    <mergeCell ref="M43:O43"/>
    <mergeCell ref="R43:T43"/>
    <mergeCell ref="U43:AA43"/>
    <mergeCell ref="AC43:AE43"/>
    <mergeCell ref="B44:D44"/>
    <mergeCell ref="E44:K44"/>
    <mergeCell ref="M44:O44"/>
    <mergeCell ref="R44:T44"/>
    <mergeCell ref="U44:AA44"/>
    <mergeCell ref="AC44:AE44"/>
    <mergeCell ref="B45:D45"/>
    <mergeCell ref="E45:K45"/>
    <mergeCell ref="M45:O45"/>
    <mergeCell ref="B46:D46"/>
    <mergeCell ref="E46:K46"/>
    <mergeCell ref="M46:O46"/>
    <mergeCell ref="M47:O47"/>
    <mergeCell ref="AC47:AE47"/>
    <mergeCell ref="R48:T48"/>
    <mergeCell ref="R49:T49"/>
    <mergeCell ref="U49:AA49"/>
    <mergeCell ref="AC49:AE49"/>
  </mergeCells>
  <conditionalFormatting sqref="B1:AG50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B1:AF25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4" min="2" style="0" width="4.6"/>
  </cols>
  <sheetData>
    <row r="1" customFormat="false" ht="25.5" hidden="false" customHeight="true" outlineLevel="0" collapsed="false">
      <c r="B1" s="1" t="s">
        <v>18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15" hidden="false" customHeight="false" outlineLevel="0" collapsed="false">
      <c r="B2" s="14" t="s">
        <v>25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 customFormat="false" ht="15" hidden="false" customHeight="false" outlineLevel="0" collapsed="false">
      <c r="B3" s="14" t="s">
        <v>26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</row>
    <row r="5" customFormat="false" ht="30" hidden="false" customHeight="true" outlineLevel="0" collapsed="false">
      <c r="B5" s="4" t="s">
        <v>79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customFormat="false" ht="15" hidden="false" customHeight="false" outlineLevel="0" collapsed="false">
      <c r="B6" s="15" t="s">
        <v>80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6" t="s">
        <v>29</v>
      </c>
      <c r="Y6" s="16"/>
      <c r="Z6" s="16"/>
      <c r="AA6" s="16"/>
      <c r="AB6" s="16"/>
      <c r="AC6" s="16"/>
    </row>
    <row r="7" customFormat="false" ht="16.5" hidden="false" customHeight="true" outlineLevel="0" collapsed="false">
      <c r="B7" s="12" t="s">
        <v>81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7" t="n">
        <v>1500</v>
      </c>
      <c r="Y7" s="17"/>
      <c r="Z7" s="17"/>
      <c r="AA7" s="17"/>
      <c r="AB7" s="17"/>
      <c r="AC7" s="17"/>
    </row>
    <row r="8" customFormat="false" ht="16.5" hidden="false" customHeight="true" outlineLevel="0" collapsed="false">
      <c r="B8" s="12" t="s">
        <v>82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7" t="n">
        <v>450</v>
      </c>
      <c r="Y8" s="17"/>
      <c r="Z8" s="17"/>
      <c r="AA8" s="17"/>
      <c r="AB8" s="17"/>
      <c r="AC8" s="17"/>
    </row>
    <row r="11" customFormat="false" ht="18.75" hidden="false" customHeight="true" outlineLevel="0" collapsed="false">
      <c r="B11" s="3" t="s">
        <v>83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customFormat="false" ht="15" hidden="false" customHeight="false" outlineLevel="0" collapsed="false">
      <c r="B12" s="18" t="s">
        <v>39</v>
      </c>
      <c r="C12" s="18"/>
      <c r="D12" s="18"/>
      <c r="E12" s="19" t="s">
        <v>84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20" t="s">
        <v>41</v>
      </c>
      <c r="AE12" s="20"/>
      <c r="AF12" s="20"/>
    </row>
    <row r="13" customFormat="false" ht="15" hidden="false" customHeight="false" outlineLevel="0" collapsed="false">
      <c r="B13" s="21" t="s">
        <v>42</v>
      </c>
      <c r="C13" s="21"/>
      <c r="D13" s="21"/>
      <c r="E13" s="21" t="s">
        <v>43</v>
      </c>
      <c r="F13" s="21"/>
      <c r="G13" s="21"/>
      <c r="H13" s="21"/>
      <c r="I13" s="21"/>
      <c r="J13" s="21"/>
      <c r="K13" s="21"/>
      <c r="L13" s="22" t="s">
        <v>44</v>
      </c>
      <c r="M13" s="23" t="s">
        <v>45</v>
      </c>
      <c r="N13" s="23"/>
      <c r="O13" s="23"/>
      <c r="P13" s="23"/>
      <c r="Q13" s="24"/>
      <c r="R13" s="25" t="s">
        <v>42</v>
      </c>
      <c r="S13" s="25"/>
      <c r="T13" s="25"/>
      <c r="U13" s="21" t="s">
        <v>43</v>
      </c>
      <c r="V13" s="21"/>
      <c r="W13" s="21"/>
      <c r="X13" s="21"/>
      <c r="Y13" s="21"/>
      <c r="Z13" s="21"/>
      <c r="AA13" s="21"/>
      <c r="AB13" s="22" t="s">
        <v>44</v>
      </c>
      <c r="AC13" s="23" t="s">
        <v>45</v>
      </c>
      <c r="AD13" s="23"/>
      <c r="AE13" s="23"/>
      <c r="AF13" s="23"/>
    </row>
    <row r="14" customFormat="false" ht="16.5" hidden="false" customHeight="true" outlineLevel="0" collapsed="false">
      <c r="B14" s="26" t="s">
        <v>85</v>
      </c>
      <c r="C14" s="26"/>
      <c r="D14" s="26"/>
      <c r="M14" s="27" t="s">
        <v>47</v>
      </c>
      <c r="N14" s="27"/>
      <c r="O14" s="27"/>
      <c r="R14" s="28" t="s">
        <v>85</v>
      </c>
      <c r="S14" s="28"/>
      <c r="T14" s="28"/>
      <c r="AC14" s="27" t="s">
        <v>47</v>
      </c>
      <c r="AD14" s="27"/>
      <c r="AE14" s="27"/>
    </row>
    <row r="15" customFormat="false" ht="17.25" hidden="false" customHeight="true" outlineLevel="0" collapsed="false">
      <c r="B15" s="6" t="s">
        <v>86</v>
      </c>
      <c r="C15" s="6"/>
      <c r="D15" s="6"/>
      <c r="E15" s="29" t="s">
        <v>62</v>
      </c>
      <c r="F15" s="29"/>
      <c r="G15" s="29"/>
      <c r="H15" s="29"/>
      <c r="I15" s="29"/>
      <c r="J15" s="29"/>
      <c r="K15" s="29"/>
      <c r="L15" s="30" t="s">
        <v>60</v>
      </c>
      <c r="M15" s="7" t="n">
        <f aca="false">MIN($X$7,$X$8)</f>
        <v>450</v>
      </c>
      <c r="N15" s="7"/>
      <c r="O15" s="7"/>
      <c r="R15" s="31" t="s">
        <v>87</v>
      </c>
      <c r="S15" s="31"/>
      <c r="T15" s="31"/>
      <c r="U15" s="29" t="s">
        <v>74</v>
      </c>
      <c r="V15" s="29"/>
      <c r="W15" s="29"/>
      <c r="X15" s="29"/>
      <c r="Y15" s="29"/>
      <c r="Z15" s="29"/>
      <c r="AA15" s="29"/>
      <c r="AB15" s="30" t="s">
        <v>75</v>
      </c>
      <c r="AC15" s="7" t="n">
        <f aca="false">$X$7</f>
        <v>1500</v>
      </c>
      <c r="AD15" s="7"/>
      <c r="AE15" s="7"/>
    </row>
    <row r="16" customFormat="false" ht="17.25" hidden="false" customHeight="true" outlineLevel="0" collapsed="false">
      <c r="B16" s="6" t="s">
        <v>86</v>
      </c>
      <c r="C16" s="6"/>
      <c r="D16" s="6"/>
      <c r="E16" s="29" t="s">
        <v>63</v>
      </c>
      <c r="F16" s="29"/>
      <c r="G16" s="29"/>
      <c r="H16" s="29"/>
      <c r="I16" s="29"/>
      <c r="J16" s="29"/>
      <c r="K16" s="29"/>
      <c r="L16" s="30"/>
      <c r="M16" s="7" t="n">
        <f aca="false">$X$7-MIN($X$7,$X$8)</f>
        <v>1050</v>
      </c>
      <c r="N16" s="7"/>
      <c r="O16" s="7"/>
      <c r="R16" s="33"/>
    </row>
    <row r="17" customFormat="false" ht="16.5" hidden="false" customHeight="true" outlineLevel="0" collapsed="false">
      <c r="M17" s="32" t="n">
        <f aca="false">SUM(M14:M16)</f>
        <v>1500</v>
      </c>
      <c r="N17" s="32"/>
      <c r="O17" s="32"/>
      <c r="R17" s="33"/>
      <c r="AC17" s="32" t="n">
        <f aca="false">SUM(AC14:AC16)</f>
        <v>1500</v>
      </c>
      <c r="AD17" s="32"/>
      <c r="AE17" s="32"/>
    </row>
    <row r="18" customFormat="false" ht="17.25" hidden="false" customHeight="true" outlineLevel="0" collapsed="false">
      <c r="R18" s="31" t="s">
        <v>88</v>
      </c>
      <c r="S18" s="31"/>
      <c r="T18" s="31"/>
      <c r="U18" s="29" t="s">
        <v>49</v>
      </c>
      <c r="V18" s="29"/>
      <c r="W18" s="29"/>
      <c r="X18" s="29"/>
      <c r="Y18" s="29"/>
      <c r="Z18" s="29"/>
      <c r="AA18" s="29"/>
      <c r="AB18" s="30"/>
      <c r="AC18" s="7" t="n">
        <f aca="false">$X$7-MIN($X$7,$X$8)</f>
        <v>1050</v>
      </c>
      <c r="AD18" s="7"/>
      <c r="AE18" s="7"/>
    </row>
    <row r="20" customFormat="false" ht="18.75" hidden="false" customHeight="true" outlineLevel="0" collapsed="false">
      <c r="B20" s="3" t="s">
        <v>89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customFormat="false" ht="15" hidden="false" customHeight="false" outlineLevel="0" collapsed="false">
      <c r="B21" s="18" t="s">
        <v>39</v>
      </c>
      <c r="C21" s="18"/>
      <c r="D21" s="18"/>
      <c r="E21" s="19" t="s">
        <v>90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20" t="s">
        <v>41</v>
      </c>
      <c r="AE21" s="20"/>
      <c r="AF21" s="20"/>
    </row>
    <row r="22" customFormat="false" ht="15" hidden="false" customHeight="false" outlineLevel="0" collapsed="false">
      <c r="B22" s="21" t="s">
        <v>42</v>
      </c>
      <c r="C22" s="21"/>
      <c r="D22" s="21"/>
      <c r="E22" s="21" t="s">
        <v>43</v>
      </c>
      <c r="F22" s="21"/>
      <c r="G22" s="21"/>
      <c r="H22" s="21"/>
      <c r="I22" s="21"/>
      <c r="J22" s="21"/>
      <c r="K22" s="21"/>
      <c r="L22" s="22" t="s">
        <v>44</v>
      </c>
      <c r="M22" s="23" t="s">
        <v>45</v>
      </c>
      <c r="N22" s="23"/>
      <c r="O22" s="23"/>
      <c r="P22" s="23"/>
      <c r="Q22" s="24"/>
      <c r="R22" s="25" t="s">
        <v>42</v>
      </c>
      <c r="S22" s="25"/>
      <c r="T22" s="25"/>
      <c r="U22" s="21" t="s">
        <v>43</v>
      </c>
      <c r="V22" s="21"/>
      <c r="W22" s="21"/>
      <c r="X22" s="21"/>
      <c r="Y22" s="21"/>
      <c r="Z22" s="21"/>
      <c r="AA22" s="21"/>
      <c r="AB22" s="22" t="s">
        <v>44</v>
      </c>
      <c r="AC22" s="23" t="s">
        <v>45</v>
      </c>
      <c r="AD22" s="23"/>
      <c r="AE22" s="23"/>
      <c r="AF22" s="23"/>
    </row>
    <row r="23" customFormat="false" ht="16.5" hidden="false" customHeight="true" outlineLevel="0" collapsed="false">
      <c r="B23" s="26" t="s">
        <v>85</v>
      </c>
      <c r="C23" s="26"/>
      <c r="D23" s="26"/>
      <c r="M23" s="27" t="s">
        <v>47</v>
      </c>
      <c r="N23" s="27"/>
      <c r="O23" s="27"/>
      <c r="R23" s="28" t="s">
        <v>85</v>
      </c>
      <c r="S23" s="28"/>
      <c r="T23" s="28"/>
      <c r="AC23" s="27" t="s">
        <v>47</v>
      </c>
      <c r="AD23" s="27"/>
      <c r="AE23" s="27"/>
    </row>
    <row r="24" customFormat="false" ht="17.25" hidden="false" customHeight="true" outlineLevel="0" collapsed="false">
      <c r="B24" s="6" t="s">
        <v>91</v>
      </c>
      <c r="C24" s="6"/>
      <c r="D24" s="6"/>
      <c r="E24" s="29" t="s">
        <v>53</v>
      </c>
      <c r="F24" s="29"/>
      <c r="G24" s="29"/>
      <c r="H24" s="29"/>
      <c r="I24" s="29"/>
      <c r="J24" s="29"/>
      <c r="K24" s="29"/>
      <c r="L24" s="30" t="s">
        <v>54</v>
      </c>
      <c r="M24" s="7" t="n">
        <f aca="false">$X$8</f>
        <v>450</v>
      </c>
      <c r="N24" s="7"/>
      <c r="O24" s="7"/>
      <c r="R24" s="31" t="s">
        <v>86</v>
      </c>
      <c r="S24" s="31"/>
      <c r="T24" s="31"/>
      <c r="U24" s="29" t="s">
        <v>62</v>
      </c>
      <c r="V24" s="29"/>
      <c r="W24" s="29"/>
      <c r="X24" s="29"/>
      <c r="Y24" s="29"/>
      <c r="Z24" s="29"/>
      <c r="AA24" s="29"/>
      <c r="AB24" s="30" t="s">
        <v>60</v>
      </c>
      <c r="AC24" s="7" t="n">
        <f aca="false">MIN($X$7,$X$8)</f>
        <v>450</v>
      </c>
      <c r="AD24" s="7"/>
      <c r="AE24" s="7"/>
    </row>
    <row r="25" customFormat="false" ht="16.5" hidden="false" customHeight="true" outlineLevel="0" collapsed="false">
      <c r="M25" s="32" t="n">
        <f aca="false">SUM(M23:M24)</f>
        <v>450</v>
      </c>
      <c r="N25" s="32"/>
      <c r="O25" s="32"/>
      <c r="R25" s="33"/>
      <c r="AC25" s="32" t="n">
        <f aca="false">SUM(AC23:AC24)</f>
        <v>450</v>
      </c>
      <c r="AD25" s="32"/>
      <c r="AE25" s="32"/>
    </row>
  </sheetData>
  <mergeCells count="60">
    <mergeCell ref="B1:AF1"/>
    <mergeCell ref="B2:AF2"/>
    <mergeCell ref="B3:AF3"/>
    <mergeCell ref="B5:AF5"/>
    <mergeCell ref="B6:W6"/>
    <mergeCell ref="X6:AC6"/>
    <mergeCell ref="B7:W7"/>
    <mergeCell ref="X7:AC7"/>
    <mergeCell ref="B8:W8"/>
    <mergeCell ref="X8:AC8"/>
    <mergeCell ref="B11:AF11"/>
    <mergeCell ref="B12:D12"/>
    <mergeCell ref="E12:AC12"/>
    <mergeCell ref="AD12:AF12"/>
    <mergeCell ref="B13:D13"/>
    <mergeCell ref="E13:K13"/>
    <mergeCell ref="M13:P13"/>
    <mergeCell ref="R13:T13"/>
    <mergeCell ref="U13:AA13"/>
    <mergeCell ref="AC13:AF13"/>
    <mergeCell ref="B14:D14"/>
    <mergeCell ref="M14:O14"/>
    <mergeCell ref="R14:T14"/>
    <mergeCell ref="AC14:AE14"/>
    <mergeCell ref="B15:D15"/>
    <mergeCell ref="E15:K15"/>
    <mergeCell ref="M15:O15"/>
    <mergeCell ref="R15:T15"/>
    <mergeCell ref="U15:AA15"/>
    <mergeCell ref="AC15:AE15"/>
    <mergeCell ref="B16:D16"/>
    <mergeCell ref="E16:K16"/>
    <mergeCell ref="M16:O16"/>
    <mergeCell ref="M17:O17"/>
    <mergeCell ref="AC17:AE17"/>
    <mergeCell ref="R18:T18"/>
    <mergeCell ref="U18:AA18"/>
    <mergeCell ref="AC18:AE18"/>
    <mergeCell ref="B20:AF20"/>
    <mergeCell ref="B21:D21"/>
    <mergeCell ref="E21:AC21"/>
    <mergeCell ref="AD21:AF21"/>
    <mergeCell ref="B22:D22"/>
    <mergeCell ref="E22:K22"/>
    <mergeCell ref="M22:P22"/>
    <mergeCell ref="R22:T22"/>
    <mergeCell ref="U22:AA22"/>
    <mergeCell ref="AC22:AF22"/>
    <mergeCell ref="B23:D23"/>
    <mergeCell ref="M23:O23"/>
    <mergeCell ref="R23:T23"/>
    <mergeCell ref="AC23:AE23"/>
    <mergeCell ref="B24:D24"/>
    <mergeCell ref="E24:K24"/>
    <mergeCell ref="M24:O24"/>
    <mergeCell ref="R24:T24"/>
    <mergeCell ref="U24:AA24"/>
    <mergeCell ref="AC24:AE24"/>
    <mergeCell ref="M25:O25"/>
    <mergeCell ref="AC25:AE25"/>
  </mergeCells>
  <conditionalFormatting sqref="B1:AG26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B1:AF53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4" min="2" style="0" width="4.6"/>
  </cols>
  <sheetData>
    <row r="1" customFormat="false" ht="25.5" hidden="false" customHeight="true" outlineLevel="0" collapsed="false">
      <c r="B1" s="1" t="s">
        <v>92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15" hidden="false" customHeight="false" outlineLevel="0" collapsed="false">
      <c r="B2" s="14" t="s">
        <v>93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 customFormat="false" ht="15" hidden="false" customHeight="false" outlineLevel="0" collapsed="false">
      <c r="B3" s="18" t="s">
        <v>94</v>
      </c>
      <c r="C3" s="18"/>
      <c r="D3" s="18"/>
      <c r="E3" s="18"/>
      <c r="F3" s="18"/>
      <c r="G3" s="18"/>
      <c r="H3" s="18" t="str">
        <f aca="false">COUNTIF(B4:AG54,"✓")&amp;" betul daripada 25 sel jawapan"</f>
        <v>0 betul daripada 25 sel jawapan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</row>
    <row r="5" customFormat="false" ht="16.5" hidden="false" customHeight="true" outlineLevel="0" collapsed="false">
      <c r="B5" s="4" t="s">
        <v>95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customFormat="false" ht="15" hidden="false" customHeight="false" outlineLevel="0" collapsed="false">
      <c r="B6" s="15" t="s">
        <v>80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6" t="s">
        <v>29</v>
      </c>
      <c r="Y6" s="16"/>
      <c r="Z6" s="16"/>
      <c r="AA6" s="16"/>
      <c r="AB6" s="16"/>
      <c r="AC6" s="16"/>
    </row>
    <row r="7" customFormat="false" ht="15" hidden="false" customHeight="false" outlineLevel="0" collapsed="false">
      <c r="B7" s="34" t="s">
        <v>96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</row>
    <row r="8" customFormat="false" ht="16.5" hidden="false" customHeight="true" outlineLevel="0" collapsed="false">
      <c r="B8" s="12" t="s">
        <v>97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7" t="n">
        <v>15200</v>
      </c>
      <c r="Y8" s="17"/>
      <c r="Z8" s="17"/>
      <c r="AA8" s="17"/>
      <c r="AB8" s="17"/>
      <c r="AC8" s="17"/>
    </row>
    <row r="9" customFormat="false" ht="16.5" hidden="false" customHeight="true" outlineLevel="0" collapsed="false">
      <c r="B9" s="12" t="s">
        <v>98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7" t="n">
        <v>18450</v>
      </c>
      <c r="Y9" s="17"/>
      <c r="Z9" s="17"/>
      <c r="AA9" s="17"/>
      <c r="AB9" s="17"/>
      <c r="AC9" s="17"/>
    </row>
    <row r="10" customFormat="false" ht="16.5" hidden="false" customHeight="true" outlineLevel="0" collapsed="false">
      <c r="B10" s="12" t="s">
        <v>99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7" t="n">
        <v>9800</v>
      </c>
      <c r="Y10" s="17"/>
      <c r="Z10" s="17"/>
      <c r="AA10" s="17"/>
      <c r="AB10" s="17"/>
      <c r="AC10" s="17"/>
    </row>
    <row r="11" customFormat="false" ht="16.5" hidden="false" customHeight="true" outlineLevel="0" collapsed="false">
      <c r="B11" s="12" t="s">
        <v>100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7" t="n">
        <v>11250</v>
      </c>
      <c r="Y11" s="17"/>
      <c r="Z11" s="17"/>
      <c r="AA11" s="17"/>
      <c r="AB11" s="17"/>
      <c r="AC11" s="17"/>
    </row>
    <row r="12" customFormat="false" ht="15" hidden="false" customHeight="false" outlineLevel="0" collapsed="false">
      <c r="B12" s="34" t="s">
        <v>101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</row>
    <row r="13" customFormat="false" ht="16.5" hidden="false" customHeight="true" outlineLevel="0" collapsed="false">
      <c r="B13" s="12" t="s">
        <v>102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7" t="n">
        <v>72300</v>
      </c>
      <c r="Y13" s="17"/>
      <c r="Z13" s="17"/>
      <c r="AA13" s="17"/>
      <c r="AB13" s="17"/>
      <c r="AC13" s="17"/>
    </row>
    <row r="14" customFormat="false" ht="16.5" hidden="false" customHeight="true" outlineLevel="0" collapsed="false">
      <c r="B14" s="12" t="s">
        <v>103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7" t="n">
        <v>54600</v>
      </c>
      <c r="Y14" s="17"/>
      <c r="Z14" s="17"/>
      <c r="AA14" s="17"/>
      <c r="AB14" s="17"/>
      <c r="AC14" s="17"/>
    </row>
    <row r="15" customFormat="false" ht="15" hidden="false" customHeight="false" outlineLevel="0" collapsed="false">
      <c r="B15" s="34" t="s">
        <v>104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</row>
    <row r="16" customFormat="false" ht="16.5" hidden="false" customHeight="true" outlineLevel="0" collapsed="false">
      <c r="B16" s="12" t="s">
        <v>33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7" t="n">
        <v>2100</v>
      </c>
      <c r="Y16" s="17"/>
      <c r="Z16" s="17"/>
      <c r="AA16" s="17"/>
      <c r="AB16" s="17"/>
      <c r="AC16" s="17"/>
    </row>
    <row r="17" customFormat="false" ht="16.5" hidden="false" customHeight="true" outlineLevel="0" collapsed="false">
      <c r="B17" s="12" t="s">
        <v>69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7" t="n">
        <v>1350</v>
      </c>
      <c r="Y17" s="17"/>
      <c r="Z17" s="17"/>
      <c r="AA17" s="17"/>
      <c r="AB17" s="17"/>
      <c r="AC17" s="17"/>
    </row>
    <row r="18" customFormat="false" ht="16.5" hidden="false" customHeight="true" outlineLevel="0" collapsed="false">
      <c r="B18" s="12" t="s">
        <v>34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7" t="n">
        <v>950</v>
      </c>
      <c r="Y18" s="17"/>
      <c r="Z18" s="17"/>
      <c r="AA18" s="17"/>
      <c r="AB18" s="17"/>
      <c r="AC18" s="17"/>
    </row>
    <row r="19" customFormat="false" ht="16.5" hidden="false" customHeight="true" outlineLevel="0" collapsed="false">
      <c r="B19" s="12" t="s">
        <v>70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7" t="n">
        <v>720</v>
      </c>
      <c r="Y19" s="17"/>
      <c r="Z19" s="17"/>
      <c r="AA19" s="17"/>
      <c r="AB19" s="17"/>
      <c r="AC19" s="17"/>
    </row>
    <row r="20" customFormat="false" ht="16.5" hidden="false" customHeight="true" outlineLevel="0" collapsed="false">
      <c r="B20" s="12" t="s">
        <v>105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7" t="n">
        <v>800</v>
      </c>
      <c r="Y20" s="17"/>
      <c r="Z20" s="17"/>
      <c r="AA20" s="17"/>
      <c r="AB20" s="17"/>
      <c r="AC20" s="17"/>
    </row>
    <row r="21" customFormat="false" ht="16.5" hidden="false" customHeight="true" outlineLevel="0" collapsed="false">
      <c r="B21" s="12" t="s">
        <v>36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7" t="n">
        <v>1200</v>
      </c>
      <c r="Y21" s="17"/>
      <c r="Z21" s="17"/>
      <c r="AA21" s="17"/>
      <c r="AB21" s="17"/>
      <c r="AC21" s="17"/>
    </row>
    <row r="22" customFormat="false" ht="16.5" hidden="false" customHeight="true" outlineLevel="0" collapsed="false">
      <c r="B22" s="12" t="s">
        <v>106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7" t="n">
        <v>600</v>
      </c>
      <c r="Y22" s="17"/>
      <c r="Z22" s="17"/>
      <c r="AA22" s="17"/>
      <c r="AB22" s="17"/>
      <c r="AC22" s="17"/>
    </row>
    <row r="23" customFormat="false" ht="16.5" hidden="false" customHeight="true" outlineLevel="0" collapsed="false">
      <c r="B23" s="12" t="s">
        <v>71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7" t="n">
        <v>300</v>
      </c>
      <c r="Y23" s="17"/>
      <c r="Z23" s="17"/>
      <c r="AA23" s="17"/>
      <c r="AB23" s="17"/>
      <c r="AC23" s="17"/>
    </row>
    <row r="26" customFormat="false" ht="18.75" hidden="false" customHeight="true" outlineLevel="0" collapsed="false">
      <c r="B26" s="3" t="s">
        <v>107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customFormat="false" ht="17.25" hidden="false" customHeight="true" outlineLevel="0" collapsed="false">
      <c r="B27" s="35" t="s">
        <v>31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6"/>
      <c r="Y27" s="36"/>
      <c r="Z27" s="36"/>
      <c r="AA27" s="36"/>
      <c r="AB27" s="36"/>
      <c r="AC27" s="37" t="str">
        <f aca="false">IF(X27="","",IFERROR(IF(ABS(ABS(X27)-ABS('S3 Jawapan'!X27))&lt;0.5,"✓","✗"),"✗"))</f>
        <v/>
      </c>
    </row>
    <row r="28" customFormat="false" ht="17.25" hidden="false" customHeight="true" outlineLevel="0" collapsed="false">
      <c r="B28" s="35" t="s">
        <v>67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6"/>
      <c r="Y28" s="36"/>
      <c r="Z28" s="36"/>
      <c r="AA28" s="36"/>
      <c r="AB28" s="36"/>
      <c r="AC28" s="37" t="str">
        <f aca="false">IF(X28="","",IFERROR(IF(ABS(ABS(X28)-ABS('S3 Jawapan'!X28))&lt;0.5,"✓","✗"),"✗"))</f>
        <v/>
      </c>
    </row>
    <row r="30" customFormat="false" ht="18.75" hidden="false" customHeight="true" outlineLevel="0" collapsed="false">
      <c r="B30" s="3" t="s">
        <v>108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customFormat="false" ht="15" hidden="false" customHeight="false" outlineLevel="0" collapsed="false">
      <c r="B31" s="18" t="s">
        <v>39</v>
      </c>
      <c r="C31" s="18"/>
      <c r="D31" s="18"/>
      <c r="E31" s="19" t="s">
        <v>40</v>
      </c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20" t="s">
        <v>41</v>
      </c>
      <c r="AE31" s="20"/>
      <c r="AF31" s="20"/>
    </row>
    <row r="32" customFormat="false" ht="15" hidden="false" customHeight="false" outlineLevel="0" collapsed="false">
      <c r="B32" s="21" t="s">
        <v>42</v>
      </c>
      <c r="C32" s="21"/>
      <c r="D32" s="21"/>
      <c r="E32" s="21" t="s">
        <v>43</v>
      </c>
      <c r="F32" s="21"/>
      <c r="G32" s="21"/>
      <c r="H32" s="21"/>
      <c r="I32" s="21"/>
      <c r="J32" s="21"/>
      <c r="K32" s="21"/>
      <c r="L32" s="22" t="s">
        <v>44</v>
      </c>
      <c r="M32" s="23" t="s">
        <v>45</v>
      </c>
      <c r="N32" s="23"/>
      <c r="O32" s="23"/>
      <c r="P32" s="23"/>
      <c r="Q32" s="24"/>
      <c r="R32" s="25" t="s">
        <v>42</v>
      </c>
      <c r="S32" s="25"/>
      <c r="T32" s="25"/>
      <c r="U32" s="21" t="s">
        <v>43</v>
      </c>
      <c r="V32" s="21"/>
      <c r="W32" s="21"/>
      <c r="X32" s="21"/>
      <c r="Y32" s="21"/>
      <c r="Z32" s="21"/>
      <c r="AA32" s="21"/>
      <c r="AB32" s="22" t="s">
        <v>44</v>
      </c>
      <c r="AC32" s="23" t="s">
        <v>45</v>
      </c>
      <c r="AD32" s="23"/>
      <c r="AE32" s="23"/>
      <c r="AF32" s="23"/>
    </row>
    <row r="33" customFormat="false" ht="16.5" hidden="false" customHeight="true" outlineLevel="0" collapsed="false">
      <c r="B33" s="26" t="s">
        <v>109</v>
      </c>
      <c r="C33" s="26"/>
      <c r="D33" s="26"/>
      <c r="M33" s="27" t="s">
        <v>47</v>
      </c>
      <c r="N33" s="27"/>
      <c r="O33" s="27"/>
      <c r="R33" s="28" t="s">
        <v>46</v>
      </c>
      <c r="S33" s="28"/>
      <c r="T33" s="28"/>
      <c r="AC33" s="27" t="s">
        <v>47</v>
      </c>
      <c r="AD33" s="27"/>
      <c r="AE33" s="27"/>
    </row>
    <row r="34" customFormat="false" ht="17.25" hidden="false" customHeight="true" outlineLevel="0" collapsed="false">
      <c r="B34" s="6" t="s">
        <v>110</v>
      </c>
      <c r="C34" s="6"/>
      <c r="D34" s="6"/>
      <c r="E34" s="29" t="s">
        <v>49</v>
      </c>
      <c r="F34" s="29"/>
      <c r="G34" s="29"/>
      <c r="H34" s="29"/>
      <c r="I34" s="29"/>
      <c r="J34" s="29"/>
      <c r="K34" s="29"/>
      <c r="L34" s="30"/>
      <c r="M34" s="36"/>
      <c r="N34" s="36"/>
      <c r="O34" s="36"/>
      <c r="P34" s="37" t="str">
        <f aca="false">IF(M34="","",IFERROR(IF(ABS(ABS(M34)-ABS('S3 Jawapan'!M34))&lt;0.5,"✓","✗"),"✗"))</f>
        <v/>
      </c>
      <c r="R34" s="31" t="s">
        <v>111</v>
      </c>
      <c r="S34" s="31"/>
      <c r="T34" s="31"/>
      <c r="U34" s="29" t="s">
        <v>51</v>
      </c>
      <c r="V34" s="29"/>
      <c r="W34" s="29"/>
      <c r="X34" s="29"/>
      <c r="Y34" s="29"/>
      <c r="Z34" s="29"/>
      <c r="AA34" s="29"/>
      <c r="AB34" s="30" t="s">
        <v>52</v>
      </c>
      <c r="AC34" s="36"/>
      <c r="AD34" s="36"/>
      <c r="AE34" s="36"/>
      <c r="AF34" s="37" t="str">
        <f aca="false">IF(AC34="","",IFERROR(IF(ABS(ABS(AC34)-ABS('S3 Jawapan'!AC34))&lt;0.5,"✓","✗"),"✗"))</f>
        <v/>
      </c>
    </row>
    <row r="35" customFormat="false" ht="17.25" hidden="false" customHeight="true" outlineLevel="0" collapsed="false">
      <c r="B35" s="26" t="s">
        <v>46</v>
      </c>
      <c r="C35" s="26"/>
      <c r="D35" s="26"/>
      <c r="R35" s="31" t="s">
        <v>111</v>
      </c>
      <c r="S35" s="31"/>
      <c r="T35" s="31"/>
      <c r="U35" s="29" t="s">
        <v>55</v>
      </c>
      <c r="V35" s="29"/>
      <c r="W35" s="29"/>
      <c r="X35" s="29"/>
      <c r="Y35" s="29"/>
      <c r="Z35" s="29"/>
      <c r="AA35" s="29"/>
      <c r="AB35" s="30" t="s">
        <v>52</v>
      </c>
      <c r="AC35" s="36"/>
      <c r="AD35" s="36"/>
      <c r="AE35" s="36"/>
      <c r="AF35" s="37" t="str">
        <f aca="false">IF(AC35="","",IFERROR(IF(ABS(ABS(AC35)-ABS('S3 Jawapan'!AC35))&lt;0.5,"✓","✗"),"✗"))</f>
        <v/>
      </c>
    </row>
    <row r="36" customFormat="false" ht="17.25" hidden="false" customHeight="true" outlineLevel="0" collapsed="false">
      <c r="B36" s="6" t="s">
        <v>111</v>
      </c>
      <c r="C36" s="6"/>
      <c r="D36" s="6"/>
      <c r="E36" s="29" t="s">
        <v>53</v>
      </c>
      <c r="F36" s="29"/>
      <c r="G36" s="29"/>
      <c r="H36" s="29"/>
      <c r="I36" s="29"/>
      <c r="J36" s="29"/>
      <c r="K36" s="29"/>
      <c r="L36" s="30" t="s">
        <v>54</v>
      </c>
      <c r="M36" s="36"/>
      <c r="N36" s="36"/>
      <c r="O36" s="36"/>
      <c r="P36" s="37" t="str">
        <f aca="false">IF(M36="","",IFERROR(IF(ABS(ABS(M36)-ABS('S3 Jawapan'!M36))&lt;0.5,"✓","✗"),"✗"))</f>
        <v/>
      </c>
      <c r="R36" s="31" t="s">
        <v>111</v>
      </c>
      <c r="S36" s="31"/>
      <c r="T36" s="31"/>
      <c r="U36" s="29" t="s">
        <v>57</v>
      </c>
      <c r="V36" s="29"/>
      <c r="W36" s="29"/>
      <c r="X36" s="29"/>
      <c r="Y36" s="29"/>
      <c r="Z36" s="29"/>
      <c r="AA36" s="29"/>
      <c r="AB36" s="30" t="s">
        <v>58</v>
      </c>
      <c r="AC36" s="36"/>
      <c r="AD36" s="36"/>
      <c r="AE36" s="36"/>
      <c r="AF36" s="37" t="str">
        <f aca="false">IF(AC36="","",IFERROR(IF(ABS(ABS(AC36)-ABS('S3 Jawapan'!AC36))&lt;0.5,"✓","✗"),"✗"))</f>
        <v/>
      </c>
    </row>
    <row r="37" customFormat="false" ht="17.25" hidden="false" customHeight="true" outlineLevel="0" collapsed="false">
      <c r="B37" s="6" t="s">
        <v>111</v>
      </c>
      <c r="C37" s="6"/>
      <c r="D37" s="6"/>
      <c r="E37" s="29" t="s">
        <v>56</v>
      </c>
      <c r="F37" s="29"/>
      <c r="G37" s="29"/>
      <c r="H37" s="29"/>
      <c r="I37" s="29"/>
      <c r="J37" s="29"/>
      <c r="K37" s="29"/>
      <c r="L37" s="30" t="s">
        <v>52</v>
      </c>
      <c r="M37" s="36"/>
      <c r="N37" s="36"/>
      <c r="O37" s="36"/>
      <c r="P37" s="37" t="str">
        <f aca="false">IF(M37="","",IFERROR(IF(ABS(ABS(M37)-ABS('S3 Jawapan'!M37))&lt;0.5,"✓","✗"),"✗"))</f>
        <v/>
      </c>
      <c r="R37" s="31" t="s">
        <v>111</v>
      </c>
      <c r="S37" s="31"/>
      <c r="T37" s="31"/>
      <c r="U37" s="29" t="s">
        <v>61</v>
      </c>
      <c r="V37" s="29"/>
      <c r="W37" s="29"/>
      <c r="X37" s="29"/>
      <c r="Y37" s="29"/>
      <c r="Z37" s="29"/>
      <c r="AA37" s="29"/>
      <c r="AB37" s="30" t="s">
        <v>60</v>
      </c>
      <c r="AC37" s="36"/>
      <c r="AD37" s="36"/>
      <c r="AE37" s="36"/>
      <c r="AF37" s="37" t="str">
        <f aca="false">IF(AC37="","",IFERROR(IF(ABS(ABS(AC37)-ABS('S3 Jawapan'!AC37))&lt;0.5,"✓","✗"),"✗"))</f>
        <v/>
      </c>
    </row>
    <row r="38" customFormat="false" ht="17.25" hidden="false" customHeight="true" outlineLevel="0" collapsed="false">
      <c r="R38" s="31" t="s">
        <v>111</v>
      </c>
      <c r="S38" s="31"/>
      <c r="T38" s="31"/>
      <c r="U38" s="29" t="s">
        <v>62</v>
      </c>
      <c r="V38" s="29"/>
      <c r="W38" s="29"/>
      <c r="X38" s="29"/>
      <c r="Y38" s="29"/>
      <c r="Z38" s="29"/>
      <c r="AA38" s="29"/>
      <c r="AB38" s="30" t="s">
        <v>60</v>
      </c>
      <c r="AC38" s="36"/>
      <c r="AD38" s="36"/>
      <c r="AE38" s="36"/>
      <c r="AF38" s="37" t="str">
        <f aca="false">IF(AC38="","",IFERROR(IF(ABS(ABS(AC38)-ABS('S3 Jawapan'!AC38))&lt;0.5,"✓","✗"),"✗"))</f>
        <v/>
      </c>
    </row>
    <row r="39" customFormat="false" ht="17.25" hidden="false" customHeight="true" outlineLevel="0" collapsed="false">
      <c r="R39" s="31" t="s">
        <v>111</v>
      </c>
      <c r="S39" s="31"/>
      <c r="T39" s="31"/>
      <c r="U39" s="29" t="s">
        <v>63</v>
      </c>
      <c r="V39" s="29"/>
      <c r="W39" s="29"/>
      <c r="X39" s="29"/>
      <c r="Y39" s="29"/>
      <c r="Z39" s="29"/>
      <c r="AA39" s="29"/>
      <c r="AB39" s="30"/>
      <c r="AC39" s="36"/>
      <c r="AD39" s="36"/>
      <c r="AE39" s="36"/>
      <c r="AF39" s="37" t="str">
        <f aca="false">IF(AC39="","",IFERROR(IF(ABS(ABS(AC39)-ABS('S3 Jawapan'!AC39))&lt;0.5,"✓","✗"),"✗"))</f>
        <v/>
      </c>
    </row>
    <row r="40" customFormat="false" ht="16.5" hidden="false" customHeight="true" outlineLevel="0" collapsed="false">
      <c r="M40" s="38"/>
      <c r="N40" s="38"/>
      <c r="O40" s="38"/>
      <c r="P40" s="37" t="str">
        <f aca="false">IF(M40="","",IFERROR(IF(ABS(ABS(M40)-ABS('S3 Jawapan'!M40))&lt;0.5,"✓","✗"),"✗"))</f>
        <v/>
      </c>
      <c r="R40" s="33"/>
      <c r="AC40" s="38"/>
      <c r="AD40" s="38"/>
      <c r="AE40" s="38"/>
      <c r="AF40" s="37" t="str">
        <f aca="false">IF(AC40="","",IFERROR(IF(ABS(ABS(AC40)-ABS('S3 Jawapan'!AC40))&lt;0.5,"✓","✗"),"✗"))</f>
        <v/>
      </c>
    </row>
    <row r="41" customFormat="false" ht="17.25" hidden="false" customHeight="true" outlineLevel="0" collapsed="false">
      <c r="B41" s="6" t="s">
        <v>110</v>
      </c>
      <c r="C41" s="6"/>
      <c r="D41" s="6"/>
      <c r="E41" s="29" t="s">
        <v>49</v>
      </c>
      <c r="F41" s="29"/>
      <c r="G41" s="29"/>
      <c r="H41" s="29"/>
      <c r="I41" s="29"/>
      <c r="J41" s="29"/>
      <c r="K41" s="29"/>
      <c r="L41" s="30"/>
      <c r="M41" s="36"/>
      <c r="N41" s="36"/>
      <c r="O41" s="36"/>
      <c r="P41" s="37" t="str">
        <f aca="false">IF(M41="","",IFERROR(IF(ABS(ABS(M41)-ABS('S3 Jawapan'!M41))&lt;0.5,"✓","✗"),"✗"))</f>
        <v/>
      </c>
      <c r="R41" s="33"/>
    </row>
    <row r="43" customFormat="false" ht="18.75" hidden="false" customHeight="true" outlineLevel="0" collapsed="false">
      <c r="B43" s="3" t="s">
        <v>112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customFormat="false" ht="15" hidden="false" customHeight="false" outlineLevel="0" collapsed="false">
      <c r="B44" s="18" t="s">
        <v>39</v>
      </c>
      <c r="C44" s="18"/>
      <c r="D44" s="18"/>
      <c r="E44" s="19" t="s">
        <v>72</v>
      </c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20" t="s">
        <v>41</v>
      </c>
      <c r="AE44" s="20"/>
      <c r="AF44" s="20"/>
    </row>
    <row r="45" customFormat="false" ht="15" hidden="false" customHeight="false" outlineLevel="0" collapsed="false">
      <c r="B45" s="21" t="s">
        <v>42</v>
      </c>
      <c r="C45" s="21"/>
      <c r="D45" s="21"/>
      <c r="E45" s="21" t="s">
        <v>43</v>
      </c>
      <c r="F45" s="21"/>
      <c r="G45" s="21"/>
      <c r="H45" s="21"/>
      <c r="I45" s="21"/>
      <c r="J45" s="21"/>
      <c r="K45" s="21"/>
      <c r="L45" s="22" t="s">
        <v>44</v>
      </c>
      <c r="M45" s="23" t="s">
        <v>45</v>
      </c>
      <c r="N45" s="23"/>
      <c r="O45" s="23"/>
      <c r="P45" s="23"/>
      <c r="Q45" s="24"/>
      <c r="R45" s="25" t="s">
        <v>42</v>
      </c>
      <c r="S45" s="25"/>
      <c r="T45" s="25"/>
      <c r="U45" s="21" t="s">
        <v>43</v>
      </c>
      <c r="V45" s="21"/>
      <c r="W45" s="21"/>
      <c r="X45" s="21"/>
      <c r="Y45" s="21"/>
      <c r="Z45" s="21"/>
      <c r="AA45" s="21"/>
      <c r="AB45" s="22" t="s">
        <v>44</v>
      </c>
      <c r="AC45" s="23" t="s">
        <v>45</v>
      </c>
      <c r="AD45" s="23"/>
      <c r="AE45" s="23"/>
      <c r="AF45" s="23"/>
    </row>
    <row r="46" customFormat="false" ht="16.5" hidden="false" customHeight="true" outlineLevel="0" collapsed="false">
      <c r="B46" s="26" t="s">
        <v>46</v>
      </c>
      <c r="C46" s="26"/>
      <c r="D46" s="26"/>
      <c r="M46" s="27" t="s">
        <v>47</v>
      </c>
      <c r="N46" s="27"/>
      <c r="O46" s="27"/>
      <c r="R46" s="28" t="s">
        <v>109</v>
      </c>
      <c r="S46" s="28"/>
      <c r="T46" s="28"/>
      <c r="AC46" s="27" t="s">
        <v>47</v>
      </c>
      <c r="AD46" s="27"/>
      <c r="AE46" s="27"/>
    </row>
    <row r="47" customFormat="false" ht="17.25" hidden="false" customHeight="true" outlineLevel="0" collapsed="false">
      <c r="B47" s="6" t="s">
        <v>111</v>
      </c>
      <c r="C47" s="6"/>
      <c r="D47" s="6"/>
      <c r="E47" s="29" t="s">
        <v>51</v>
      </c>
      <c r="F47" s="29"/>
      <c r="G47" s="29"/>
      <c r="H47" s="29"/>
      <c r="I47" s="29"/>
      <c r="J47" s="29"/>
      <c r="K47" s="29"/>
      <c r="L47" s="30" t="s">
        <v>52</v>
      </c>
      <c r="M47" s="36"/>
      <c r="N47" s="36"/>
      <c r="O47" s="36"/>
      <c r="P47" s="37" t="str">
        <f aca="false">IF(M47="","",IFERROR(IF(ABS(ABS(M47)-ABS('S3 Jawapan'!M47))&lt;0.5,"✓","✗"),"✗"))</f>
        <v/>
      </c>
      <c r="R47" s="31" t="s">
        <v>110</v>
      </c>
      <c r="S47" s="31"/>
      <c r="T47" s="31"/>
      <c r="U47" s="29" t="s">
        <v>49</v>
      </c>
      <c r="V47" s="29"/>
      <c r="W47" s="29"/>
      <c r="X47" s="29"/>
      <c r="Y47" s="29"/>
      <c r="Z47" s="29"/>
      <c r="AA47" s="29"/>
      <c r="AB47" s="30"/>
      <c r="AC47" s="36"/>
      <c r="AD47" s="36"/>
      <c r="AE47" s="36"/>
      <c r="AF47" s="37" t="str">
        <f aca="false">IF(AC47="","",IFERROR(IF(ABS(ABS(AC47)-ABS('S3 Jawapan'!AC47))&lt;0.5,"✓","✗"),"✗"))</f>
        <v/>
      </c>
    </row>
    <row r="48" customFormat="false" ht="17.25" hidden="false" customHeight="true" outlineLevel="0" collapsed="false">
      <c r="B48" s="6" t="s">
        <v>111</v>
      </c>
      <c r="C48" s="6"/>
      <c r="D48" s="6"/>
      <c r="E48" s="29" t="s">
        <v>73</v>
      </c>
      <c r="F48" s="29"/>
      <c r="G48" s="29"/>
      <c r="H48" s="29"/>
      <c r="I48" s="29"/>
      <c r="J48" s="29"/>
      <c r="K48" s="29"/>
      <c r="L48" s="30" t="s">
        <v>52</v>
      </c>
      <c r="M48" s="36"/>
      <c r="N48" s="36"/>
      <c r="O48" s="36"/>
      <c r="P48" s="37" t="str">
        <f aca="false">IF(M48="","",IFERROR(IF(ABS(ABS(M48)-ABS('S3 Jawapan'!M48))&lt;0.5,"✓","✗"),"✗"))</f>
        <v/>
      </c>
      <c r="R48" s="28" t="s">
        <v>46</v>
      </c>
      <c r="S48" s="28"/>
      <c r="T48" s="28"/>
    </row>
    <row r="49" customFormat="false" ht="17.25" hidden="false" customHeight="true" outlineLevel="0" collapsed="false">
      <c r="B49" s="6" t="s">
        <v>111</v>
      </c>
      <c r="C49" s="6"/>
      <c r="D49" s="6"/>
      <c r="E49" s="29" t="s">
        <v>76</v>
      </c>
      <c r="F49" s="29"/>
      <c r="G49" s="29"/>
      <c r="H49" s="29"/>
      <c r="I49" s="29"/>
      <c r="J49" s="29"/>
      <c r="K49" s="29"/>
      <c r="L49" s="30" t="s">
        <v>77</v>
      </c>
      <c r="M49" s="36"/>
      <c r="N49" s="36"/>
      <c r="O49" s="36"/>
      <c r="P49" s="37" t="str">
        <f aca="false">IF(M49="","",IFERROR(IF(ABS(ABS(M49)-ABS('S3 Jawapan'!M49))&lt;0.5,"✓","✗"),"✗"))</f>
        <v/>
      </c>
      <c r="R49" s="31" t="s">
        <v>111</v>
      </c>
      <c r="S49" s="31"/>
      <c r="T49" s="31"/>
      <c r="U49" s="29" t="s">
        <v>74</v>
      </c>
      <c r="V49" s="29"/>
      <c r="W49" s="29"/>
      <c r="X49" s="29"/>
      <c r="Y49" s="29"/>
      <c r="Z49" s="29"/>
      <c r="AA49" s="29"/>
      <c r="AB49" s="30" t="s">
        <v>75</v>
      </c>
      <c r="AC49" s="36"/>
      <c r="AD49" s="36"/>
      <c r="AE49" s="36"/>
      <c r="AF49" s="37" t="str">
        <f aca="false">IF(AC49="","",IFERROR(IF(ABS(ABS(AC49)-ABS('S3 Jawapan'!AC49))&lt;0.5,"✓","✗"),"✗"))</f>
        <v/>
      </c>
    </row>
    <row r="50" customFormat="false" ht="17.25" hidden="false" customHeight="true" outlineLevel="0" collapsed="false">
      <c r="B50" s="6" t="s">
        <v>111</v>
      </c>
      <c r="C50" s="6"/>
      <c r="D50" s="6"/>
      <c r="E50" s="29" t="s">
        <v>62</v>
      </c>
      <c r="F50" s="29"/>
      <c r="G50" s="29"/>
      <c r="H50" s="29"/>
      <c r="I50" s="29"/>
      <c r="J50" s="29"/>
      <c r="K50" s="29"/>
      <c r="L50" s="30" t="s">
        <v>60</v>
      </c>
      <c r="M50" s="36"/>
      <c r="N50" s="36"/>
      <c r="O50" s="36"/>
      <c r="P50" s="37" t="str">
        <f aca="false">IF(M50="","",IFERROR(IF(ABS(ABS(M50)-ABS('S3 Jawapan'!M50))&lt;0.5,"✓","✗"),"✗"))</f>
        <v/>
      </c>
      <c r="R50" s="31" t="s">
        <v>111</v>
      </c>
      <c r="S50" s="31"/>
      <c r="T50" s="31"/>
      <c r="U50" s="29" t="s">
        <v>78</v>
      </c>
      <c r="V50" s="29"/>
      <c r="W50" s="29"/>
      <c r="X50" s="29"/>
      <c r="Y50" s="29"/>
      <c r="Z50" s="29"/>
      <c r="AA50" s="29"/>
      <c r="AB50" s="30" t="s">
        <v>60</v>
      </c>
      <c r="AC50" s="36"/>
      <c r="AD50" s="36"/>
      <c r="AE50" s="36"/>
      <c r="AF50" s="37" t="str">
        <f aca="false">IF(AC50="","",IFERROR(IF(ABS(ABS(AC50)-ABS('S3 Jawapan'!AC50))&lt;0.5,"✓","✗"),"✗"))</f>
        <v/>
      </c>
    </row>
    <row r="51" customFormat="false" ht="17.25" hidden="false" customHeight="true" outlineLevel="0" collapsed="false">
      <c r="B51" s="6" t="s">
        <v>111</v>
      </c>
      <c r="C51" s="6"/>
      <c r="D51" s="6"/>
      <c r="E51" s="29" t="s">
        <v>63</v>
      </c>
      <c r="F51" s="29"/>
      <c r="G51" s="29"/>
      <c r="H51" s="29"/>
      <c r="I51" s="29"/>
      <c r="J51" s="29"/>
      <c r="K51" s="29"/>
      <c r="L51" s="30"/>
      <c r="M51" s="36"/>
      <c r="N51" s="36"/>
      <c r="O51" s="36"/>
      <c r="P51" s="37" t="str">
        <f aca="false">IF(M51="","",IFERROR(IF(ABS(ABS(M51)-ABS('S3 Jawapan'!M51))&lt;0.5,"✓","✗"),"✗"))</f>
        <v/>
      </c>
      <c r="R51" s="33"/>
    </row>
    <row r="52" customFormat="false" ht="16.5" hidden="false" customHeight="true" outlineLevel="0" collapsed="false">
      <c r="M52" s="38"/>
      <c r="N52" s="38"/>
      <c r="O52" s="38"/>
      <c r="P52" s="37" t="str">
        <f aca="false">IF(M52="","",IFERROR(IF(ABS(ABS(M52)-ABS('S3 Jawapan'!M52))&lt;0.5,"✓","✗"),"✗"))</f>
        <v/>
      </c>
      <c r="R52" s="33"/>
      <c r="AC52" s="38"/>
      <c r="AD52" s="38"/>
      <c r="AE52" s="38"/>
      <c r="AF52" s="37" t="str">
        <f aca="false">IF(AC52="","",IFERROR(IF(ABS(ABS(AC52)-ABS('S3 Jawapan'!AC52))&lt;0.5,"✓","✗"),"✗"))</f>
        <v/>
      </c>
    </row>
    <row r="53" customFormat="false" ht="17.25" hidden="false" customHeight="true" outlineLevel="0" collapsed="false">
      <c r="R53" s="31" t="s">
        <v>110</v>
      </c>
      <c r="S53" s="31"/>
      <c r="T53" s="31"/>
      <c r="U53" s="29" t="s">
        <v>49</v>
      </c>
      <c r="V53" s="29"/>
      <c r="W53" s="29"/>
      <c r="X53" s="29"/>
      <c r="Y53" s="29"/>
      <c r="Z53" s="29"/>
      <c r="AA53" s="29"/>
      <c r="AB53" s="30"/>
      <c r="AC53" s="36"/>
      <c r="AD53" s="36"/>
      <c r="AE53" s="36"/>
      <c r="AF53" s="37" t="str">
        <f aca="false">IF(AC53="","",IFERROR(IF(ABS(ABS(AC53)-ABS('S3 Jawapan'!AC53))&lt;0.5,"✓","✗"),"✗"))</f>
        <v/>
      </c>
    </row>
  </sheetData>
  <mergeCells count="134">
    <mergeCell ref="B1:AF1"/>
    <mergeCell ref="B2:AF2"/>
    <mergeCell ref="B3:G3"/>
    <mergeCell ref="H3:AF3"/>
    <mergeCell ref="B5:AF5"/>
    <mergeCell ref="B6:W6"/>
    <mergeCell ref="X6:AC6"/>
    <mergeCell ref="B7:AC7"/>
    <mergeCell ref="B8:W8"/>
    <mergeCell ref="X8:AC8"/>
    <mergeCell ref="B9:W9"/>
    <mergeCell ref="X9:AC9"/>
    <mergeCell ref="B10:W10"/>
    <mergeCell ref="X10:AC10"/>
    <mergeCell ref="B11:W11"/>
    <mergeCell ref="X11:AC11"/>
    <mergeCell ref="B12:AC12"/>
    <mergeCell ref="B13:W13"/>
    <mergeCell ref="X13:AC13"/>
    <mergeCell ref="B14:W14"/>
    <mergeCell ref="X14:AC14"/>
    <mergeCell ref="B15:AC15"/>
    <mergeCell ref="B16:W16"/>
    <mergeCell ref="X16:AC16"/>
    <mergeCell ref="B17:W17"/>
    <mergeCell ref="X17:AC17"/>
    <mergeCell ref="B18:W18"/>
    <mergeCell ref="X18:AC18"/>
    <mergeCell ref="B19:W19"/>
    <mergeCell ref="X19:AC19"/>
    <mergeCell ref="B20:W20"/>
    <mergeCell ref="X20:AC20"/>
    <mergeCell ref="B21:W21"/>
    <mergeCell ref="X21:AC21"/>
    <mergeCell ref="B22:W22"/>
    <mergeCell ref="X22:AC22"/>
    <mergeCell ref="B23:W23"/>
    <mergeCell ref="X23:AC23"/>
    <mergeCell ref="B26:AF26"/>
    <mergeCell ref="B27:W27"/>
    <mergeCell ref="X27:AB27"/>
    <mergeCell ref="B28:W28"/>
    <mergeCell ref="X28:AB28"/>
    <mergeCell ref="B30:AF30"/>
    <mergeCell ref="B31:D31"/>
    <mergeCell ref="E31:AC31"/>
    <mergeCell ref="AD31:AF31"/>
    <mergeCell ref="B32:D32"/>
    <mergeCell ref="E32:K32"/>
    <mergeCell ref="M32:P32"/>
    <mergeCell ref="R32:T32"/>
    <mergeCell ref="U32:AA32"/>
    <mergeCell ref="AC32:AF32"/>
    <mergeCell ref="B33:D33"/>
    <mergeCell ref="M33:O33"/>
    <mergeCell ref="R33:T33"/>
    <mergeCell ref="AC33:AE33"/>
    <mergeCell ref="B34:D34"/>
    <mergeCell ref="E34:K34"/>
    <mergeCell ref="M34:O34"/>
    <mergeCell ref="R34:T34"/>
    <mergeCell ref="U34:AA34"/>
    <mergeCell ref="AC34:AE34"/>
    <mergeCell ref="B35:D35"/>
    <mergeCell ref="R35:T35"/>
    <mergeCell ref="U35:AA35"/>
    <mergeCell ref="AC35:AE35"/>
    <mergeCell ref="B36:D36"/>
    <mergeCell ref="E36:K36"/>
    <mergeCell ref="M36:O36"/>
    <mergeCell ref="R36:T36"/>
    <mergeCell ref="U36:AA36"/>
    <mergeCell ref="AC36:AE36"/>
    <mergeCell ref="B37:D37"/>
    <mergeCell ref="E37:K37"/>
    <mergeCell ref="M37:O37"/>
    <mergeCell ref="R37:T37"/>
    <mergeCell ref="U37:AA37"/>
    <mergeCell ref="AC37:AE37"/>
    <mergeCell ref="R38:T38"/>
    <mergeCell ref="U38:AA38"/>
    <mergeCell ref="AC38:AE38"/>
    <mergeCell ref="R39:T39"/>
    <mergeCell ref="U39:AA39"/>
    <mergeCell ref="AC39:AE39"/>
    <mergeCell ref="M40:O40"/>
    <mergeCell ref="AC40:AE40"/>
    <mergeCell ref="B41:D41"/>
    <mergeCell ref="E41:K41"/>
    <mergeCell ref="M41:O41"/>
    <mergeCell ref="B43:AF43"/>
    <mergeCell ref="B44:D44"/>
    <mergeCell ref="E44:AC44"/>
    <mergeCell ref="AD44:AF44"/>
    <mergeCell ref="B45:D45"/>
    <mergeCell ref="E45:K45"/>
    <mergeCell ref="M45:P45"/>
    <mergeCell ref="R45:T45"/>
    <mergeCell ref="U45:AA45"/>
    <mergeCell ref="AC45:AF45"/>
    <mergeCell ref="B46:D46"/>
    <mergeCell ref="M46:O46"/>
    <mergeCell ref="R46:T46"/>
    <mergeCell ref="AC46:AE46"/>
    <mergeCell ref="B47:D47"/>
    <mergeCell ref="E47:K47"/>
    <mergeCell ref="M47:O47"/>
    <mergeCell ref="R47:T47"/>
    <mergeCell ref="U47:AA47"/>
    <mergeCell ref="AC47:AE47"/>
    <mergeCell ref="B48:D48"/>
    <mergeCell ref="E48:K48"/>
    <mergeCell ref="M48:O48"/>
    <mergeCell ref="R48:T48"/>
    <mergeCell ref="B49:D49"/>
    <mergeCell ref="E49:K49"/>
    <mergeCell ref="M49:O49"/>
    <mergeCell ref="R49:T49"/>
    <mergeCell ref="U49:AA49"/>
    <mergeCell ref="AC49:AE49"/>
    <mergeCell ref="B50:D50"/>
    <mergeCell ref="E50:K50"/>
    <mergeCell ref="M50:O50"/>
    <mergeCell ref="R50:T50"/>
    <mergeCell ref="U50:AA50"/>
    <mergeCell ref="AC50:AE50"/>
    <mergeCell ref="B51:D51"/>
    <mergeCell ref="E51:K51"/>
    <mergeCell ref="M51:O51"/>
    <mergeCell ref="M52:O52"/>
    <mergeCell ref="AC52:AE52"/>
    <mergeCell ref="R53:T53"/>
    <mergeCell ref="U53:AA53"/>
    <mergeCell ref="AC53:AE53"/>
  </mergeCells>
  <conditionalFormatting sqref="B4:AG54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B1:AF42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4" min="2" style="0" width="4.6"/>
  </cols>
  <sheetData>
    <row r="1" customFormat="false" ht="25.5" hidden="false" customHeight="true" outlineLevel="0" collapsed="false">
      <c r="B1" s="1" t="s">
        <v>113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15" hidden="false" customHeight="false" outlineLevel="0" collapsed="false">
      <c r="B2" s="14" t="s">
        <v>93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 customFormat="false" ht="15" hidden="false" customHeight="false" outlineLevel="0" collapsed="false">
      <c r="B3" s="18" t="s">
        <v>94</v>
      </c>
      <c r="C3" s="18"/>
      <c r="D3" s="18"/>
      <c r="E3" s="18"/>
      <c r="F3" s="18"/>
      <c r="G3" s="18"/>
      <c r="H3" s="18" t="str">
        <f aca="false">COUNTIF(B4:AG43,"✓")&amp;" betul daripada 14 sel jawapan"</f>
        <v>0 betul daripada 14 sel jawapan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</row>
    <row r="5" customFormat="false" ht="16.5" hidden="false" customHeight="true" outlineLevel="0" collapsed="false">
      <c r="B5" s="4" t="s">
        <v>114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customFormat="false" ht="16.5" hidden="false" customHeight="true" outlineLevel="0" collapsed="false">
      <c r="C6" s="4" t="s">
        <v>115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customFormat="false" ht="16.5" hidden="false" customHeight="true" outlineLevel="0" collapsed="false">
      <c r="C7" s="4" t="s">
        <v>116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customFormat="false" ht="16.5" hidden="false" customHeight="true" outlineLevel="0" collapsed="false">
      <c r="C8" s="4" t="s">
        <v>117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customFormat="false" ht="16.5" hidden="false" customHeight="true" outlineLevel="0" collapsed="false">
      <c r="C9" s="4" t="s">
        <v>118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customFormat="false" ht="16.5" hidden="false" customHeight="true" outlineLevel="0" collapsed="false">
      <c r="C10" s="4" t="s">
        <v>119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customFormat="false" ht="16.5" hidden="false" customHeight="true" outlineLevel="0" collapsed="false">
      <c r="C11" s="4" t="s">
        <v>120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customFormat="false" ht="15" hidden="false" customHeight="false" outlineLevel="0" collapsed="false">
      <c r="B12" s="15" t="s">
        <v>80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6" t="s">
        <v>29</v>
      </c>
      <c r="Y12" s="16"/>
      <c r="Z12" s="16"/>
      <c r="AA12" s="16"/>
      <c r="AB12" s="16"/>
      <c r="AC12" s="16"/>
    </row>
    <row r="13" customFormat="false" ht="16.5" hidden="false" customHeight="true" outlineLevel="0" collapsed="false">
      <c r="B13" s="12" t="s">
        <v>121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7" t="n">
        <v>2000</v>
      </c>
      <c r="Y13" s="17"/>
      <c r="Z13" s="17"/>
      <c r="AA13" s="17"/>
      <c r="AB13" s="17"/>
      <c r="AC13" s="17"/>
    </row>
    <row r="14" customFormat="false" ht="16.5" hidden="false" customHeight="true" outlineLevel="0" collapsed="false">
      <c r="B14" s="12" t="s">
        <v>31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7" t="n">
        <v>1800</v>
      </c>
      <c r="Y14" s="17"/>
      <c r="Z14" s="17"/>
      <c r="AA14" s="17"/>
      <c r="AB14" s="17"/>
      <c r="AC14" s="17"/>
    </row>
    <row r="15" customFormat="false" ht="16.5" hidden="false" customHeight="true" outlineLevel="0" collapsed="false">
      <c r="B15" s="12" t="s">
        <v>34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7" t="n">
        <v>200</v>
      </c>
      <c r="Y15" s="17"/>
      <c r="Z15" s="17"/>
      <c r="AA15" s="17"/>
      <c r="AB15" s="17"/>
      <c r="AC15" s="17"/>
    </row>
    <row r="16" customFormat="false" ht="16.5" hidden="false" customHeight="true" outlineLevel="0" collapsed="false">
      <c r="B16" s="12" t="s">
        <v>67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7" t="n">
        <v>900</v>
      </c>
      <c r="Y16" s="17"/>
      <c r="Z16" s="17"/>
      <c r="AA16" s="17"/>
      <c r="AB16" s="17"/>
      <c r="AC16" s="17"/>
    </row>
    <row r="17" customFormat="false" ht="16.5" hidden="false" customHeight="true" outlineLevel="0" collapsed="false">
      <c r="B17" s="12" t="s">
        <v>122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7" t="n">
        <v>1500</v>
      </c>
      <c r="Y17" s="17"/>
      <c r="Z17" s="17"/>
      <c r="AA17" s="17"/>
      <c r="AB17" s="17"/>
      <c r="AC17" s="17"/>
    </row>
    <row r="20" customFormat="false" ht="18.75" hidden="false" customHeight="true" outlineLevel="0" collapsed="false">
      <c r="B20" s="3" t="s">
        <v>123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customFormat="false" ht="17.25" hidden="false" customHeight="true" outlineLevel="0" collapsed="false">
      <c r="B21" s="10" t="s">
        <v>124</v>
      </c>
      <c r="C21" s="10"/>
      <c r="D21" s="10"/>
      <c r="E21" s="10"/>
      <c r="F21" s="10"/>
      <c r="G21" s="10"/>
      <c r="H21" s="10"/>
      <c r="I21" s="10"/>
      <c r="J21" s="10"/>
      <c r="K21" s="10"/>
      <c r="L21" s="11" t="s">
        <v>125</v>
      </c>
      <c r="M21" s="11"/>
      <c r="N21" s="11"/>
      <c r="O21" s="11"/>
      <c r="P21" s="11"/>
      <c r="Q21" s="11"/>
      <c r="R21" s="11"/>
      <c r="S21" s="11" t="s">
        <v>126</v>
      </c>
      <c r="T21" s="11"/>
      <c r="U21" s="11"/>
      <c r="V21" s="11"/>
      <c r="W21" s="11"/>
      <c r="X21" s="11"/>
      <c r="Y21" s="11"/>
      <c r="Z21" s="11" t="s">
        <v>127</v>
      </c>
      <c r="AA21" s="11"/>
      <c r="AB21" s="11"/>
      <c r="AC21" s="11"/>
      <c r="AD21" s="11"/>
      <c r="AE21" s="11"/>
      <c r="AF21" s="11"/>
    </row>
    <row r="22" customFormat="false" ht="17.25" hidden="false" customHeight="true" outlineLevel="0" collapsed="false">
      <c r="B22" s="12" t="s">
        <v>128</v>
      </c>
      <c r="C22" s="12"/>
      <c r="D22" s="12"/>
      <c r="E22" s="12"/>
      <c r="F22" s="12"/>
      <c r="G22" s="12"/>
      <c r="H22" s="12"/>
      <c r="I22" s="12"/>
      <c r="J22" s="12"/>
      <c r="K22" s="12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6"/>
      <c r="AA22" s="36"/>
      <c r="AB22" s="36"/>
      <c r="AC22" s="36"/>
      <c r="AD22" s="36"/>
      <c r="AE22" s="36"/>
      <c r="AF22" s="40" t="str">
        <f aca="false">IF(Z22="","",IFERROR(IF(ABS(ABS(Z22)-ABS('S4 Jawapan'!Z22))&lt;0.5,"✓","✗"),"✗"))</f>
        <v/>
      </c>
    </row>
    <row r="23" customFormat="false" ht="17.25" hidden="false" customHeight="true" outlineLevel="0" collapsed="false">
      <c r="B23" s="12" t="s">
        <v>129</v>
      </c>
      <c r="C23" s="12"/>
      <c r="D23" s="12"/>
      <c r="E23" s="12"/>
      <c r="F23" s="12"/>
      <c r="G23" s="12"/>
      <c r="H23" s="12"/>
      <c r="I23" s="12"/>
      <c r="J23" s="12"/>
      <c r="K23" s="12"/>
      <c r="L23" s="36"/>
      <c r="M23" s="36"/>
      <c r="N23" s="36"/>
      <c r="O23" s="36"/>
      <c r="P23" s="36"/>
      <c r="Q23" s="36"/>
      <c r="R23" s="40" t="str">
        <f aca="false">IF(L23="","",IFERROR(IF(ABS(ABS(L23)-ABS('S4 Jawapan'!L23))&lt;0.5,"✓","✗"),"✗"))</f>
        <v/>
      </c>
      <c r="S23" s="39"/>
      <c r="T23" s="39"/>
      <c r="U23" s="39"/>
      <c r="V23" s="39"/>
      <c r="W23" s="39"/>
      <c r="X23" s="39"/>
      <c r="Y23" s="39"/>
      <c r="Z23" s="36"/>
      <c r="AA23" s="36"/>
      <c r="AB23" s="36"/>
      <c r="AC23" s="36"/>
      <c r="AD23" s="36"/>
      <c r="AE23" s="36"/>
      <c r="AF23" s="40" t="str">
        <f aca="false">IF(Z23="","",IFERROR(IF(ABS(ABS(Z23)-ABS('S4 Jawapan'!Z23))&lt;0.5,"✓","✗"),"✗"))</f>
        <v/>
      </c>
    </row>
    <row r="24" customFormat="false" ht="17.25" hidden="false" customHeight="true" outlineLevel="0" collapsed="false">
      <c r="B24" s="12" t="s">
        <v>130</v>
      </c>
      <c r="C24" s="12"/>
      <c r="D24" s="12"/>
      <c r="E24" s="12"/>
      <c r="F24" s="12"/>
      <c r="G24" s="12"/>
      <c r="H24" s="12"/>
      <c r="I24" s="12"/>
      <c r="J24" s="12"/>
      <c r="K24" s="12"/>
      <c r="L24" s="39"/>
      <c r="M24" s="39"/>
      <c r="N24" s="39"/>
      <c r="O24" s="39"/>
      <c r="P24" s="39"/>
      <c r="Q24" s="39"/>
      <c r="R24" s="39"/>
      <c r="S24" s="36"/>
      <c r="T24" s="36"/>
      <c r="U24" s="36"/>
      <c r="V24" s="36"/>
      <c r="W24" s="36"/>
      <c r="X24" s="36"/>
      <c r="Y24" s="40" t="str">
        <f aca="false">IF(S24="","",IFERROR(IF(ABS(ABS(S24)-ABS('S4 Jawapan'!S24))&lt;0.5,"✓","✗"),"✗"))</f>
        <v/>
      </c>
      <c r="Z24" s="36"/>
      <c r="AA24" s="36"/>
      <c r="AB24" s="36"/>
      <c r="AC24" s="36"/>
      <c r="AD24" s="36"/>
      <c r="AE24" s="36"/>
      <c r="AF24" s="40" t="str">
        <f aca="false">IF(Z24="","",IFERROR(IF(ABS(ABS(Z24)-ABS('S4 Jawapan'!Z24))&lt;0.5,"✓","✗"),"✗"))</f>
        <v/>
      </c>
    </row>
    <row r="25" customFormat="false" ht="17.25" hidden="false" customHeight="true" outlineLevel="0" collapsed="false">
      <c r="B25" s="12" t="s">
        <v>131</v>
      </c>
      <c r="C25" s="12"/>
      <c r="D25" s="12"/>
      <c r="E25" s="12"/>
      <c r="F25" s="12"/>
      <c r="G25" s="12"/>
      <c r="H25" s="12"/>
      <c r="I25" s="12"/>
      <c r="J25" s="12"/>
      <c r="K25" s="12"/>
      <c r="L25" s="39"/>
      <c r="M25" s="39"/>
      <c r="N25" s="39"/>
      <c r="O25" s="39"/>
      <c r="P25" s="39"/>
      <c r="Q25" s="39"/>
      <c r="R25" s="39"/>
      <c r="S25" s="36"/>
      <c r="T25" s="36"/>
      <c r="U25" s="36"/>
      <c r="V25" s="36"/>
      <c r="W25" s="36"/>
      <c r="X25" s="36"/>
      <c r="Y25" s="40" t="str">
        <f aca="false">IF(S25="","",IFERROR(IF(ABS(ABS(S25)-ABS('S4 Jawapan'!S25))&lt;0.5,"✓","✗"),"✗"))</f>
        <v/>
      </c>
      <c r="Z25" s="36"/>
      <c r="AA25" s="36"/>
      <c r="AB25" s="36"/>
      <c r="AC25" s="36"/>
      <c r="AD25" s="36"/>
      <c r="AE25" s="36"/>
      <c r="AF25" s="40" t="str">
        <f aca="false">IF(Z25="","",IFERROR(IF(ABS(ABS(Z25)-ABS('S4 Jawapan'!Z25))&lt;0.5,"✓","✗"),"✗"))</f>
        <v/>
      </c>
    </row>
    <row r="26" customFormat="false" ht="17.25" hidden="false" customHeight="true" outlineLevel="0" collapsed="false">
      <c r="B26" s="12" t="s">
        <v>132</v>
      </c>
      <c r="C26" s="12"/>
      <c r="D26" s="12"/>
      <c r="E26" s="12"/>
      <c r="F26" s="12"/>
      <c r="G26" s="12"/>
      <c r="H26" s="12"/>
      <c r="I26" s="12"/>
      <c r="J26" s="12"/>
      <c r="K26" s="12"/>
      <c r="L26" s="39"/>
      <c r="M26" s="39"/>
      <c r="N26" s="39"/>
      <c r="O26" s="39"/>
      <c r="P26" s="39"/>
      <c r="Q26" s="39"/>
      <c r="R26" s="39"/>
      <c r="S26" s="36"/>
      <c r="T26" s="36"/>
      <c r="U26" s="36"/>
      <c r="V26" s="36"/>
      <c r="W26" s="36"/>
      <c r="X26" s="36"/>
      <c r="Y26" s="40" t="str">
        <f aca="false">IF(S26="","",IFERROR(IF(ABS(ABS(S26)-ABS('S4 Jawapan'!S26))&lt;0.5,"✓","✗"),"✗"))</f>
        <v/>
      </c>
      <c r="Z26" s="36"/>
      <c r="AA26" s="36"/>
      <c r="AB26" s="36"/>
      <c r="AC26" s="36"/>
      <c r="AD26" s="36"/>
      <c r="AE26" s="36"/>
      <c r="AF26" s="40" t="str">
        <f aca="false">IF(Z26="","",IFERROR(IF(ABS(ABS(Z26)-ABS('S4 Jawapan'!Z26))&lt;0.5,"✓","✗"),"✗"))</f>
        <v/>
      </c>
    </row>
    <row r="28" customFormat="false" ht="18.75" hidden="false" customHeight="true" outlineLevel="0" collapsed="false">
      <c r="B28" s="3" t="s">
        <v>133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customFormat="false" ht="15" hidden="false" customHeight="false" outlineLevel="0" collapsed="false">
      <c r="B29" s="18" t="s">
        <v>39</v>
      </c>
      <c r="C29" s="18"/>
      <c r="D29" s="18"/>
      <c r="E29" s="19" t="s">
        <v>134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20" t="s">
        <v>41</v>
      </c>
      <c r="AE29" s="20"/>
      <c r="AF29" s="20"/>
    </row>
    <row r="30" customFormat="false" ht="15" hidden="false" customHeight="false" outlineLevel="0" collapsed="false">
      <c r="B30" s="21" t="s">
        <v>42</v>
      </c>
      <c r="C30" s="21"/>
      <c r="D30" s="21"/>
      <c r="E30" s="21" t="s">
        <v>43</v>
      </c>
      <c r="F30" s="21"/>
      <c r="G30" s="21"/>
      <c r="H30" s="21"/>
      <c r="I30" s="21"/>
      <c r="J30" s="21"/>
      <c r="K30" s="21"/>
      <c r="L30" s="22" t="s">
        <v>44</v>
      </c>
      <c r="M30" s="23" t="s">
        <v>45</v>
      </c>
      <c r="N30" s="23"/>
      <c r="O30" s="23"/>
      <c r="P30" s="23"/>
      <c r="Q30" s="24"/>
      <c r="R30" s="25" t="s">
        <v>42</v>
      </c>
      <c r="S30" s="25"/>
      <c r="T30" s="25"/>
      <c r="U30" s="21" t="s">
        <v>43</v>
      </c>
      <c r="V30" s="21"/>
      <c r="W30" s="21"/>
      <c r="X30" s="21"/>
      <c r="Y30" s="21"/>
      <c r="Z30" s="21"/>
      <c r="AA30" s="21"/>
      <c r="AB30" s="22" t="s">
        <v>44</v>
      </c>
      <c r="AC30" s="23" t="s">
        <v>45</v>
      </c>
      <c r="AD30" s="23"/>
      <c r="AE30" s="23"/>
      <c r="AF30" s="23"/>
    </row>
    <row r="31" customFormat="false" ht="16.5" hidden="false" customHeight="true" outlineLevel="0" collapsed="false">
      <c r="B31" s="26" t="s">
        <v>46</v>
      </c>
      <c r="C31" s="26"/>
      <c r="D31" s="26"/>
      <c r="M31" s="27" t="s">
        <v>47</v>
      </c>
      <c r="N31" s="27"/>
      <c r="O31" s="27"/>
      <c r="R31" s="28" t="s">
        <v>46</v>
      </c>
      <c r="S31" s="28"/>
      <c r="T31" s="28"/>
      <c r="AC31" s="27" t="s">
        <v>47</v>
      </c>
      <c r="AD31" s="27"/>
      <c r="AE31" s="27"/>
    </row>
    <row r="32" customFormat="false" ht="17.25" hidden="false" customHeight="true" outlineLevel="0" collapsed="false">
      <c r="B32" s="6" t="s">
        <v>86</v>
      </c>
      <c r="C32" s="6"/>
      <c r="D32" s="6"/>
      <c r="E32" s="29" t="s">
        <v>62</v>
      </c>
      <c r="F32" s="29"/>
      <c r="G32" s="29"/>
      <c r="H32" s="29"/>
      <c r="I32" s="29"/>
      <c r="J32" s="29"/>
      <c r="K32" s="29"/>
      <c r="L32" s="30" t="s">
        <v>60</v>
      </c>
      <c r="M32" s="36"/>
      <c r="N32" s="36"/>
      <c r="O32" s="36"/>
      <c r="P32" s="37" t="str">
        <f aca="false">IF(M32="","",IFERROR(IF(ABS(ABS(M32)-ABS('S4 Jawapan'!M32))&lt;0.5,"✓","✗"),"✗"))</f>
        <v/>
      </c>
      <c r="R32" s="31" t="s">
        <v>135</v>
      </c>
      <c r="S32" s="31"/>
      <c r="T32" s="31"/>
      <c r="U32" s="29" t="s">
        <v>74</v>
      </c>
      <c r="V32" s="29"/>
      <c r="W32" s="29"/>
      <c r="X32" s="29"/>
      <c r="Y32" s="29"/>
      <c r="Z32" s="29"/>
      <c r="AA32" s="29"/>
      <c r="AB32" s="30" t="s">
        <v>75</v>
      </c>
      <c r="AC32" s="36"/>
      <c r="AD32" s="36"/>
      <c r="AE32" s="36"/>
      <c r="AF32" s="37" t="str">
        <f aca="false">IF(AC32="","",IFERROR(IF(ABS(ABS(AC32)-ABS('S4 Jawapan'!AC32))&lt;0.5,"✓","✗"),"✗"))</f>
        <v/>
      </c>
    </row>
    <row r="33" customFormat="false" ht="16.5" hidden="false" customHeight="true" outlineLevel="0" collapsed="false">
      <c r="M33" s="38"/>
      <c r="N33" s="38"/>
      <c r="O33" s="38"/>
      <c r="P33" s="37" t="str">
        <f aca="false">IF(M33="","",IFERROR(IF(ABS(ABS(M33)-ABS('S4 Jawapan'!M33))&lt;0.5,"✓","✗"),"✗"))</f>
        <v/>
      </c>
      <c r="R33" s="33"/>
      <c r="AC33" s="38"/>
      <c r="AD33" s="38"/>
      <c r="AE33" s="38"/>
      <c r="AF33" s="37" t="str">
        <f aca="false">IF(AC33="","",IFERROR(IF(ABS(ABS(AC33)-ABS('S4 Jawapan'!AC33))&lt;0.5,"✓","✗"),"✗"))</f>
        <v/>
      </c>
    </row>
    <row r="35" customFormat="false" ht="18.75" hidden="false" customHeight="true" outlineLevel="0" collapsed="false">
      <c r="B35" s="3" t="s">
        <v>136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customFormat="false" ht="17.25" hidden="false" customHeight="true" outlineLevel="0" collapsed="false">
      <c r="B36" s="35" t="s">
        <v>137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41"/>
      <c r="U36" s="41"/>
      <c r="V36" s="41"/>
      <c r="W36" s="41"/>
      <c r="X36" s="41"/>
      <c r="Y36" s="41"/>
      <c r="Z36" s="41"/>
      <c r="AA36" s="41"/>
      <c r="AB36" s="41"/>
      <c r="AC36" s="42" t="str">
        <f aca="false">IF(T36="","",IF(LOWER(TRIM(T36))=LOWER('S4 Jawapan'!T36),"✓","✗"))</f>
        <v/>
      </c>
    </row>
    <row r="38" customFormat="false" ht="18.75" hidden="false" customHeight="true" outlineLevel="0" collapsed="false">
      <c r="B38" s="3" t="s">
        <v>138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customFormat="false" ht="16.5" hidden="false" customHeight="true" outlineLevel="0" collapsed="false"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</row>
    <row r="40" customFormat="false" ht="16.5" hidden="false" customHeight="true" outlineLevel="0" collapsed="false"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</row>
    <row r="41" customFormat="false" ht="16.5" hidden="false" customHeight="true" outlineLevel="0" collapsed="false"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</row>
    <row r="42" customFormat="false" ht="16.5" hidden="false" customHeight="true" outlineLevel="0" collapsed="false"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</row>
  </sheetData>
  <mergeCells count="75">
    <mergeCell ref="B1:AF1"/>
    <mergeCell ref="B2:AF2"/>
    <mergeCell ref="B3:G3"/>
    <mergeCell ref="H3:AF3"/>
    <mergeCell ref="B5:AF5"/>
    <mergeCell ref="C6:AF6"/>
    <mergeCell ref="C7:AF7"/>
    <mergeCell ref="C8:AF8"/>
    <mergeCell ref="C9:AF9"/>
    <mergeCell ref="C10:AF10"/>
    <mergeCell ref="C11:AF11"/>
    <mergeCell ref="B12:W12"/>
    <mergeCell ref="X12:AC12"/>
    <mergeCell ref="B13:W13"/>
    <mergeCell ref="X13:AC13"/>
    <mergeCell ref="B14:W14"/>
    <mergeCell ref="X14:AC14"/>
    <mergeCell ref="B15:W15"/>
    <mergeCell ref="X15:AC15"/>
    <mergeCell ref="B16:W16"/>
    <mergeCell ref="X16:AC16"/>
    <mergeCell ref="B17:W17"/>
    <mergeCell ref="X17:AC17"/>
    <mergeCell ref="B20:AF20"/>
    <mergeCell ref="B21:K21"/>
    <mergeCell ref="L21:R21"/>
    <mergeCell ref="S21:Y21"/>
    <mergeCell ref="Z21:AF21"/>
    <mergeCell ref="B22:K22"/>
    <mergeCell ref="L22:R22"/>
    <mergeCell ref="S22:Y22"/>
    <mergeCell ref="Z22:AE22"/>
    <mergeCell ref="B23:K23"/>
    <mergeCell ref="L23:Q23"/>
    <mergeCell ref="S23:Y23"/>
    <mergeCell ref="Z23:AE23"/>
    <mergeCell ref="B24:K24"/>
    <mergeCell ref="L24:R24"/>
    <mergeCell ref="S24:X24"/>
    <mergeCell ref="Z24:AE24"/>
    <mergeCell ref="B25:K25"/>
    <mergeCell ref="L25:R25"/>
    <mergeCell ref="S25:X25"/>
    <mergeCell ref="Z25:AE25"/>
    <mergeCell ref="B26:K26"/>
    <mergeCell ref="L26:R26"/>
    <mergeCell ref="S26:X26"/>
    <mergeCell ref="Z26:AE26"/>
    <mergeCell ref="B28:AF28"/>
    <mergeCell ref="B29:D29"/>
    <mergeCell ref="E29:AC29"/>
    <mergeCell ref="AD29:AF29"/>
    <mergeCell ref="B30:D30"/>
    <mergeCell ref="E30:K30"/>
    <mergeCell ref="M30:P30"/>
    <mergeCell ref="R30:T30"/>
    <mergeCell ref="U30:AA30"/>
    <mergeCell ref="AC30:AF30"/>
    <mergeCell ref="B31:D31"/>
    <mergeCell ref="M31:O31"/>
    <mergeCell ref="R31:T31"/>
    <mergeCell ref="AC31:AE31"/>
    <mergeCell ref="B32:D32"/>
    <mergeCell ref="E32:K32"/>
    <mergeCell ref="M32:O32"/>
    <mergeCell ref="R32:T32"/>
    <mergeCell ref="U32:AA32"/>
    <mergeCell ref="AC32:AE32"/>
    <mergeCell ref="M33:O33"/>
    <mergeCell ref="AC33:AE33"/>
    <mergeCell ref="B35:AF35"/>
    <mergeCell ref="B36:S36"/>
    <mergeCell ref="T36:AB36"/>
    <mergeCell ref="B38:AF38"/>
    <mergeCell ref="B39:AF42"/>
  </mergeCells>
  <conditionalFormatting sqref="B4:AG43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dataValidations count="1">
    <dataValidation allowBlank="true" errorStyle="stop" operator="between" showDropDown="false" showErrorMessage="false" showInputMessage="false" sqref="T36" type="list">
      <formula1>"Debit,Kredit"</formula1>
      <formula2>0</formula2>
    </dataValidation>
  </dataValidations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B1:AF25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4" min="2" style="0" width="4.6"/>
  </cols>
  <sheetData>
    <row r="1" customFormat="false" ht="25.5" hidden="false" customHeight="true" outlineLevel="0" collapsed="false">
      <c r="B1" s="1" t="s">
        <v>139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15" hidden="false" customHeight="false" outlineLevel="0" collapsed="false">
      <c r="B2" s="14" t="s">
        <v>93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 customFormat="false" ht="15" hidden="false" customHeight="false" outlineLevel="0" collapsed="false">
      <c r="B3" s="18" t="s">
        <v>94</v>
      </c>
      <c r="C3" s="18"/>
      <c r="D3" s="18"/>
      <c r="E3" s="18"/>
      <c r="F3" s="18"/>
      <c r="G3" s="18"/>
      <c r="H3" s="18" t="str">
        <f aca="false">COUNTIF(B4:AG26,"✓")&amp;" betul daripada 20 sel jawapan"</f>
        <v>0 betul daripada 20 sel jawapan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</row>
    <row r="5" customFormat="false" ht="16.5" hidden="false" customHeight="true" outlineLevel="0" collapsed="false">
      <c r="B5" s="4" t="s">
        <v>140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customFormat="false" ht="17.25" hidden="false" customHeight="true" outlineLevel="0" collapsed="false">
      <c r="B6" s="35" t="s">
        <v>141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41"/>
      <c r="U6" s="41"/>
      <c r="V6" s="41"/>
      <c r="W6" s="41"/>
      <c r="X6" s="41"/>
      <c r="Y6" s="41"/>
      <c r="Z6" s="41"/>
      <c r="AA6" s="41"/>
      <c r="AB6" s="41"/>
      <c r="AC6" s="42" t="str">
        <f aca="false">IF(T6="","",IF(LOWER(TRIM(T6))=LOWER('S5 Jawapan'!T6),"✓","✗"))</f>
        <v/>
      </c>
    </row>
    <row r="7" customFormat="false" ht="17.25" hidden="false" customHeight="true" outlineLevel="0" collapsed="false">
      <c r="B7" s="35" t="s">
        <v>142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41"/>
      <c r="U7" s="41"/>
      <c r="V7" s="41"/>
      <c r="W7" s="41"/>
      <c r="X7" s="41"/>
      <c r="Y7" s="41"/>
      <c r="Z7" s="41"/>
      <c r="AA7" s="41"/>
      <c r="AB7" s="41"/>
      <c r="AC7" s="42" t="str">
        <f aca="false">IF(T7="","",IF(LOWER(TRIM(T7))=LOWER('S5 Jawapan'!T7),"✓","✗"))</f>
        <v/>
      </c>
    </row>
    <row r="8" customFormat="false" ht="17.25" hidden="false" customHeight="true" outlineLevel="0" collapsed="false">
      <c r="B8" s="35" t="s">
        <v>143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41"/>
      <c r="U8" s="41"/>
      <c r="V8" s="41"/>
      <c r="W8" s="41"/>
      <c r="X8" s="41"/>
      <c r="Y8" s="41"/>
      <c r="Z8" s="41"/>
      <c r="AA8" s="41"/>
      <c r="AB8" s="41"/>
      <c r="AC8" s="42" t="str">
        <f aca="false">IF(T8="","",IF(LOWER(TRIM(T8))=LOWER('S5 Jawapan'!T8),"✓","✗"))</f>
        <v/>
      </c>
    </row>
    <row r="9" customFormat="false" ht="17.25" hidden="false" customHeight="true" outlineLevel="0" collapsed="false">
      <c r="B9" s="35" t="s">
        <v>144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41"/>
      <c r="U9" s="41"/>
      <c r="V9" s="41"/>
      <c r="W9" s="41"/>
      <c r="X9" s="41"/>
      <c r="Y9" s="41"/>
      <c r="Z9" s="41"/>
      <c r="AA9" s="41"/>
      <c r="AB9" s="41"/>
      <c r="AC9" s="42" t="str">
        <f aca="false">IF(T9="","",IF(LOWER(TRIM(T9))=LOWER('S5 Jawapan'!T9),"✓","✗"))</f>
        <v/>
      </c>
    </row>
    <row r="10" customFormat="false" ht="17.25" hidden="false" customHeight="true" outlineLevel="0" collapsed="false">
      <c r="B10" s="35" t="s">
        <v>145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41"/>
      <c r="U10" s="41"/>
      <c r="V10" s="41"/>
      <c r="W10" s="41"/>
      <c r="X10" s="41"/>
      <c r="Y10" s="41"/>
      <c r="Z10" s="41"/>
      <c r="AA10" s="41"/>
      <c r="AB10" s="41"/>
      <c r="AC10" s="42" t="str">
        <f aca="false">IF(T10="","",IF(LOWER(TRIM(T10))=LOWER('S5 Jawapan'!T10),"✓","✗"))</f>
        <v/>
      </c>
    </row>
    <row r="11" customFormat="false" ht="17.25" hidden="false" customHeight="true" outlineLevel="0" collapsed="false">
      <c r="B11" s="35" t="s">
        <v>146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41"/>
      <c r="U11" s="41"/>
      <c r="V11" s="41"/>
      <c r="W11" s="41"/>
      <c r="X11" s="41"/>
      <c r="Y11" s="41"/>
      <c r="Z11" s="41"/>
      <c r="AA11" s="41"/>
      <c r="AB11" s="41"/>
      <c r="AC11" s="42" t="str">
        <f aca="false">IF(T11="","",IF(LOWER(TRIM(T11))=LOWER('S5 Jawapan'!T11),"✓","✗"))</f>
        <v/>
      </c>
    </row>
    <row r="12" customFormat="false" ht="17.25" hidden="false" customHeight="true" outlineLevel="0" collapsed="false">
      <c r="B12" s="35" t="s">
        <v>147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41"/>
      <c r="U12" s="41"/>
      <c r="V12" s="41"/>
      <c r="W12" s="41"/>
      <c r="X12" s="41"/>
      <c r="Y12" s="41"/>
      <c r="Z12" s="41"/>
      <c r="AA12" s="41"/>
      <c r="AB12" s="41"/>
      <c r="AC12" s="42" t="str">
        <f aca="false">IF(T12="","",IF(LOWER(TRIM(T12))=LOWER('S5 Jawapan'!T12),"✓","✗"))</f>
        <v/>
      </c>
    </row>
    <row r="13" customFormat="false" ht="17.25" hidden="false" customHeight="true" outlineLevel="0" collapsed="false">
      <c r="B13" s="35" t="s">
        <v>148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41"/>
      <c r="U13" s="41"/>
      <c r="V13" s="41"/>
      <c r="W13" s="41"/>
      <c r="X13" s="41"/>
      <c r="Y13" s="41"/>
      <c r="Z13" s="41"/>
      <c r="AA13" s="41"/>
      <c r="AB13" s="41"/>
      <c r="AC13" s="42" t="str">
        <f aca="false">IF(T13="","",IF(LOWER(TRIM(T13))=LOWER('S5 Jawapan'!T13),"✓","✗"))</f>
        <v/>
      </c>
    </row>
    <row r="14" customFormat="false" ht="17.25" hidden="false" customHeight="true" outlineLevel="0" collapsed="false">
      <c r="B14" s="35" t="s">
        <v>149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41"/>
      <c r="U14" s="41"/>
      <c r="V14" s="41"/>
      <c r="W14" s="41"/>
      <c r="X14" s="41"/>
      <c r="Y14" s="41"/>
      <c r="Z14" s="41"/>
      <c r="AA14" s="41"/>
      <c r="AB14" s="41"/>
      <c r="AC14" s="42" t="str">
        <f aca="false">IF(T14="","",IF(LOWER(TRIM(T14))=LOWER('S5 Jawapan'!T14),"✓","✗"))</f>
        <v/>
      </c>
    </row>
    <row r="15" customFormat="false" ht="17.25" hidden="false" customHeight="true" outlineLevel="0" collapsed="false">
      <c r="B15" s="35" t="s">
        <v>150</v>
      </c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41"/>
      <c r="U15" s="41"/>
      <c r="V15" s="41"/>
      <c r="W15" s="41"/>
      <c r="X15" s="41"/>
      <c r="Y15" s="41"/>
      <c r="Z15" s="41"/>
      <c r="AA15" s="41"/>
      <c r="AB15" s="41"/>
      <c r="AC15" s="42" t="str">
        <f aca="false">IF(T15="","",IF(LOWER(TRIM(T15))=LOWER('S5 Jawapan'!T15),"✓","✗"))</f>
        <v/>
      </c>
    </row>
    <row r="16" customFormat="false" ht="17.25" hidden="false" customHeight="true" outlineLevel="0" collapsed="false">
      <c r="B16" s="35" t="s">
        <v>151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41"/>
      <c r="U16" s="41"/>
      <c r="V16" s="41"/>
      <c r="W16" s="41"/>
      <c r="X16" s="41"/>
      <c r="Y16" s="41"/>
      <c r="Z16" s="41"/>
      <c r="AA16" s="41"/>
      <c r="AB16" s="41"/>
      <c r="AC16" s="42" t="str">
        <f aca="false">IF(T16="","",IF(LOWER(TRIM(T16))=LOWER('S5 Jawapan'!T16),"✓","✗"))</f>
        <v/>
      </c>
    </row>
    <row r="17" customFormat="false" ht="17.25" hidden="false" customHeight="true" outlineLevel="0" collapsed="false">
      <c r="B17" s="35" t="s">
        <v>152</v>
      </c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41"/>
      <c r="U17" s="41"/>
      <c r="V17" s="41"/>
      <c r="W17" s="41"/>
      <c r="X17" s="41"/>
      <c r="Y17" s="41"/>
      <c r="Z17" s="41"/>
      <c r="AA17" s="41"/>
      <c r="AB17" s="41"/>
      <c r="AC17" s="42" t="str">
        <f aca="false">IF(T17="","",IF(LOWER(TRIM(T17))=LOWER('S5 Jawapan'!T17),"✓","✗"))</f>
        <v/>
      </c>
    </row>
    <row r="18" customFormat="false" ht="17.25" hidden="false" customHeight="true" outlineLevel="0" collapsed="false">
      <c r="B18" s="35" t="s">
        <v>153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41"/>
      <c r="U18" s="41"/>
      <c r="V18" s="41"/>
      <c r="W18" s="41"/>
      <c r="X18" s="41"/>
      <c r="Y18" s="41"/>
      <c r="Z18" s="41"/>
      <c r="AA18" s="41"/>
      <c r="AB18" s="41"/>
      <c r="AC18" s="42" t="str">
        <f aca="false">IF(T18="","",IF(LOWER(TRIM(T18))=LOWER('S5 Jawapan'!T18),"✓","✗"))</f>
        <v/>
      </c>
    </row>
    <row r="19" customFormat="false" ht="17.25" hidden="false" customHeight="true" outlineLevel="0" collapsed="false">
      <c r="B19" s="35" t="s">
        <v>154</v>
      </c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41"/>
      <c r="U19" s="41"/>
      <c r="V19" s="41"/>
      <c r="W19" s="41"/>
      <c r="X19" s="41"/>
      <c r="Y19" s="41"/>
      <c r="Z19" s="41"/>
      <c r="AA19" s="41"/>
      <c r="AB19" s="41"/>
      <c r="AC19" s="42" t="str">
        <f aca="false">IF(T19="","",IF(LOWER(TRIM(T19))=LOWER('S5 Jawapan'!T19),"✓","✗"))</f>
        <v/>
      </c>
    </row>
    <row r="20" customFormat="false" ht="17.25" hidden="false" customHeight="true" outlineLevel="0" collapsed="false">
      <c r="B20" s="35" t="s">
        <v>155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41"/>
      <c r="U20" s="41"/>
      <c r="V20" s="41"/>
      <c r="W20" s="41"/>
      <c r="X20" s="41"/>
      <c r="Y20" s="41"/>
      <c r="Z20" s="41"/>
      <c r="AA20" s="41"/>
      <c r="AB20" s="41"/>
      <c r="AC20" s="42" t="str">
        <f aca="false">IF(T20="","",IF(LOWER(TRIM(T20))=LOWER('S5 Jawapan'!T20),"✓","✗"))</f>
        <v/>
      </c>
    </row>
    <row r="21" customFormat="false" ht="17.25" hidden="false" customHeight="true" outlineLevel="0" collapsed="false">
      <c r="B21" s="35" t="s">
        <v>156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41"/>
      <c r="U21" s="41"/>
      <c r="V21" s="41"/>
      <c r="W21" s="41"/>
      <c r="X21" s="41"/>
      <c r="Y21" s="41"/>
      <c r="Z21" s="41"/>
      <c r="AA21" s="41"/>
      <c r="AB21" s="41"/>
      <c r="AC21" s="42" t="str">
        <f aca="false">IF(T21="","",IF(LOWER(TRIM(T21))=LOWER('S5 Jawapan'!T21),"✓","✗"))</f>
        <v/>
      </c>
    </row>
    <row r="22" customFormat="false" ht="17.25" hidden="false" customHeight="true" outlineLevel="0" collapsed="false">
      <c r="B22" s="35" t="s">
        <v>157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41"/>
      <c r="U22" s="41"/>
      <c r="V22" s="41"/>
      <c r="W22" s="41"/>
      <c r="X22" s="41"/>
      <c r="Y22" s="41"/>
      <c r="Z22" s="41"/>
      <c r="AA22" s="41"/>
      <c r="AB22" s="41"/>
      <c r="AC22" s="42" t="str">
        <f aca="false">IF(T22="","",IF(LOWER(TRIM(T22))=LOWER('S5 Jawapan'!T22),"✓","✗"))</f>
        <v/>
      </c>
    </row>
    <row r="23" customFormat="false" ht="17.25" hidden="false" customHeight="true" outlineLevel="0" collapsed="false">
      <c r="B23" s="35" t="s">
        <v>158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41"/>
      <c r="U23" s="41"/>
      <c r="V23" s="41"/>
      <c r="W23" s="41"/>
      <c r="X23" s="41"/>
      <c r="Y23" s="41"/>
      <c r="Z23" s="41"/>
      <c r="AA23" s="41"/>
      <c r="AB23" s="41"/>
      <c r="AC23" s="42" t="str">
        <f aca="false">IF(T23="","",IF(LOWER(TRIM(T23))=LOWER('S5 Jawapan'!T23),"✓","✗"))</f>
        <v/>
      </c>
    </row>
    <row r="24" customFormat="false" ht="17.25" hidden="false" customHeight="true" outlineLevel="0" collapsed="false">
      <c r="B24" s="35" t="s">
        <v>159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41"/>
      <c r="U24" s="41"/>
      <c r="V24" s="41"/>
      <c r="W24" s="41"/>
      <c r="X24" s="41"/>
      <c r="Y24" s="41"/>
      <c r="Z24" s="41"/>
      <c r="AA24" s="41"/>
      <c r="AB24" s="41"/>
      <c r="AC24" s="42" t="str">
        <f aca="false">IF(T24="","",IF(LOWER(TRIM(T24))=LOWER('S5 Jawapan'!T24),"✓","✗"))</f>
        <v/>
      </c>
    </row>
    <row r="25" customFormat="false" ht="17.25" hidden="false" customHeight="true" outlineLevel="0" collapsed="false">
      <c r="B25" s="35" t="s">
        <v>160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41"/>
      <c r="U25" s="41"/>
      <c r="V25" s="41"/>
      <c r="W25" s="41"/>
      <c r="X25" s="41"/>
      <c r="Y25" s="41"/>
      <c r="Z25" s="41"/>
      <c r="AA25" s="41"/>
      <c r="AB25" s="41"/>
      <c r="AC25" s="42" t="str">
        <f aca="false">IF(T25="","",IF(LOWER(TRIM(T25))=LOWER('S5 Jawapan'!T25),"✓","✗"))</f>
        <v/>
      </c>
    </row>
  </sheetData>
  <mergeCells count="45">
    <mergeCell ref="B1:AF1"/>
    <mergeCell ref="B2:AF2"/>
    <mergeCell ref="B3:G3"/>
    <mergeCell ref="H3:AF3"/>
    <mergeCell ref="B5:AF5"/>
    <mergeCell ref="B6:S6"/>
    <mergeCell ref="T6:AB6"/>
    <mergeCell ref="B7:S7"/>
    <mergeCell ref="T7:AB7"/>
    <mergeCell ref="B8:S8"/>
    <mergeCell ref="T8:AB8"/>
    <mergeCell ref="B9:S9"/>
    <mergeCell ref="T9:AB9"/>
    <mergeCell ref="B10:S10"/>
    <mergeCell ref="T10:AB10"/>
    <mergeCell ref="B11:S11"/>
    <mergeCell ref="T11:AB11"/>
    <mergeCell ref="B12:S12"/>
    <mergeCell ref="T12:AB12"/>
    <mergeCell ref="B13:S13"/>
    <mergeCell ref="T13:AB13"/>
    <mergeCell ref="B14:S14"/>
    <mergeCell ref="T14:AB14"/>
    <mergeCell ref="B15:S15"/>
    <mergeCell ref="T15:AB15"/>
    <mergeCell ref="B16:S16"/>
    <mergeCell ref="T16:AB16"/>
    <mergeCell ref="B17:S17"/>
    <mergeCell ref="T17:AB17"/>
    <mergeCell ref="B18:S18"/>
    <mergeCell ref="T18:AB18"/>
    <mergeCell ref="B19:S19"/>
    <mergeCell ref="T19:AB19"/>
    <mergeCell ref="B20:S20"/>
    <mergeCell ref="T20:AB20"/>
    <mergeCell ref="B21:S21"/>
    <mergeCell ref="T21:AB21"/>
    <mergeCell ref="B22:S22"/>
    <mergeCell ref="T22:AB22"/>
    <mergeCell ref="B23:S23"/>
    <mergeCell ref="T23:AB23"/>
    <mergeCell ref="B24:S24"/>
    <mergeCell ref="T24:AB24"/>
    <mergeCell ref="B25:S25"/>
    <mergeCell ref="T25:AB25"/>
  </mergeCells>
  <conditionalFormatting sqref="B4:AG26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dataValidations count="20">
    <dataValidation allowBlank="true" errorStyle="stop" operator="between" showDropDown="false" showErrorMessage="false" showInputMessage="false" sqref="T6" type="list">
      <formula1>"Debit AKBT,Kredit AKBT,Debit AKBB,Kredit AKBB"</formula1>
      <formula2>0</formula2>
    </dataValidation>
    <dataValidation allowBlank="true" errorStyle="stop" operator="between" showDropDown="false" showErrorMessage="false" showInputMessage="false" sqref="T7" type="list">
      <formula1>"Jurnal Jualan,Jurnal Belian,Jurnal Pulangan Jualan,Jurnal Pulangan Belian,Buku Tunai,Jurnal Am"</formula1>
      <formula2>0</formula2>
    </dataValidation>
    <dataValidation allowBlank="true" errorStyle="stop" operator="between" showDropDown="false" showErrorMessage="false" showInputMessage="false" sqref="T8" type="list">
      <formula1>"Debit AKBT,Kredit AKBT,Debit AKBB,Kredit AKBB"</formula1>
      <formula2>0</formula2>
    </dataValidation>
    <dataValidation allowBlank="true" errorStyle="stop" operator="between" showDropDown="false" showErrorMessage="false" showInputMessage="false" sqref="T9" type="list">
      <formula1>"Jurnal Jualan,Jurnal Belian,Jurnal Pulangan Jualan,Jurnal Pulangan Belian,Buku Tunai,Jurnal Am"</formula1>
      <formula2>0</formula2>
    </dataValidation>
    <dataValidation allowBlank="true" errorStyle="stop" operator="between" showDropDown="false" showErrorMessage="false" showInputMessage="false" sqref="T10" type="list">
      <formula1>"Debit AKBT,Kredit AKBT,Debit AKBB,Kredit AKBB"</formula1>
      <formula2>0</formula2>
    </dataValidation>
    <dataValidation allowBlank="true" errorStyle="stop" operator="between" showDropDown="false" showErrorMessage="false" showInputMessage="false" sqref="T11" type="list">
      <formula1>"Jurnal Jualan,Jurnal Belian,Jurnal Pulangan Jualan,Jurnal Pulangan Belian,Buku Tunai,Jurnal Am"</formula1>
      <formula2>0</formula2>
    </dataValidation>
    <dataValidation allowBlank="true" errorStyle="stop" operator="between" showDropDown="false" showErrorMessage="false" showInputMessage="false" sqref="T12" type="list">
      <formula1>"Debit AKBT,Kredit AKBT,Debit AKBB,Kredit AKBB"</formula1>
      <formula2>0</formula2>
    </dataValidation>
    <dataValidation allowBlank="true" errorStyle="stop" operator="between" showDropDown="false" showErrorMessage="false" showInputMessage="false" sqref="T13" type="list">
      <formula1>"Jurnal Jualan,Jurnal Belian,Jurnal Pulangan Jualan,Jurnal Pulangan Belian,Buku Tunai,Jurnal Am"</formula1>
      <formula2>0</formula2>
    </dataValidation>
    <dataValidation allowBlank="true" errorStyle="stop" operator="between" showDropDown="false" showErrorMessage="false" showInputMessage="false" sqref="T14" type="list">
      <formula1>"Debit AKBT,Kredit AKBT,Debit AKBB,Kredit AKBB"</formula1>
      <formula2>0</formula2>
    </dataValidation>
    <dataValidation allowBlank="true" errorStyle="stop" operator="between" showDropDown="false" showErrorMessage="false" showInputMessage="false" sqref="T15" type="list">
      <formula1>"Jurnal Jualan,Jurnal Belian,Jurnal Pulangan Jualan,Jurnal Pulangan Belian,Buku Tunai,Jurnal Am"</formula1>
      <formula2>0</formula2>
    </dataValidation>
    <dataValidation allowBlank="true" errorStyle="stop" operator="between" showDropDown="false" showErrorMessage="false" showInputMessage="false" sqref="T16" type="list">
      <formula1>"Debit AKBT,Kredit AKBT,Debit AKBB,Kredit AKBB"</formula1>
      <formula2>0</formula2>
    </dataValidation>
    <dataValidation allowBlank="true" errorStyle="stop" operator="between" showDropDown="false" showErrorMessage="false" showInputMessage="false" sqref="T17" type="list">
      <formula1>"Jurnal Jualan,Jurnal Belian,Jurnal Pulangan Jualan,Jurnal Pulangan Belian,Buku Tunai,Jurnal Am"</formula1>
      <formula2>0</formula2>
    </dataValidation>
    <dataValidation allowBlank="true" errorStyle="stop" operator="between" showDropDown="false" showErrorMessage="false" showInputMessage="false" sqref="T18" type="list">
      <formula1>"Debit AKBT,Kredit AKBT,Debit AKBB,Kredit AKBB"</formula1>
      <formula2>0</formula2>
    </dataValidation>
    <dataValidation allowBlank="true" errorStyle="stop" operator="between" showDropDown="false" showErrorMessage="false" showInputMessage="false" sqref="T19" type="list">
      <formula1>"Jurnal Jualan,Jurnal Belian,Jurnal Pulangan Jualan,Jurnal Pulangan Belian,Buku Tunai,Jurnal Am"</formula1>
      <formula2>0</formula2>
    </dataValidation>
    <dataValidation allowBlank="true" errorStyle="stop" operator="between" showDropDown="false" showErrorMessage="false" showInputMessage="false" sqref="T20" type="list">
      <formula1>"Debit AKBT,Kredit AKBT,Debit AKBB,Kredit AKBB"</formula1>
      <formula2>0</formula2>
    </dataValidation>
    <dataValidation allowBlank="true" errorStyle="stop" operator="between" showDropDown="false" showErrorMessage="false" showInputMessage="false" sqref="T21" type="list">
      <formula1>"Jurnal Jualan,Jurnal Belian,Jurnal Pulangan Jualan,Jurnal Pulangan Belian,Buku Tunai,Jurnal Am"</formula1>
      <formula2>0</formula2>
    </dataValidation>
    <dataValidation allowBlank="true" errorStyle="stop" operator="between" showDropDown="false" showErrorMessage="false" showInputMessage="false" sqref="T22" type="list">
      <formula1>"Debit AKBT,Kredit AKBT,Debit AKBB,Kredit AKBB"</formula1>
      <formula2>0</formula2>
    </dataValidation>
    <dataValidation allowBlank="true" errorStyle="stop" operator="between" showDropDown="false" showErrorMessage="false" showInputMessage="false" sqref="T23" type="list">
      <formula1>"Jurnal Jualan,Jurnal Belian,Jurnal Pulangan Jualan,Jurnal Pulangan Belian,Buku Tunai,Jurnal Am"</formula1>
      <formula2>0</formula2>
    </dataValidation>
    <dataValidation allowBlank="true" errorStyle="stop" operator="between" showDropDown="false" showErrorMessage="false" showInputMessage="false" sqref="T24" type="list">
      <formula1>"Debit AKBT,Kredit AKBT,Debit AKBB,Kredit AKBB"</formula1>
      <formula2>0</formula2>
    </dataValidation>
    <dataValidation allowBlank="true" errorStyle="stop" operator="between" showDropDown="false" showErrorMessage="false" showInputMessage="false" sqref="T25" type="list">
      <formula1>"Jurnal Jualan,Jurnal Belian,Jurnal Pulangan Jualan,Jurnal Pulangan Belian,Buku Tunai,Jurnal Am"</formula1>
      <formula2>0</formula2>
    </dataValidation>
  </dataValidations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B1:AF53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4" min="2" style="0" width="4.6"/>
  </cols>
  <sheetData>
    <row r="1" customFormat="false" ht="25.5" hidden="false" customHeight="true" outlineLevel="0" collapsed="false">
      <c r="B1" s="1" t="s">
        <v>161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15" hidden="false" customHeight="false" outlineLevel="0" collapsed="false">
      <c r="B2" s="14" t="s">
        <v>162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 customFormat="false" ht="15" hidden="false" customHeight="false" outlineLevel="0" collapsed="false">
      <c r="B3" s="14" t="s">
        <v>163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</row>
    <row r="5" customFormat="false" ht="16.5" hidden="false" customHeight="true" outlineLevel="0" collapsed="false">
      <c r="B5" s="4" t="s">
        <v>95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customFormat="false" ht="15" hidden="false" customHeight="false" outlineLevel="0" collapsed="false">
      <c r="B6" s="15" t="s">
        <v>80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6" t="s">
        <v>29</v>
      </c>
      <c r="Y6" s="16"/>
      <c r="Z6" s="16"/>
      <c r="AA6" s="16"/>
      <c r="AB6" s="16"/>
      <c r="AC6" s="16"/>
    </row>
    <row r="7" customFormat="false" ht="15" hidden="false" customHeight="false" outlineLevel="0" collapsed="false">
      <c r="B7" s="34" t="s">
        <v>96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</row>
    <row r="8" customFormat="false" ht="16.5" hidden="false" customHeight="true" outlineLevel="0" collapsed="false">
      <c r="B8" s="12" t="s">
        <v>97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44" t="n">
        <f aca="false">S3!X8</f>
        <v>15200</v>
      </c>
      <c r="Y8" s="44"/>
      <c r="Z8" s="44"/>
      <c r="AA8" s="44"/>
      <c r="AB8" s="44"/>
      <c r="AC8" s="44"/>
    </row>
    <row r="9" customFormat="false" ht="16.5" hidden="false" customHeight="true" outlineLevel="0" collapsed="false">
      <c r="B9" s="12" t="s">
        <v>98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44" t="n">
        <f aca="false">S3!X9</f>
        <v>18450</v>
      </c>
      <c r="Y9" s="44"/>
      <c r="Z9" s="44"/>
      <c r="AA9" s="44"/>
      <c r="AB9" s="44"/>
      <c r="AC9" s="44"/>
    </row>
    <row r="10" customFormat="false" ht="16.5" hidden="false" customHeight="true" outlineLevel="0" collapsed="false">
      <c r="B10" s="12" t="s">
        <v>99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44" t="n">
        <f aca="false">S3!X10</f>
        <v>9800</v>
      </c>
      <c r="Y10" s="44"/>
      <c r="Z10" s="44"/>
      <c r="AA10" s="44"/>
      <c r="AB10" s="44"/>
      <c r="AC10" s="44"/>
    </row>
    <row r="11" customFormat="false" ht="16.5" hidden="false" customHeight="true" outlineLevel="0" collapsed="false">
      <c r="B11" s="12" t="s">
        <v>100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44" t="n">
        <f aca="false">S3!X11</f>
        <v>11250</v>
      </c>
      <c r="Y11" s="44"/>
      <c r="Z11" s="44"/>
      <c r="AA11" s="44"/>
      <c r="AB11" s="44"/>
      <c r="AC11" s="44"/>
    </row>
    <row r="12" customFormat="false" ht="15" hidden="false" customHeight="false" outlineLevel="0" collapsed="false">
      <c r="B12" s="34" t="s">
        <v>101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</row>
    <row r="13" customFormat="false" ht="16.5" hidden="false" customHeight="true" outlineLevel="0" collapsed="false">
      <c r="B13" s="12" t="s">
        <v>102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44" t="n">
        <f aca="false">S3!X13</f>
        <v>72300</v>
      </c>
      <c r="Y13" s="44"/>
      <c r="Z13" s="44"/>
      <c r="AA13" s="44"/>
      <c r="AB13" s="44"/>
      <c r="AC13" s="44"/>
    </row>
    <row r="14" customFormat="false" ht="16.5" hidden="false" customHeight="true" outlineLevel="0" collapsed="false">
      <c r="B14" s="12" t="s">
        <v>103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44" t="n">
        <f aca="false">S3!X14</f>
        <v>54600</v>
      </c>
      <c r="Y14" s="44"/>
      <c r="Z14" s="44"/>
      <c r="AA14" s="44"/>
      <c r="AB14" s="44"/>
      <c r="AC14" s="44"/>
    </row>
    <row r="15" customFormat="false" ht="15" hidden="false" customHeight="false" outlineLevel="0" collapsed="false">
      <c r="B15" s="34" t="s">
        <v>104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</row>
    <row r="16" customFormat="false" ht="16.5" hidden="false" customHeight="true" outlineLevel="0" collapsed="false">
      <c r="B16" s="12" t="s">
        <v>33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44" t="n">
        <f aca="false">S3!X16</f>
        <v>2100</v>
      </c>
      <c r="Y16" s="44"/>
      <c r="Z16" s="44"/>
      <c r="AA16" s="44"/>
      <c r="AB16" s="44"/>
      <c r="AC16" s="44"/>
    </row>
    <row r="17" customFormat="false" ht="16.5" hidden="false" customHeight="true" outlineLevel="0" collapsed="false">
      <c r="B17" s="12" t="s">
        <v>69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44" t="n">
        <f aca="false">S3!X17</f>
        <v>1350</v>
      </c>
      <c r="Y17" s="44"/>
      <c r="Z17" s="44"/>
      <c r="AA17" s="44"/>
      <c r="AB17" s="44"/>
      <c r="AC17" s="44"/>
    </row>
    <row r="18" customFormat="false" ht="16.5" hidden="false" customHeight="true" outlineLevel="0" collapsed="false">
      <c r="B18" s="12" t="s">
        <v>34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44" t="n">
        <f aca="false">S3!X18</f>
        <v>950</v>
      </c>
      <c r="Y18" s="44"/>
      <c r="Z18" s="44"/>
      <c r="AA18" s="44"/>
      <c r="AB18" s="44"/>
      <c r="AC18" s="44"/>
    </row>
    <row r="19" customFormat="false" ht="16.5" hidden="false" customHeight="true" outlineLevel="0" collapsed="false">
      <c r="B19" s="12" t="s">
        <v>70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44" t="n">
        <f aca="false">S3!X19</f>
        <v>720</v>
      </c>
      <c r="Y19" s="44"/>
      <c r="Z19" s="44"/>
      <c r="AA19" s="44"/>
      <c r="AB19" s="44"/>
      <c r="AC19" s="44"/>
    </row>
    <row r="20" customFormat="false" ht="16.5" hidden="false" customHeight="true" outlineLevel="0" collapsed="false">
      <c r="B20" s="12" t="s">
        <v>105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44" t="n">
        <f aca="false">S3!X20</f>
        <v>800</v>
      </c>
      <c r="Y20" s="44"/>
      <c r="Z20" s="44"/>
      <c r="AA20" s="44"/>
      <c r="AB20" s="44"/>
      <c r="AC20" s="44"/>
    </row>
    <row r="21" customFormat="false" ht="16.5" hidden="false" customHeight="true" outlineLevel="0" collapsed="false">
      <c r="B21" s="12" t="s">
        <v>36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44" t="n">
        <f aca="false">S3!X21</f>
        <v>1200</v>
      </c>
      <c r="Y21" s="44"/>
      <c r="Z21" s="44"/>
      <c r="AA21" s="44"/>
      <c r="AB21" s="44"/>
      <c r="AC21" s="44"/>
    </row>
    <row r="22" customFormat="false" ht="16.5" hidden="false" customHeight="true" outlineLevel="0" collapsed="false">
      <c r="B22" s="12" t="s">
        <v>106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44" t="n">
        <f aca="false">S3!X22</f>
        <v>600</v>
      </c>
      <c r="Y22" s="44"/>
      <c r="Z22" s="44"/>
      <c r="AA22" s="44"/>
      <c r="AB22" s="44"/>
      <c r="AC22" s="44"/>
    </row>
    <row r="23" customFormat="false" ht="16.5" hidden="false" customHeight="true" outlineLevel="0" collapsed="false">
      <c r="B23" s="12" t="s">
        <v>71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44" t="n">
        <f aca="false">S3!X23</f>
        <v>300</v>
      </c>
      <c r="Y23" s="44"/>
      <c r="Z23" s="44"/>
      <c r="AA23" s="44"/>
      <c r="AB23" s="44"/>
      <c r="AC23" s="44"/>
    </row>
    <row r="26" customFormat="false" ht="18.75" hidden="false" customHeight="true" outlineLevel="0" collapsed="false">
      <c r="B26" s="3" t="s">
        <v>107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customFormat="false" ht="17.25" hidden="false" customHeight="true" outlineLevel="0" collapsed="false">
      <c r="B27" s="35" t="s">
        <v>31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45" t="n">
        <f aca="false">$X$9+$X$13+$X$16+$X$18+$X$20+$X$22-$X$8-$X$21</f>
        <v>78800</v>
      </c>
      <c r="Y27" s="45"/>
      <c r="Z27" s="45"/>
      <c r="AA27" s="45"/>
      <c r="AB27" s="45"/>
    </row>
    <row r="28" customFormat="false" ht="17.25" hidden="false" customHeight="true" outlineLevel="0" collapsed="false">
      <c r="B28" s="35" t="s">
        <v>67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45" t="n">
        <f aca="false">$X$11+$X$14+$X$17+$X$19+$X$22-$X$10-$X$23</f>
        <v>58420</v>
      </c>
      <c r="Y28" s="45"/>
      <c r="Z28" s="45"/>
      <c r="AA28" s="45"/>
      <c r="AB28" s="45"/>
    </row>
    <row r="30" customFormat="false" ht="18.75" hidden="false" customHeight="true" outlineLevel="0" collapsed="false">
      <c r="B30" s="3" t="s">
        <v>108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customFormat="false" ht="15" hidden="false" customHeight="false" outlineLevel="0" collapsed="false">
      <c r="B31" s="18" t="s">
        <v>39</v>
      </c>
      <c r="C31" s="18"/>
      <c r="D31" s="18"/>
      <c r="E31" s="19" t="s">
        <v>40</v>
      </c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20" t="s">
        <v>41</v>
      </c>
      <c r="AE31" s="20"/>
      <c r="AF31" s="20"/>
    </row>
    <row r="32" customFormat="false" ht="15" hidden="false" customHeight="false" outlineLevel="0" collapsed="false">
      <c r="B32" s="21" t="s">
        <v>42</v>
      </c>
      <c r="C32" s="21"/>
      <c r="D32" s="21"/>
      <c r="E32" s="21" t="s">
        <v>43</v>
      </c>
      <c r="F32" s="21"/>
      <c r="G32" s="21"/>
      <c r="H32" s="21"/>
      <c r="I32" s="21"/>
      <c r="J32" s="21"/>
      <c r="K32" s="21"/>
      <c r="L32" s="22" t="s">
        <v>44</v>
      </c>
      <c r="M32" s="23" t="s">
        <v>45</v>
      </c>
      <c r="N32" s="23"/>
      <c r="O32" s="23"/>
      <c r="P32" s="23"/>
      <c r="Q32" s="24"/>
      <c r="R32" s="25" t="s">
        <v>42</v>
      </c>
      <c r="S32" s="25"/>
      <c r="T32" s="25"/>
      <c r="U32" s="21" t="s">
        <v>43</v>
      </c>
      <c r="V32" s="21"/>
      <c r="W32" s="21"/>
      <c r="X32" s="21"/>
      <c r="Y32" s="21"/>
      <c r="Z32" s="21"/>
      <c r="AA32" s="21"/>
      <c r="AB32" s="22" t="s">
        <v>44</v>
      </c>
      <c r="AC32" s="23" t="s">
        <v>45</v>
      </c>
      <c r="AD32" s="23"/>
      <c r="AE32" s="23"/>
      <c r="AF32" s="23"/>
    </row>
    <row r="33" customFormat="false" ht="16.5" hidden="false" customHeight="true" outlineLevel="0" collapsed="false">
      <c r="B33" s="26" t="s">
        <v>109</v>
      </c>
      <c r="C33" s="26"/>
      <c r="D33" s="26"/>
      <c r="M33" s="27" t="s">
        <v>47</v>
      </c>
      <c r="N33" s="27"/>
      <c r="O33" s="27"/>
      <c r="R33" s="28" t="s">
        <v>46</v>
      </c>
      <c r="S33" s="28"/>
      <c r="T33" s="28"/>
      <c r="AC33" s="27" t="s">
        <v>47</v>
      </c>
      <c r="AD33" s="27"/>
      <c r="AE33" s="27"/>
    </row>
    <row r="34" customFormat="false" ht="17.25" hidden="false" customHeight="true" outlineLevel="0" collapsed="false">
      <c r="B34" s="6" t="s">
        <v>110</v>
      </c>
      <c r="C34" s="6"/>
      <c r="D34" s="6"/>
      <c r="E34" s="29" t="s">
        <v>49</v>
      </c>
      <c r="F34" s="29"/>
      <c r="G34" s="29"/>
      <c r="H34" s="29"/>
      <c r="I34" s="29"/>
      <c r="J34" s="29"/>
      <c r="K34" s="29"/>
      <c r="L34" s="30"/>
      <c r="M34" s="45" t="n">
        <f aca="false">$X$8</f>
        <v>15200</v>
      </c>
      <c r="N34" s="45"/>
      <c r="O34" s="45"/>
      <c r="R34" s="31" t="s">
        <v>111</v>
      </c>
      <c r="S34" s="31"/>
      <c r="T34" s="31"/>
      <c r="U34" s="29" t="s">
        <v>51</v>
      </c>
      <c r="V34" s="29"/>
      <c r="W34" s="29"/>
      <c r="X34" s="29"/>
      <c r="Y34" s="29"/>
      <c r="Z34" s="29"/>
      <c r="AA34" s="29"/>
      <c r="AB34" s="30" t="s">
        <v>52</v>
      </c>
      <c r="AC34" s="45" t="n">
        <f aca="false">$X$13</f>
        <v>72300</v>
      </c>
      <c r="AD34" s="45"/>
      <c r="AE34" s="45"/>
    </row>
    <row r="35" customFormat="false" ht="17.25" hidden="false" customHeight="true" outlineLevel="0" collapsed="false">
      <c r="B35" s="26" t="s">
        <v>46</v>
      </c>
      <c r="C35" s="26"/>
      <c r="D35" s="26"/>
      <c r="R35" s="31" t="s">
        <v>111</v>
      </c>
      <c r="S35" s="31"/>
      <c r="T35" s="31"/>
      <c r="U35" s="29" t="s">
        <v>55</v>
      </c>
      <c r="V35" s="29"/>
      <c r="W35" s="29"/>
      <c r="X35" s="29"/>
      <c r="Y35" s="29"/>
      <c r="Z35" s="29"/>
      <c r="AA35" s="29"/>
      <c r="AB35" s="30" t="s">
        <v>52</v>
      </c>
      <c r="AC35" s="45" t="n">
        <f aca="false">$X$16</f>
        <v>2100</v>
      </c>
      <c r="AD35" s="45"/>
      <c r="AE35" s="45"/>
    </row>
    <row r="36" customFormat="false" ht="17.25" hidden="false" customHeight="true" outlineLevel="0" collapsed="false">
      <c r="B36" s="6" t="s">
        <v>111</v>
      </c>
      <c r="C36" s="6"/>
      <c r="D36" s="6"/>
      <c r="E36" s="29" t="s">
        <v>53</v>
      </c>
      <c r="F36" s="29"/>
      <c r="G36" s="29"/>
      <c r="H36" s="29"/>
      <c r="I36" s="29"/>
      <c r="J36" s="29"/>
      <c r="K36" s="29"/>
      <c r="L36" s="30" t="s">
        <v>54</v>
      </c>
      <c r="M36" s="45" t="n">
        <f aca="false">$X$27</f>
        <v>78800</v>
      </c>
      <c r="N36" s="45"/>
      <c r="O36" s="45"/>
      <c r="R36" s="31" t="s">
        <v>111</v>
      </c>
      <c r="S36" s="31"/>
      <c r="T36" s="31"/>
      <c r="U36" s="29" t="s">
        <v>57</v>
      </c>
      <c r="V36" s="29"/>
      <c r="W36" s="29"/>
      <c r="X36" s="29"/>
      <c r="Y36" s="29"/>
      <c r="Z36" s="29"/>
      <c r="AA36" s="29"/>
      <c r="AB36" s="30" t="s">
        <v>58</v>
      </c>
      <c r="AC36" s="45" t="n">
        <f aca="false">$X$18</f>
        <v>950</v>
      </c>
      <c r="AD36" s="45"/>
      <c r="AE36" s="45"/>
    </row>
    <row r="37" customFormat="false" ht="17.25" hidden="false" customHeight="true" outlineLevel="0" collapsed="false">
      <c r="B37" s="6" t="s">
        <v>111</v>
      </c>
      <c r="C37" s="6"/>
      <c r="D37" s="6"/>
      <c r="E37" s="29" t="s">
        <v>56</v>
      </c>
      <c r="F37" s="29"/>
      <c r="G37" s="29"/>
      <c r="H37" s="29"/>
      <c r="I37" s="29"/>
      <c r="J37" s="29"/>
      <c r="K37" s="29"/>
      <c r="L37" s="30" t="s">
        <v>52</v>
      </c>
      <c r="M37" s="45" t="n">
        <f aca="false">$X$21</f>
        <v>1200</v>
      </c>
      <c r="N37" s="45"/>
      <c r="O37" s="45"/>
      <c r="R37" s="31" t="s">
        <v>111</v>
      </c>
      <c r="S37" s="31"/>
      <c r="T37" s="31"/>
      <c r="U37" s="29" t="s">
        <v>61</v>
      </c>
      <c r="V37" s="29"/>
      <c r="W37" s="29"/>
      <c r="X37" s="29"/>
      <c r="Y37" s="29"/>
      <c r="Z37" s="29"/>
      <c r="AA37" s="29"/>
      <c r="AB37" s="30" t="s">
        <v>60</v>
      </c>
      <c r="AC37" s="45" t="n">
        <f aca="false">$X$20</f>
        <v>800</v>
      </c>
      <c r="AD37" s="45"/>
      <c r="AE37" s="45"/>
    </row>
    <row r="38" customFormat="false" ht="17.25" hidden="false" customHeight="true" outlineLevel="0" collapsed="false">
      <c r="R38" s="31" t="s">
        <v>111</v>
      </c>
      <c r="S38" s="31"/>
      <c r="T38" s="31"/>
      <c r="U38" s="29" t="s">
        <v>62</v>
      </c>
      <c r="V38" s="29"/>
      <c r="W38" s="29"/>
      <c r="X38" s="29"/>
      <c r="Y38" s="29"/>
      <c r="Z38" s="29"/>
      <c r="AA38" s="29"/>
      <c r="AB38" s="30" t="s">
        <v>60</v>
      </c>
      <c r="AC38" s="45" t="n">
        <f aca="false">$X$22</f>
        <v>600</v>
      </c>
      <c r="AD38" s="45"/>
      <c r="AE38" s="45"/>
    </row>
    <row r="39" customFormat="false" ht="17.25" hidden="false" customHeight="true" outlineLevel="0" collapsed="false">
      <c r="R39" s="31" t="s">
        <v>111</v>
      </c>
      <c r="S39" s="31"/>
      <c r="T39" s="31"/>
      <c r="U39" s="29" t="s">
        <v>63</v>
      </c>
      <c r="V39" s="29"/>
      <c r="W39" s="29"/>
      <c r="X39" s="29"/>
      <c r="Y39" s="29"/>
      <c r="Z39" s="29"/>
      <c r="AA39" s="29"/>
      <c r="AB39" s="30"/>
      <c r="AC39" s="45" t="n">
        <f aca="false">$X$9</f>
        <v>18450</v>
      </c>
      <c r="AD39" s="45"/>
      <c r="AE39" s="45"/>
    </row>
    <row r="40" customFormat="false" ht="16.5" hidden="false" customHeight="true" outlineLevel="0" collapsed="false">
      <c r="M40" s="46" t="n">
        <f aca="false">SUM(M33:M39)</f>
        <v>95200</v>
      </c>
      <c r="N40" s="46"/>
      <c r="O40" s="46"/>
      <c r="R40" s="33"/>
      <c r="AC40" s="46" t="n">
        <f aca="false">SUM(AC33:AC39)</f>
        <v>95200</v>
      </c>
      <c r="AD40" s="46"/>
      <c r="AE40" s="46"/>
    </row>
    <row r="41" customFormat="false" ht="17.25" hidden="false" customHeight="true" outlineLevel="0" collapsed="false">
      <c r="B41" s="6" t="s">
        <v>110</v>
      </c>
      <c r="C41" s="6"/>
      <c r="D41" s="6"/>
      <c r="E41" s="29" t="s">
        <v>49</v>
      </c>
      <c r="F41" s="29"/>
      <c r="G41" s="29"/>
      <c r="H41" s="29"/>
      <c r="I41" s="29"/>
      <c r="J41" s="29"/>
      <c r="K41" s="29"/>
      <c r="L41" s="30"/>
      <c r="M41" s="45" t="n">
        <f aca="false">$X$9</f>
        <v>18450</v>
      </c>
      <c r="N41" s="45"/>
      <c r="O41" s="45"/>
      <c r="R41" s="33"/>
    </row>
    <row r="43" customFormat="false" ht="18.75" hidden="false" customHeight="true" outlineLevel="0" collapsed="false">
      <c r="B43" s="3" t="s">
        <v>112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customFormat="false" ht="15" hidden="false" customHeight="false" outlineLevel="0" collapsed="false">
      <c r="B44" s="18" t="s">
        <v>39</v>
      </c>
      <c r="C44" s="18"/>
      <c r="D44" s="18"/>
      <c r="E44" s="19" t="s">
        <v>72</v>
      </c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20" t="s">
        <v>41</v>
      </c>
      <c r="AE44" s="20"/>
      <c r="AF44" s="20"/>
    </row>
    <row r="45" customFormat="false" ht="15" hidden="false" customHeight="false" outlineLevel="0" collapsed="false">
      <c r="B45" s="21" t="s">
        <v>42</v>
      </c>
      <c r="C45" s="21"/>
      <c r="D45" s="21"/>
      <c r="E45" s="21" t="s">
        <v>43</v>
      </c>
      <c r="F45" s="21"/>
      <c r="G45" s="21"/>
      <c r="H45" s="21"/>
      <c r="I45" s="21"/>
      <c r="J45" s="21"/>
      <c r="K45" s="21"/>
      <c r="L45" s="22" t="s">
        <v>44</v>
      </c>
      <c r="M45" s="23" t="s">
        <v>45</v>
      </c>
      <c r="N45" s="23"/>
      <c r="O45" s="23"/>
      <c r="P45" s="23"/>
      <c r="Q45" s="24"/>
      <c r="R45" s="25" t="s">
        <v>42</v>
      </c>
      <c r="S45" s="25"/>
      <c r="T45" s="25"/>
      <c r="U45" s="21" t="s">
        <v>43</v>
      </c>
      <c r="V45" s="21"/>
      <c r="W45" s="21"/>
      <c r="X45" s="21"/>
      <c r="Y45" s="21"/>
      <c r="Z45" s="21"/>
      <c r="AA45" s="21"/>
      <c r="AB45" s="22" t="s">
        <v>44</v>
      </c>
      <c r="AC45" s="23" t="s">
        <v>45</v>
      </c>
      <c r="AD45" s="23"/>
      <c r="AE45" s="23"/>
      <c r="AF45" s="23"/>
    </row>
    <row r="46" customFormat="false" ht="16.5" hidden="false" customHeight="true" outlineLevel="0" collapsed="false">
      <c r="B46" s="26" t="s">
        <v>46</v>
      </c>
      <c r="C46" s="26"/>
      <c r="D46" s="26"/>
      <c r="M46" s="27" t="s">
        <v>47</v>
      </c>
      <c r="N46" s="27"/>
      <c r="O46" s="27"/>
      <c r="R46" s="28" t="s">
        <v>109</v>
      </c>
      <c r="S46" s="28"/>
      <c r="T46" s="28"/>
      <c r="AC46" s="27" t="s">
        <v>47</v>
      </c>
      <c r="AD46" s="27"/>
      <c r="AE46" s="27"/>
    </row>
    <row r="47" customFormat="false" ht="17.25" hidden="false" customHeight="true" outlineLevel="0" collapsed="false">
      <c r="B47" s="6" t="s">
        <v>111</v>
      </c>
      <c r="C47" s="6"/>
      <c r="D47" s="6"/>
      <c r="E47" s="29" t="s">
        <v>51</v>
      </c>
      <c r="F47" s="29"/>
      <c r="G47" s="29"/>
      <c r="H47" s="29"/>
      <c r="I47" s="29"/>
      <c r="J47" s="29"/>
      <c r="K47" s="29"/>
      <c r="L47" s="30" t="s">
        <v>52</v>
      </c>
      <c r="M47" s="45" t="n">
        <f aca="false">$X$14</f>
        <v>54600</v>
      </c>
      <c r="N47" s="45"/>
      <c r="O47" s="45"/>
      <c r="R47" s="31" t="s">
        <v>110</v>
      </c>
      <c r="S47" s="31"/>
      <c r="T47" s="31"/>
      <c r="U47" s="29" t="s">
        <v>49</v>
      </c>
      <c r="V47" s="29"/>
      <c r="W47" s="29"/>
      <c r="X47" s="29"/>
      <c r="Y47" s="29"/>
      <c r="Z47" s="29"/>
      <c r="AA47" s="29"/>
      <c r="AB47" s="30"/>
      <c r="AC47" s="45" t="n">
        <f aca="false">$X$10</f>
        <v>9800</v>
      </c>
      <c r="AD47" s="45"/>
      <c r="AE47" s="45"/>
    </row>
    <row r="48" customFormat="false" ht="17.25" hidden="false" customHeight="true" outlineLevel="0" collapsed="false">
      <c r="B48" s="6" t="s">
        <v>111</v>
      </c>
      <c r="C48" s="6"/>
      <c r="D48" s="6"/>
      <c r="E48" s="29" t="s">
        <v>73</v>
      </c>
      <c r="F48" s="29"/>
      <c r="G48" s="29"/>
      <c r="H48" s="29"/>
      <c r="I48" s="29"/>
      <c r="J48" s="29"/>
      <c r="K48" s="29"/>
      <c r="L48" s="30" t="s">
        <v>52</v>
      </c>
      <c r="M48" s="45" t="n">
        <f aca="false">$X$17</f>
        <v>1350</v>
      </c>
      <c r="N48" s="45"/>
      <c r="O48" s="45"/>
      <c r="R48" s="28" t="s">
        <v>46</v>
      </c>
      <c r="S48" s="28"/>
      <c r="T48" s="28"/>
    </row>
    <row r="49" customFormat="false" ht="17.25" hidden="false" customHeight="true" outlineLevel="0" collapsed="false">
      <c r="B49" s="6" t="s">
        <v>111</v>
      </c>
      <c r="C49" s="6"/>
      <c r="D49" s="6"/>
      <c r="E49" s="29" t="s">
        <v>76</v>
      </c>
      <c r="F49" s="29"/>
      <c r="G49" s="29"/>
      <c r="H49" s="29"/>
      <c r="I49" s="29"/>
      <c r="J49" s="29"/>
      <c r="K49" s="29"/>
      <c r="L49" s="30" t="s">
        <v>77</v>
      </c>
      <c r="M49" s="45" t="n">
        <f aca="false">$X$19</f>
        <v>720</v>
      </c>
      <c r="N49" s="45"/>
      <c r="O49" s="45"/>
      <c r="R49" s="31" t="s">
        <v>111</v>
      </c>
      <c r="S49" s="31"/>
      <c r="T49" s="31"/>
      <c r="U49" s="29" t="s">
        <v>74</v>
      </c>
      <c r="V49" s="29"/>
      <c r="W49" s="29"/>
      <c r="X49" s="29"/>
      <c r="Y49" s="29"/>
      <c r="Z49" s="29"/>
      <c r="AA49" s="29"/>
      <c r="AB49" s="30" t="s">
        <v>75</v>
      </c>
      <c r="AC49" s="45" t="n">
        <f aca="false">$X$28</f>
        <v>58420</v>
      </c>
      <c r="AD49" s="45"/>
      <c r="AE49" s="45"/>
    </row>
    <row r="50" customFormat="false" ht="17.25" hidden="false" customHeight="true" outlineLevel="0" collapsed="false">
      <c r="B50" s="6" t="s">
        <v>111</v>
      </c>
      <c r="C50" s="6"/>
      <c r="D50" s="6"/>
      <c r="E50" s="29" t="s">
        <v>62</v>
      </c>
      <c r="F50" s="29"/>
      <c r="G50" s="29"/>
      <c r="H50" s="29"/>
      <c r="I50" s="29"/>
      <c r="J50" s="29"/>
      <c r="K50" s="29"/>
      <c r="L50" s="30" t="s">
        <v>60</v>
      </c>
      <c r="M50" s="45" t="n">
        <f aca="false">$X$22</f>
        <v>600</v>
      </c>
      <c r="N50" s="45"/>
      <c r="O50" s="45"/>
      <c r="R50" s="31" t="s">
        <v>111</v>
      </c>
      <c r="S50" s="31"/>
      <c r="T50" s="31"/>
      <c r="U50" s="29" t="s">
        <v>78</v>
      </c>
      <c r="V50" s="29"/>
      <c r="W50" s="29"/>
      <c r="X50" s="29"/>
      <c r="Y50" s="29"/>
      <c r="Z50" s="29"/>
      <c r="AA50" s="29"/>
      <c r="AB50" s="30" t="s">
        <v>60</v>
      </c>
      <c r="AC50" s="45" t="n">
        <f aca="false">$X$23</f>
        <v>300</v>
      </c>
      <c r="AD50" s="45"/>
      <c r="AE50" s="45"/>
    </row>
    <row r="51" customFormat="false" ht="17.25" hidden="false" customHeight="true" outlineLevel="0" collapsed="false">
      <c r="B51" s="6" t="s">
        <v>111</v>
      </c>
      <c r="C51" s="6"/>
      <c r="D51" s="6"/>
      <c r="E51" s="29" t="s">
        <v>63</v>
      </c>
      <c r="F51" s="29"/>
      <c r="G51" s="29"/>
      <c r="H51" s="29"/>
      <c r="I51" s="29"/>
      <c r="J51" s="29"/>
      <c r="K51" s="29"/>
      <c r="L51" s="30"/>
      <c r="M51" s="45" t="n">
        <f aca="false">$X$11</f>
        <v>11250</v>
      </c>
      <c r="N51" s="45"/>
      <c r="O51" s="45"/>
      <c r="R51" s="33"/>
    </row>
    <row r="52" customFormat="false" ht="16.5" hidden="false" customHeight="true" outlineLevel="0" collapsed="false">
      <c r="M52" s="46" t="n">
        <f aca="false">SUM(M46:M51)</f>
        <v>68520</v>
      </c>
      <c r="N52" s="46"/>
      <c r="O52" s="46"/>
      <c r="R52" s="33"/>
      <c r="AC52" s="46" t="n">
        <f aca="false">SUM(AC46:AC51)</f>
        <v>68520</v>
      </c>
      <c r="AD52" s="46"/>
      <c r="AE52" s="46"/>
    </row>
    <row r="53" customFormat="false" ht="17.25" hidden="false" customHeight="true" outlineLevel="0" collapsed="false">
      <c r="R53" s="31" t="s">
        <v>110</v>
      </c>
      <c r="S53" s="31"/>
      <c r="T53" s="31"/>
      <c r="U53" s="29" t="s">
        <v>49</v>
      </c>
      <c r="V53" s="29"/>
      <c r="W53" s="29"/>
      <c r="X53" s="29"/>
      <c r="Y53" s="29"/>
      <c r="Z53" s="29"/>
      <c r="AA53" s="29"/>
      <c r="AB53" s="30"/>
      <c r="AC53" s="45" t="n">
        <f aca="false">$X$11</f>
        <v>11250</v>
      </c>
      <c r="AD53" s="45"/>
      <c r="AE53" s="45"/>
    </row>
  </sheetData>
  <mergeCells count="133">
    <mergeCell ref="B1:AF1"/>
    <mergeCell ref="B2:AF2"/>
    <mergeCell ref="B3:AF3"/>
    <mergeCell ref="B5:AF5"/>
    <mergeCell ref="B6:W6"/>
    <mergeCell ref="X6:AC6"/>
    <mergeCell ref="B7:AC7"/>
    <mergeCell ref="B8:W8"/>
    <mergeCell ref="X8:AC8"/>
    <mergeCell ref="B9:W9"/>
    <mergeCell ref="X9:AC9"/>
    <mergeCell ref="B10:W10"/>
    <mergeCell ref="X10:AC10"/>
    <mergeCell ref="B11:W11"/>
    <mergeCell ref="X11:AC11"/>
    <mergeCell ref="B12:AC12"/>
    <mergeCell ref="B13:W13"/>
    <mergeCell ref="X13:AC13"/>
    <mergeCell ref="B14:W14"/>
    <mergeCell ref="X14:AC14"/>
    <mergeCell ref="B15:AC15"/>
    <mergeCell ref="B16:W16"/>
    <mergeCell ref="X16:AC16"/>
    <mergeCell ref="B17:W17"/>
    <mergeCell ref="X17:AC17"/>
    <mergeCell ref="B18:W18"/>
    <mergeCell ref="X18:AC18"/>
    <mergeCell ref="B19:W19"/>
    <mergeCell ref="X19:AC19"/>
    <mergeCell ref="B20:W20"/>
    <mergeCell ref="X20:AC20"/>
    <mergeCell ref="B21:W21"/>
    <mergeCell ref="X21:AC21"/>
    <mergeCell ref="B22:W22"/>
    <mergeCell ref="X22:AC22"/>
    <mergeCell ref="B23:W23"/>
    <mergeCell ref="X23:AC23"/>
    <mergeCell ref="B26:AF26"/>
    <mergeCell ref="B27:W27"/>
    <mergeCell ref="X27:AB27"/>
    <mergeCell ref="B28:W28"/>
    <mergeCell ref="X28:AB28"/>
    <mergeCell ref="B30:AF30"/>
    <mergeCell ref="B31:D31"/>
    <mergeCell ref="E31:AC31"/>
    <mergeCell ref="AD31:AF31"/>
    <mergeCell ref="B32:D32"/>
    <mergeCell ref="E32:K32"/>
    <mergeCell ref="M32:P32"/>
    <mergeCell ref="R32:T32"/>
    <mergeCell ref="U32:AA32"/>
    <mergeCell ref="AC32:AF32"/>
    <mergeCell ref="B33:D33"/>
    <mergeCell ref="M33:O33"/>
    <mergeCell ref="R33:T33"/>
    <mergeCell ref="AC33:AE33"/>
    <mergeCell ref="B34:D34"/>
    <mergeCell ref="E34:K34"/>
    <mergeCell ref="M34:O34"/>
    <mergeCell ref="R34:T34"/>
    <mergeCell ref="U34:AA34"/>
    <mergeCell ref="AC34:AE34"/>
    <mergeCell ref="B35:D35"/>
    <mergeCell ref="R35:T35"/>
    <mergeCell ref="U35:AA35"/>
    <mergeCell ref="AC35:AE35"/>
    <mergeCell ref="B36:D36"/>
    <mergeCell ref="E36:K36"/>
    <mergeCell ref="M36:O36"/>
    <mergeCell ref="R36:T36"/>
    <mergeCell ref="U36:AA36"/>
    <mergeCell ref="AC36:AE36"/>
    <mergeCell ref="B37:D37"/>
    <mergeCell ref="E37:K37"/>
    <mergeCell ref="M37:O37"/>
    <mergeCell ref="R37:T37"/>
    <mergeCell ref="U37:AA37"/>
    <mergeCell ref="AC37:AE37"/>
    <mergeCell ref="R38:T38"/>
    <mergeCell ref="U38:AA38"/>
    <mergeCell ref="AC38:AE38"/>
    <mergeCell ref="R39:T39"/>
    <mergeCell ref="U39:AA39"/>
    <mergeCell ref="AC39:AE39"/>
    <mergeCell ref="M40:O40"/>
    <mergeCell ref="AC40:AE40"/>
    <mergeCell ref="B41:D41"/>
    <mergeCell ref="E41:K41"/>
    <mergeCell ref="M41:O41"/>
    <mergeCell ref="B43:AF43"/>
    <mergeCell ref="B44:D44"/>
    <mergeCell ref="E44:AC44"/>
    <mergeCell ref="AD44:AF44"/>
    <mergeCell ref="B45:D45"/>
    <mergeCell ref="E45:K45"/>
    <mergeCell ref="M45:P45"/>
    <mergeCell ref="R45:T45"/>
    <mergeCell ref="U45:AA45"/>
    <mergeCell ref="AC45:AF45"/>
    <mergeCell ref="B46:D46"/>
    <mergeCell ref="M46:O46"/>
    <mergeCell ref="R46:T46"/>
    <mergeCell ref="AC46:AE46"/>
    <mergeCell ref="B47:D47"/>
    <mergeCell ref="E47:K47"/>
    <mergeCell ref="M47:O47"/>
    <mergeCell ref="R47:T47"/>
    <mergeCell ref="U47:AA47"/>
    <mergeCell ref="AC47:AE47"/>
    <mergeCell ref="B48:D48"/>
    <mergeCell ref="E48:K48"/>
    <mergeCell ref="M48:O48"/>
    <mergeCell ref="R48:T48"/>
    <mergeCell ref="B49:D49"/>
    <mergeCell ref="E49:K49"/>
    <mergeCell ref="M49:O49"/>
    <mergeCell ref="R49:T49"/>
    <mergeCell ref="U49:AA49"/>
    <mergeCell ref="AC49:AE49"/>
    <mergeCell ref="B50:D50"/>
    <mergeCell ref="E50:K50"/>
    <mergeCell ref="M50:O50"/>
    <mergeCell ref="R50:T50"/>
    <mergeCell ref="U50:AA50"/>
    <mergeCell ref="AC50:AE50"/>
    <mergeCell ref="B51:D51"/>
    <mergeCell ref="E51:K51"/>
    <mergeCell ref="M51:O51"/>
    <mergeCell ref="M52:O52"/>
    <mergeCell ref="AC52:AE52"/>
    <mergeCell ref="R53:T53"/>
    <mergeCell ref="U53:AA53"/>
    <mergeCell ref="AC53:AE53"/>
  </mergeCells>
  <conditionalFormatting sqref="B1:AG54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B1:AF42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4" min="2" style="0" width="4.6"/>
  </cols>
  <sheetData>
    <row r="1" customFormat="false" ht="25.5" hidden="false" customHeight="true" outlineLevel="0" collapsed="false">
      <c r="B1" s="1" t="s">
        <v>164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15" hidden="false" customHeight="false" outlineLevel="0" collapsed="false">
      <c r="B2" s="14" t="s">
        <v>162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 customFormat="false" ht="15" hidden="false" customHeight="false" outlineLevel="0" collapsed="false">
      <c r="B3" s="14" t="s">
        <v>163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</row>
    <row r="5" customFormat="false" ht="16.5" hidden="false" customHeight="true" outlineLevel="0" collapsed="false">
      <c r="B5" s="4" t="s">
        <v>114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customFormat="false" ht="16.5" hidden="false" customHeight="true" outlineLevel="0" collapsed="false">
      <c r="C6" s="4" t="s">
        <v>115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customFormat="false" ht="16.5" hidden="false" customHeight="true" outlineLevel="0" collapsed="false">
      <c r="C7" s="4" t="s">
        <v>116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customFormat="false" ht="16.5" hidden="false" customHeight="true" outlineLevel="0" collapsed="false">
      <c r="C8" s="4" t="s">
        <v>117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customFormat="false" ht="16.5" hidden="false" customHeight="true" outlineLevel="0" collapsed="false">
      <c r="C9" s="4" t="s">
        <v>118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customFormat="false" ht="16.5" hidden="false" customHeight="true" outlineLevel="0" collapsed="false">
      <c r="C10" s="4" t="s">
        <v>119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customFormat="false" ht="16.5" hidden="false" customHeight="true" outlineLevel="0" collapsed="false">
      <c r="C11" s="4" t="s">
        <v>120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customFormat="false" ht="15" hidden="false" customHeight="false" outlineLevel="0" collapsed="false">
      <c r="B12" s="15" t="s">
        <v>80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6" t="s">
        <v>29</v>
      </c>
      <c r="Y12" s="16"/>
      <c r="Z12" s="16"/>
      <c r="AA12" s="16"/>
      <c r="AB12" s="16"/>
      <c r="AC12" s="16"/>
    </row>
    <row r="13" customFormat="false" ht="16.5" hidden="false" customHeight="true" outlineLevel="0" collapsed="false">
      <c r="B13" s="12" t="s">
        <v>121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44" t="n">
        <f aca="false">S4!X13</f>
        <v>2000</v>
      </c>
      <c r="Y13" s="44"/>
      <c r="Z13" s="44"/>
      <c r="AA13" s="44"/>
      <c r="AB13" s="44"/>
      <c r="AC13" s="44"/>
    </row>
    <row r="14" customFormat="false" ht="16.5" hidden="false" customHeight="true" outlineLevel="0" collapsed="false">
      <c r="B14" s="12" t="s">
        <v>31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44" t="n">
        <f aca="false">S4!X14</f>
        <v>1800</v>
      </c>
      <c r="Y14" s="44"/>
      <c r="Z14" s="44"/>
      <c r="AA14" s="44"/>
      <c r="AB14" s="44"/>
      <c r="AC14" s="44"/>
    </row>
    <row r="15" customFormat="false" ht="16.5" hidden="false" customHeight="true" outlineLevel="0" collapsed="false">
      <c r="B15" s="12" t="s">
        <v>34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44" t="n">
        <f aca="false">S4!X15</f>
        <v>200</v>
      </c>
      <c r="Y15" s="44"/>
      <c r="Z15" s="44"/>
      <c r="AA15" s="44"/>
      <c r="AB15" s="44"/>
      <c r="AC15" s="44"/>
    </row>
    <row r="16" customFormat="false" ht="16.5" hidden="false" customHeight="true" outlineLevel="0" collapsed="false">
      <c r="B16" s="12" t="s">
        <v>67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44" t="n">
        <f aca="false">S4!X16</f>
        <v>900</v>
      </c>
      <c r="Y16" s="44"/>
      <c r="Z16" s="44"/>
      <c r="AA16" s="44"/>
      <c r="AB16" s="44"/>
      <c r="AC16" s="44"/>
    </row>
    <row r="17" customFormat="false" ht="16.5" hidden="false" customHeight="true" outlineLevel="0" collapsed="false">
      <c r="B17" s="12" t="s">
        <v>122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44" t="n">
        <f aca="false">S4!X17</f>
        <v>1500</v>
      </c>
      <c r="Y17" s="44"/>
      <c r="Z17" s="44"/>
      <c r="AA17" s="44"/>
      <c r="AB17" s="44"/>
      <c r="AC17" s="44"/>
    </row>
    <row r="20" customFormat="false" ht="18.75" hidden="false" customHeight="true" outlineLevel="0" collapsed="false">
      <c r="B20" s="3" t="s">
        <v>123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customFormat="false" ht="17.25" hidden="false" customHeight="true" outlineLevel="0" collapsed="false">
      <c r="B21" s="10" t="s">
        <v>124</v>
      </c>
      <c r="C21" s="10"/>
      <c r="D21" s="10"/>
      <c r="E21" s="10"/>
      <c r="F21" s="10"/>
      <c r="G21" s="10"/>
      <c r="H21" s="10"/>
      <c r="I21" s="10"/>
      <c r="J21" s="10"/>
      <c r="K21" s="10"/>
      <c r="L21" s="11" t="s">
        <v>125</v>
      </c>
      <c r="M21" s="11"/>
      <c r="N21" s="11"/>
      <c r="O21" s="11"/>
      <c r="P21" s="11"/>
      <c r="Q21" s="11"/>
      <c r="R21" s="11"/>
      <c r="S21" s="11" t="s">
        <v>126</v>
      </c>
      <c r="T21" s="11"/>
      <c r="U21" s="11"/>
      <c r="V21" s="11"/>
      <c r="W21" s="11"/>
      <c r="X21" s="11"/>
      <c r="Y21" s="11"/>
      <c r="Z21" s="11" t="s">
        <v>127</v>
      </c>
      <c r="AA21" s="11"/>
      <c r="AB21" s="11"/>
      <c r="AC21" s="11"/>
      <c r="AD21" s="11"/>
      <c r="AE21" s="11"/>
      <c r="AF21" s="11"/>
    </row>
    <row r="22" customFormat="false" ht="17.25" hidden="false" customHeight="true" outlineLevel="0" collapsed="false">
      <c r="B22" s="12" t="s">
        <v>128</v>
      </c>
      <c r="C22" s="12"/>
      <c r="D22" s="12"/>
      <c r="E22" s="12"/>
      <c r="F22" s="12"/>
      <c r="G22" s="12"/>
      <c r="H22" s="12"/>
      <c r="I22" s="12"/>
      <c r="J22" s="12"/>
      <c r="K22" s="12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45" t="n">
        <f aca="false">$X$13</f>
        <v>2000</v>
      </c>
      <c r="AA22" s="45"/>
      <c r="AB22" s="45"/>
      <c r="AC22" s="45"/>
      <c r="AD22" s="45"/>
      <c r="AE22" s="45"/>
      <c r="AF22" s="39"/>
    </row>
    <row r="23" customFormat="false" ht="17.25" hidden="false" customHeight="true" outlineLevel="0" collapsed="false">
      <c r="B23" s="12" t="s">
        <v>129</v>
      </c>
      <c r="C23" s="12"/>
      <c r="D23" s="12"/>
      <c r="E23" s="12"/>
      <c r="F23" s="12"/>
      <c r="G23" s="12"/>
      <c r="H23" s="12"/>
      <c r="I23" s="12"/>
      <c r="J23" s="12"/>
      <c r="K23" s="12"/>
      <c r="L23" s="45" t="n">
        <f aca="false">$X$14</f>
        <v>1800</v>
      </c>
      <c r="M23" s="45"/>
      <c r="N23" s="45"/>
      <c r="O23" s="45"/>
      <c r="P23" s="45"/>
      <c r="Q23" s="45"/>
      <c r="R23" s="39"/>
      <c r="S23" s="39"/>
      <c r="T23" s="39"/>
      <c r="U23" s="39"/>
      <c r="V23" s="39"/>
      <c r="W23" s="39"/>
      <c r="X23" s="39"/>
      <c r="Y23" s="39"/>
      <c r="Z23" s="45" t="n">
        <f aca="false">$Z$22+$X$14</f>
        <v>3800</v>
      </c>
      <c r="AA23" s="45"/>
      <c r="AB23" s="45"/>
      <c r="AC23" s="45"/>
      <c r="AD23" s="45"/>
      <c r="AE23" s="45"/>
      <c r="AF23" s="39"/>
    </row>
    <row r="24" customFormat="false" ht="17.25" hidden="false" customHeight="true" outlineLevel="0" collapsed="false">
      <c r="B24" s="12" t="s">
        <v>130</v>
      </c>
      <c r="C24" s="12"/>
      <c r="D24" s="12"/>
      <c r="E24" s="12"/>
      <c r="F24" s="12"/>
      <c r="G24" s="12"/>
      <c r="H24" s="12"/>
      <c r="I24" s="12"/>
      <c r="J24" s="12"/>
      <c r="K24" s="12"/>
      <c r="L24" s="39"/>
      <c r="M24" s="39"/>
      <c r="N24" s="39"/>
      <c r="O24" s="39"/>
      <c r="P24" s="39"/>
      <c r="Q24" s="39"/>
      <c r="R24" s="39"/>
      <c r="S24" s="45" t="n">
        <f aca="false">$X$15</f>
        <v>200</v>
      </c>
      <c r="T24" s="45"/>
      <c r="U24" s="45"/>
      <c r="V24" s="45"/>
      <c r="W24" s="45"/>
      <c r="X24" s="45"/>
      <c r="Y24" s="39"/>
      <c r="Z24" s="45" t="n">
        <f aca="false">$Z$23-$X$15</f>
        <v>3600</v>
      </c>
      <c r="AA24" s="45"/>
      <c r="AB24" s="45"/>
      <c r="AC24" s="45"/>
      <c r="AD24" s="45"/>
      <c r="AE24" s="45"/>
      <c r="AF24" s="39"/>
    </row>
    <row r="25" customFormat="false" ht="17.25" hidden="false" customHeight="true" outlineLevel="0" collapsed="false">
      <c r="B25" s="12" t="s">
        <v>131</v>
      </c>
      <c r="C25" s="12"/>
      <c r="D25" s="12"/>
      <c r="E25" s="12"/>
      <c r="F25" s="12"/>
      <c r="G25" s="12"/>
      <c r="H25" s="12"/>
      <c r="I25" s="12"/>
      <c r="J25" s="12"/>
      <c r="K25" s="12"/>
      <c r="L25" s="39"/>
      <c r="M25" s="39"/>
      <c r="N25" s="39"/>
      <c r="O25" s="39"/>
      <c r="P25" s="39"/>
      <c r="Q25" s="39"/>
      <c r="R25" s="39"/>
      <c r="S25" s="45" t="n">
        <f aca="false">$X$17</f>
        <v>1500</v>
      </c>
      <c r="T25" s="45"/>
      <c r="U25" s="45"/>
      <c r="V25" s="45"/>
      <c r="W25" s="45"/>
      <c r="X25" s="45"/>
      <c r="Y25" s="39"/>
      <c r="Z25" s="45" t="n">
        <f aca="false">$Z$24-$X$17</f>
        <v>2100</v>
      </c>
      <c r="AA25" s="45"/>
      <c r="AB25" s="45"/>
      <c r="AC25" s="45"/>
      <c r="AD25" s="45"/>
      <c r="AE25" s="45"/>
      <c r="AF25" s="39"/>
    </row>
    <row r="26" customFormat="false" ht="17.25" hidden="false" customHeight="true" outlineLevel="0" collapsed="false">
      <c r="B26" s="12" t="s">
        <v>132</v>
      </c>
      <c r="C26" s="12"/>
      <c r="D26" s="12"/>
      <c r="E26" s="12"/>
      <c r="F26" s="12"/>
      <c r="G26" s="12"/>
      <c r="H26" s="12"/>
      <c r="I26" s="12"/>
      <c r="J26" s="12"/>
      <c r="K26" s="12"/>
      <c r="L26" s="39"/>
      <c r="M26" s="39"/>
      <c r="N26" s="39"/>
      <c r="O26" s="39"/>
      <c r="P26" s="39"/>
      <c r="Q26" s="39"/>
      <c r="R26" s="39"/>
      <c r="S26" s="45" t="n">
        <f aca="false">MIN($X$16,$X$13+$X$14-$X$15-$X$17)</f>
        <v>900</v>
      </c>
      <c r="T26" s="45"/>
      <c r="U26" s="45"/>
      <c r="V26" s="45"/>
      <c r="W26" s="45"/>
      <c r="X26" s="45"/>
      <c r="Y26" s="39"/>
      <c r="Z26" s="45" t="n">
        <f aca="false">$Z$25-MIN($X$16,$X$13+$X$14-$X$15-$X$17)</f>
        <v>1200</v>
      </c>
      <c r="AA26" s="45"/>
      <c r="AB26" s="45"/>
      <c r="AC26" s="45"/>
      <c r="AD26" s="45"/>
      <c r="AE26" s="45"/>
      <c r="AF26" s="39"/>
    </row>
    <row r="28" customFormat="false" ht="18.75" hidden="false" customHeight="true" outlineLevel="0" collapsed="false">
      <c r="B28" s="3" t="s">
        <v>133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customFormat="false" ht="15" hidden="false" customHeight="false" outlineLevel="0" collapsed="false">
      <c r="B29" s="18" t="s">
        <v>39</v>
      </c>
      <c r="C29" s="18"/>
      <c r="D29" s="18"/>
      <c r="E29" s="19" t="s">
        <v>134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20" t="s">
        <v>41</v>
      </c>
      <c r="AE29" s="20"/>
      <c r="AF29" s="20"/>
    </row>
    <row r="30" customFormat="false" ht="15" hidden="false" customHeight="false" outlineLevel="0" collapsed="false">
      <c r="B30" s="21" t="s">
        <v>42</v>
      </c>
      <c r="C30" s="21"/>
      <c r="D30" s="21"/>
      <c r="E30" s="21" t="s">
        <v>43</v>
      </c>
      <c r="F30" s="21"/>
      <c r="G30" s="21"/>
      <c r="H30" s="21"/>
      <c r="I30" s="21"/>
      <c r="J30" s="21"/>
      <c r="K30" s="21"/>
      <c r="L30" s="22" t="s">
        <v>44</v>
      </c>
      <c r="M30" s="23" t="s">
        <v>45</v>
      </c>
      <c r="N30" s="23"/>
      <c r="O30" s="23"/>
      <c r="P30" s="23"/>
      <c r="Q30" s="24"/>
      <c r="R30" s="25" t="s">
        <v>42</v>
      </c>
      <c r="S30" s="25"/>
      <c r="T30" s="25"/>
      <c r="U30" s="21" t="s">
        <v>43</v>
      </c>
      <c r="V30" s="21"/>
      <c r="W30" s="21"/>
      <c r="X30" s="21"/>
      <c r="Y30" s="21"/>
      <c r="Z30" s="21"/>
      <c r="AA30" s="21"/>
      <c r="AB30" s="22" t="s">
        <v>44</v>
      </c>
      <c r="AC30" s="23" t="s">
        <v>45</v>
      </c>
      <c r="AD30" s="23"/>
      <c r="AE30" s="23"/>
      <c r="AF30" s="23"/>
    </row>
    <row r="31" customFormat="false" ht="16.5" hidden="false" customHeight="true" outlineLevel="0" collapsed="false">
      <c r="B31" s="26" t="s">
        <v>46</v>
      </c>
      <c r="C31" s="26"/>
      <c r="D31" s="26"/>
      <c r="M31" s="27" t="s">
        <v>47</v>
      </c>
      <c r="N31" s="27"/>
      <c r="O31" s="27"/>
      <c r="R31" s="28" t="s">
        <v>46</v>
      </c>
      <c r="S31" s="28"/>
      <c r="T31" s="28"/>
      <c r="AC31" s="27" t="s">
        <v>47</v>
      </c>
      <c r="AD31" s="27"/>
      <c r="AE31" s="27"/>
    </row>
    <row r="32" customFormat="false" ht="17.25" hidden="false" customHeight="true" outlineLevel="0" collapsed="false">
      <c r="B32" s="6" t="s">
        <v>86</v>
      </c>
      <c r="C32" s="6"/>
      <c r="D32" s="6"/>
      <c r="E32" s="29" t="s">
        <v>62</v>
      </c>
      <c r="F32" s="29"/>
      <c r="G32" s="29"/>
      <c r="H32" s="29"/>
      <c r="I32" s="29"/>
      <c r="J32" s="29"/>
      <c r="K32" s="29"/>
      <c r="L32" s="30" t="s">
        <v>60</v>
      </c>
      <c r="M32" s="45" t="n">
        <f aca="false">MIN($X$16,$X$13+$X$14-$X$15-$X$17)</f>
        <v>900</v>
      </c>
      <c r="N32" s="45"/>
      <c r="O32" s="45"/>
      <c r="R32" s="31" t="s">
        <v>135</v>
      </c>
      <c r="S32" s="31"/>
      <c r="T32" s="31"/>
      <c r="U32" s="29" t="s">
        <v>74</v>
      </c>
      <c r="V32" s="29"/>
      <c r="W32" s="29"/>
      <c r="X32" s="29"/>
      <c r="Y32" s="29"/>
      <c r="Z32" s="29"/>
      <c r="AA32" s="29"/>
      <c r="AB32" s="30" t="s">
        <v>75</v>
      </c>
      <c r="AC32" s="45" t="n">
        <f aca="false">$X$16</f>
        <v>900</v>
      </c>
      <c r="AD32" s="45"/>
      <c r="AE32" s="45"/>
    </row>
    <row r="33" customFormat="false" ht="16.5" hidden="false" customHeight="true" outlineLevel="0" collapsed="false">
      <c r="M33" s="46" t="n">
        <f aca="false">SUM(M31:M32)</f>
        <v>900</v>
      </c>
      <c r="N33" s="46"/>
      <c r="O33" s="46"/>
      <c r="R33" s="33"/>
      <c r="AC33" s="46" t="n">
        <f aca="false">SUM(AC31:AC32)</f>
        <v>900</v>
      </c>
      <c r="AD33" s="46"/>
      <c r="AE33" s="46"/>
    </row>
    <row r="35" customFormat="false" ht="18.75" hidden="false" customHeight="true" outlineLevel="0" collapsed="false">
      <c r="B35" s="3" t="s">
        <v>136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customFormat="false" ht="17.25" hidden="false" customHeight="true" outlineLevel="0" collapsed="false">
      <c r="B36" s="35" t="s">
        <v>137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47" t="str">
        <f aca="false">"Kredit"</f>
        <v>Kredit</v>
      </c>
      <c r="U36" s="47"/>
      <c r="V36" s="47"/>
      <c r="W36" s="47"/>
      <c r="X36" s="47"/>
      <c r="Y36" s="47"/>
      <c r="Z36" s="47"/>
      <c r="AA36" s="47"/>
      <c r="AB36" s="47"/>
    </row>
    <row r="38" customFormat="false" ht="18.75" hidden="false" customHeight="true" outlineLevel="0" collapsed="false">
      <c r="B38" s="3" t="s">
        <v>138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customFormat="false" ht="16.5" hidden="false" customHeight="true" outlineLevel="0" collapsed="false">
      <c r="B39" s="48" t="s">
        <v>165</v>
      </c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</row>
    <row r="40" customFormat="false" ht="16.5" hidden="false" customHeight="true" outlineLevel="0" collapsed="false"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</row>
    <row r="41" customFormat="false" ht="16.5" hidden="false" customHeight="true" outlineLevel="0" collapsed="false"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</row>
    <row r="42" customFormat="false" ht="16.5" hidden="false" customHeight="true" outlineLevel="0" collapsed="false"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</row>
  </sheetData>
  <mergeCells count="74">
    <mergeCell ref="B1:AF1"/>
    <mergeCell ref="B2:AF2"/>
    <mergeCell ref="B3:AF3"/>
    <mergeCell ref="B5:AF5"/>
    <mergeCell ref="C6:AF6"/>
    <mergeCell ref="C7:AF7"/>
    <mergeCell ref="C8:AF8"/>
    <mergeCell ref="C9:AF9"/>
    <mergeCell ref="C10:AF10"/>
    <mergeCell ref="C11:AF11"/>
    <mergeCell ref="B12:W12"/>
    <mergeCell ref="X12:AC12"/>
    <mergeCell ref="B13:W13"/>
    <mergeCell ref="X13:AC13"/>
    <mergeCell ref="B14:W14"/>
    <mergeCell ref="X14:AC14"/>
    <mergeCell ref="B15:W15"/>
    <mergeCell ref="X15:AC15"/>
    <mergeCell ref="B16:W16"/>
    <mergeCell ref="X16:AC16"/>
    <mergeCell ref="B17:W17"/>
    <mergeCell ref="X17:AC17"/>
    <mergeCell ref="B20:AF20"/>
    <mergeCell ref="B21:K21"/>
    <mergeCell ref="L21:R21"/>
    <mergeCell ref="S21:Y21"/>
    <mergeCell ref="Z21:AF21"/>
    <mergeCell ref="B22:K22"/>
    <mergeCell ref="L22:R22"/>
    <mergeCell ref="S22:Y22"/>
    <mergeCell ref="Z22:AE22"/>
    <mergeCell ref="B23:K23"/>
    <mergeCell ref="L23:Q23"/>
    <mergeCell ref="S23:Y23"/>
    <mergeCell ref="Z23:AE23"/>
    <mergeCell ref="B24:K24"/>
    <mergeCell ref="L24:R24"/>
    <mergeCell ref="S24:X24"/>
    <mergeCell ref="Z24:AE24"/>
    <mergeCell ref="B25:K25"/>
    <mergeCell ref="L25:R25"/>
    <mergeCell ref="S25:X25"/>
    <mergeCell ref="Z25:AE25"/>
    <mergeCell ref="B26:K26"/>
    <mergeCell ref="L26:R26"/>
    <mergeCell ref="S26:X26"/>
    <mergeCell ref="Z26:AE26"/>
    <mergeCell ref="B28:AF28"/>
    <mergeCell ref="B29:D29"/>
    <mergeCell ref="E29:AC29"/>
    <mergeCell ref="AD29:AF29"/>
    <mergeCell ref="B30:D30"/>
    <mergeCell ref="E30:K30"/>
    <mergeCell ref="M30:P30"/>
    <mergeCell ref="R30:T30"/>
    <mergeCell ref="U30:AA30"/>
    <mergeCell ref="AC30:AF30"/>
    <mergeCell ref="B31:D31"/>
    <mergeCell ref="M31:O31"/>
    <mergeCell ref="R31:T31"/>
    <mergeCell ref="AC31:AE31"/>
    <mergeCell ref="B32:D32"/>
    <mergeCell ref="E32:K32"/>
    <mergeCell ref="M32:O32"/>
    <mergeCell ref="R32:T32"/>
    <mergeCell ref="U32:AA32"/>
    <mergeCell ref="AC32:AE32"/>
    <mergeCell ref="M33:O33"/>
    <mergeCell ref="AC33:AE33"/>
    <mergeCell ref="B35:AF35"/>
    <mergeCell ref="B36:S36"/>
    <mergeCell ref="T36:AB36"/>
    <mergeCell ref="B38:AF38"/>
    <mergeCell ref="B39:AF42"/>
  </mergeCells>
  <conditionalFormatting sqref="B1:AG43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B1:AF25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4" min="2" style="0" width="4.6"/>
  </cols>
  <sheetData>
    <row r="1" customFormat="false" ht="25.5" hidden="false" customHeight="true" outlineLevel="0" collapsed="false">
      <c r="B1" s="1" t="s">
        <v>166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15" hidden="false" customHeight="false" outlineLevel="0" collapsed="false">
      <c r="B2" s="14" t="s">
        <v>162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 customFormat="false" ht="15" hidden="false" customHeight="false" outlineLevel="0" collapsed="false">
      <c r="B3" s="14" t="s">
        <v>163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</row>
    <row r="5" customFormat="false" ht="16.5" hidden="false" customHeight="true" outlineLevel="0" collapsed="false">
      <c r="B5" s="4" t="s">
        <v>140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customFormat="false" ht="17.25" hidden="false" customHeight="true" outlineLevel="0" collapsed="false">
      <c r="B6" s="35" t="s">
        <v>141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47" t="str">
        <f aca="false">"Debit AKBT"</f>
        <v>Debit AKBT</v>
      </c>
      <c r="U6" s="47"/>
      <c r="V6" s="47"/>
      <c r="W6" s="47"/>
      <c r="X6" s="47"/>
      <c r="Y6" s="47"/>
      <c r="Z6" s="47"/>
      <c r="AA6" s="47"/>
      <c r="AB6" s="47"/>
    </row>
    <row r="7" customFormat="false" ht="17.25" hidden="false" customHeight="true" outlineLevel="0" collapsed="false">
      <c r="B7" s="35" t="s">
        <v>142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47" t="str">
        <f aca="false">"Jurnal Jualan"</f>
        <v>Jurnal Jualan</v>
      </c>
      <c r="U7" s="47"/>
      <c r="V7" s="47"/>
      <c r="W7" s="47"/>
      <c r="X7" s="47"/>
      <c r="Y7" s="47"/>
      <c r="Z7" s="47"/>
      <c r="AA7" s="47"/>
      <c r="AB7" s="47"/>
    </row>
    <row r="8" customFormat="false" ht="17.25" hidden="false" customHeight="true" outlineLevel="0" collapsed="false">
      <c r="B8" s="35" t="s">
        <v>143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47" t="str">
        <f aca="false">"Kredit AKBB"</f>
        <v>Kredit AKBB</v>
      </c>
      <c r="U8" s="47"/>
      <c r="V8" s="47"/>
      <c r="W8" s="47"/>
      <c r="X8" s="47"/>
      <c r="Y8" s="47"/>
      <c r="Z8" s="47"/>
      <c r="AA8" s="47"/>
      <c r="AB8" s="47"/>
    </row>
    <row r="9" customFormat="false" ht="17.25" hidden="false" customHeight="true" outlineLevel="0" collapsed="false">
      <c r="B9" s="35" t="s">
        <v>144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47" t="str">
        <f aca="false">"Jurnal Belian"</f>
        <v>Jurnal Belian</v>
      </c>
      <c r="U9" s="47"/>
      <c r="V9" s="47"/>
      <c r="W9" s="47"/>
      <c r="X9" s="47"/>
      <c r="Y9" s="47"/>
      <c r="Z9" s="47"/>
      <c r="AA9" s="47"/>
      <c r="AB9" s="47"/>
    </row>
    <row r="10" customFormat="false" ht="17.25" hidden="false" customHeight="true" outlineLevel="0" collapsed="false">
      <c r="B10" s="35" t="s">
        <v>145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47" t="str">
        <f aca="false">"Kredit AKBT"</f>
        <v>Kredit AKBT</v>
      </c>
      <c r="U10" s="47"/>
      <c r="V10" s="47"/>
      <c r="W10" s="47"/>
      <c r="X10" s="47"/>
      <c r="Y10" s="47"/>
      <c r="Z10" s="47"/>
      <c r="AA10" s="47"/>
      <c r="AB10" s="47"/>
    </row>
    <row r="11" customFormat="false" ht="17.25" hidden="false" customHeight="true" outlineLevel="0" collapsed="false">
      <c r="B11" s="35" t="s">
        <v>146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47" t="str">
        <f aca="false">"Jurnal Pulangan Jualan"</f>
        <v>Jurnal Pulangan Jualan</v>
      </c>
      <c r="U11" s="47"/>
      <c r="V11" s="47"/>
      <c r="W11" s="47"/>
      <c r="X11" s="47"/>
      <c r="Y11" s="47"/>
      <c r="Z11" s="47"/>
      <c r="AA11" s="47"/>
      <c r="AB11" s="47"/>
    </row>
    <row r="12" customFormat="false" ht="17.25" hidden="false" customHeight="true" outlineLevel="0" collapsed="false">
      <c r="B12" s="35" t="s">
        <v>147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47" t="str">
        <f aca="false">"Debit AKBB"</f>
        <v>Debit AKBB</v>
      </c>
      <c r="U12" s="47"/>
      <c r="V12" s="47"/>
      <c r="W12" s="47"/>
      <c r="X12" s="47"/>
      <c r="Y12" s="47"/>
      <c r="Z12" s="47"/>
      <c r="AA12" s="47"/>
      <c r="AB12" s="47"/>
    </row>
    <row r="13" customFormat="false" ht="17.25" hidden="false" customHeight="true" outlineLevel="0" collapsed="false">
      <c r="B13" s="35" t="s">
        <v>148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47" t="str">
        <f aca="false">"Jurnal Pulangan Belian"</f>
        <v>Jurnal Pulangan Belian</v>
      </c>
      <c r="U13" s="47"/>
      <c r="V13" s="47"/>
      <c r="W13" s="47"/>
      <c r="X13" s="47"/>
      <c r="Y13" s="47"/>
      <c r="Z13" s="47"/>
      <c r="AA13" s="47"/>
      <c r="AB13" s="47"/>
    </row>
    <row r="14" customFormat="false" ht="17.25" hidden="false" customHeight="true" outlineLevel="0" collapsed="false">
      <c r="B14" s="35" t="s">
        <v>149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47" t="str">
        <f aca="false">"Kredit AKBT"</f>
        <v>Kredit AKBT</v>
      </c>
      <c r="U14" s="47"/>
      <c r="V14" s="47"/>
      <c r="W14" s="47"/>
      <c r="X14" s="47"/>
      <c r="Y14" s="47"/>
      <c r="Z14" s="47"/>
      <c r="AA14" s="47"/>
      <c r="AB14" s="47"/>
    </row>
    <row r="15" customFormat="false" ht="17.25" hidden="false" customHeight="true" outlineLevel="0" collapsed="false">
      <c r="B15" s="35" t="s">
        <v>150</v>
      </c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47" t="str">
        <f aca="false">"Buku Tunai"</f>
        <v>Buku Tunai</v>
      </c>
      <c r="U15" s="47"/>
      <c r="V15" s="47"/>
      <c r="W15" s="47"/>
      <c r="X15" s="47"/>
      <c r="Y15" s="47"/>
      <c r="Z15" s="47"/>
      <c r="AA15" s="47"/>
      <c r="AB15" s="47"/>
    </row>
    <row r="16" customFormat="false" ht="17.25" hidden="false" customHeight="true" outlineLevel="0" collapsed="false">
      <c r="B16" s="35" t="s">
        <v>151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47" t="str">
        <f aca="false">"Debit AKBB"</f>
        <v>Debit AKBB</v>
      </c>
      <c r="U16" s="47"/>
      <c r="V16" s="47"/>
      <c r="W16" s="47"/>
      <c r="X16" s="47"/>
      <c r="Y16" s="47"/>
      <c r="Z16" s="47"/>
      <c r="AA16" s="47"/>
      <c r="AB16" s="47"/>
    </row>
    <row r="17" customFormat="false" ht="17.25" hidden="false" customHeight="true" outlineLevel="0" collapsed="false">
      <c r="B17" s="35" t="s">
        <v>152</v>
      </c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47" t="str">
        <f aca="false">"Buku Tunai"</f>
        <v>Buku Tunai</v>
      </c>
      <c r="U17" s="47"/>
      <c r="V17" s="47"/>
      <c r="W17" s="47"/>
      <c r="X17" s="47"/>
      <c r="Y17" s="47"/>
      <c r="Z17" s="47"/>
      <c r="AA17" s="47"/>
      <c r="AB17" s="47"/>
    </row>
    <row r="18" customFormat="false" ht="17.25" hidden="false" customHeight="true" outlineLevel="0" collapsed="false">
      <c r="B18" s="35" t="s">
        <v>153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47" t="str">
        <f aca="false">"Kredit AKBT"</f>
        <v>Kredit AKBT</v>
      </c>
      <c r="U18" s="47"/>
      <c r="V18" s="47"/>
      <c r="W18" s="47"/>
      <c r="X18" s="47"/>
      <c r="Y18" s="47"/>
      <c r="Z18" s="47"/>
      <c r="AA18" s="47"/>
      <c r="AB18" s="47"/>
    </row>
    <row r="19" customFormat="false" ht="17.25" hidden="false" customHeight="true" outlineLevel="0" collapsed="false">
      <c r="B19" s="35" t="s">
        <v>154</v>
      </c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47" t="str">
        <f aca="false">"Jurnal Am"</f>
        <v>Jurnal Am</v>
      </c>
      <c r="U19" s="47"/>
      <c r="V19" s="47"/>
      <c r="W19" s="47"/>
      <c r="X19" s="47"/>
      <c r="Y19" s="47"/>
      <c r="Z19" s="47"/>
      <c r="AA19" s="47"/>
      <c r="AB19" s="47"/>
    </row>
    <row r="20" customFormat="false" ht="17.25" hidden="false" customHeight="true" outlineLevel="0" collapsed="false">
      <c r="B20" s="35" t="s">
        <v>155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47" t="str">
        <f aca="false">"Debit AKBT"</f>
        <v>Debit AKBT</v>
      </c>
      <c r="U20" s="47"/>
      <c r="V20" s="47"/>
      <c r="W20" s="47"/>
      <c r="X20" s="47"/>
      <c r="Y20" s="47"/>
      <c r="Z20" s="47"/>
      <c r="AA20" s="47"/>
      <c r="AB20" s="47"/>
    </row>
    <row r="21" customFormat="false" ht="17.25" hidden="false" customHeight="true" outlineLevel="0" collapsed="false">
      <c r="B21" s="35" t="s">
        <v>156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47" t="str">
        <f aca="false">"Buku Tunai"</f>
        <v>Buku Tunai</v>
      </c>
      <c r="U21" s="47"/>
      <c r="V21" s="47"/>
      <c r="W21" s="47"/>
      <c r="X21" s="47"/>
      <c r="Y21" s="47"/>
      <c r="Z21" s="47"/>
      <c r="AA21" s="47"/>
      <c r="AB21" s="47"/>
    </row>
    <row r="22" customFormat="false" ht="17.25" hidden="false" customHeight="true" outlineLevel="0" collapsed="false">
      <c r="B22" s="35" t="s">
        <v>157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47" t="str">
        <f aca="false">"Debit AKBB"</f>
        <v>Debit AKBB</v>
      </c>
      <c r="U22" s="47"/>
      <c r="V22" s="47"/>
      <c r="W22" s="47"/>
      <c r="X22" s="47"/>
      <c r="Y22" s="47"/>
      <c r="Z22" s="47"/>
      <c r="AA22" s="47"/>
      <c r="AB22" s="47"/>
    </row>
    <row r="23" customFormat="false" ht="17.25" hidden="false" customHeight="true" outlineLevel="0" collapsed="false">
      <c r="B23" s="35" t="s">
        <v>158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47" t="str">
        <f aca="false">"Jurnal Am"</f>
        <v>Jurnal Am</v>
      </c>
      <c r="U23" s="47"/>
      <c r="V23" s="47"/>
      <c r="W23" s="47"/>
      <c r="X23" s="47"/>
      <c r="Y23" s="47"/>
      <c r="Z23" s="47"/>
      <c r="AA23" s="47"/>
      <c r="AB23" s="47"/>
    </row>
    <row r="24" customFormat="false" ht="17.25" hidden="false" customHeight="true" outlineLevel="0" collapsed="false">
      <c r="B24" s="35" t="s">
        <v>159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47" t="str">
        <f aca="false">"Kredit AKBB"</f>
        <v>Kredit AKBB</v>
      </c>
      <c r="U24" s="47"/>
      <c r="V24" s="47"/>
      <c r="W24" s="47"/>
      <c r="X24" s="47"/>
      <c r="Y24" s="47"/>
      <c r="Z24" s="47"/>
      <c r="AA24" s="47"/>
      <c r="AB24" s="47"/>
    </row>
    <row r="25" customFormat="false" ht="17.25" hidden="false" customHeight="true" outlineLevel="0" collapsed="false">
      <c r="B25" s="35" t="s">
        <v>160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47" t="str">
        <f aca="false">"Jurnal Am"</f>
        <v>Jurnal Am</v>
      </c>
      <c r="U25" s="47"/>
      <c r="V25" s="47"/>
      <c r="W25" s="47"/>
      <c r="X25" s="47"/>
      <c r="Y25" s="47"/>
      <c r="Z25" s="47"/>
      <c r="AA25" s="47"/>
      <c r="AB25" s="47"/>
    </row>
  </sheetData>
  <mergeCells count="44">
    <mergeCell ref="B1:AF1"/>
    <mergeCell ref="B2:AF2"/>
    <mergeCell ref="B3:AF3"/>
    <mergeCell ref="B5:AF5"/>
    <mergeCell ref="B6:S6"/>
    <mergeCell ref="T6:AB6"/>
    <mergeCell ref="B7:S7"/>
    <mergeCell ref="T7:AB7"/>
    <mergeCell ref="B8:S8"/>
    <mergeCell ref="T8:AB8"/>
    <mergeCell ref="B9:S9"/>
    <mergeCell ref="T9:AB9"/>
    <mergeCell ref="B10:S10"/>
    <mergeCell ref="T10:AB10"/>
    <mergeCell ref="B11:S11"/>
    <mergeCell ref="T11:AB11"/>
    <mergeCell ref="B12:S12"/>
    <mergeCell ref="T12:AB12"/>
    <mergeCell ref="B13:S13"/>
    <mergeCell ref="T13:AB13"/>
    <mergeCell ref="B14:S14"/>
    <mergeCell ref="T14:AB14"/>
    <mergeCell ref="B15:S15"/>
    <mergeCell ref="T15:AB15"/>
    <mergeCell ref="B16:S16"/>
    <mergeCell ref="T16:AB16"/>
    <mergeCell ref="B17:S17"/>
    <mergeCell ref="T17:AB17"/>
    <mergeCell ref="B18:S18"/>
    <mergeCell ref="T18:AB18"/>
    <mergeCell ref="B19:S19"/>
    <mergeCell ref="T19:AB19"/>
    <mergeCell ref="B20:S20"/>
    <mergeCell ref="T20:AB20"/>
    <mergeCell ref="B21:S21"/>
    <mergeCell ref="T21:AB21"/>
    <mergeCell ref="B22:S22"/>
    <mergeCell ref="T22:AB22"/>
    <mergeCell ref="B23:S23"/>
    <mergeCell ref="T23:AB23"/>
    <mergeCell ref="B24:S24"/>
    <mergeCell ref="T24:AB24"/>
    <mergeCell ref="B25:S25"/>
    <mergeCell ref="T25:AB25"/>
  </mergeCells>
  <conditionalFormatting sqref="B1:AG26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2026-10-02T09:01:13Z</dcterms:created>
  <dc:creator>openpyxl</dc:creator>
  <dc:description/>
  <dc:language>en-US</dc:language>
  <cp:lastModifiedBy/>
  <dcterms:modified xsi:type="dcterms:W3CDTF">2026-10-02T09:01:14Z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