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a Saya" sheetId="1" state="visible" r:id="rId3"/>
    <sheet name="K1" sheetId="2" state="visible" r:id="rId4"/>
    <sheet name="K1 Jawapan" sheetId="3" state="visible" r:id="rId5"/>
  </sheets>
  <definedNames>
    <definedName function="false" hidden="false" localSheetId="0" name="_xlnm.Print_Area" vbProcedure="false">'Baca Saya'!$A$1:$AG$20</definedName>
    <definedName function="false" hidden="false" localSheetId="1" name="_xlnm.Print_Area" vbProcedure="false">K1!$A$1:$AG$110</definedName>
    <definedName function="false" hidden="false" localSheetId="2" name="_xlnm.Print_Area" vbProcedure="false">'K1 Jawapan'!$A$1:$AG$110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<sst xmlns="http://schemas.openxmlformats.org/spreadsheetml/2006/main" count="206" uniqueCount="101">
  <si>
    <t xml:space="preserve">Kertas 1: Soalan Objektif</t>
  </si>
  <si>
    <t xml:space="preserve">Prinsip Akaun. Percuma untuk digunakan dan dikongsi. Bukan untuk dijual.</t>
  </si>
  <si>
    <t xml:space="preserve">Cara menggunakan buku kerja ini</t>
  </si>
  <si>
    <t xml:space="preserve">1. Baca nota dahulu. Kemudian buka tab Contoh (oren): tukar mana-mana angka biru dan lihat jawapan berubah.</t>
  </si>
  <si>
    <t xml:space="preserve">2. Cuba tab soalan (biru). Taip jawapan dalam sel kuning.</t>
  </si>
  <si>
    <t xml:space="preserve">3. Lajur kecil di sebelah setiap sel kuning menunjukkan ✓ (betul) atau ✗ (cuba lagi). Markah anda di bahagian atas.</t>
  </si>
  <si>
    <t xml:space="preserve">4. Tarikh dan butir diberikan supaya helaian dapat menyemak angka anda. Cuba tulis akaun di atas kertas dahulu.</t>
  </si>
  <si>
    <t xml:space="preserve">5. Tab Jawapan (hijau) menunjukkan jawapan penuh dalam format peperiksaan.</t>
  </si>
  <si>
    <t xml:space="preserve">Kunci warna</t>
  </si>
  <si>
    <t xml:space="preserve">Angka biru: maklumat soalan. Guru boleh menukarnya untuk membuat versi baharu.</t>
  </si>
  <si>
    <t xml:space="preserve">Angka hitam: formula. Jangan taip di atasnya.</t>
  </si>
  <si>
    <t xml:space="preserve">Sel kuning: taip jawapan anda di sini (nombor sahaja; 0 jika tiada).</t>
  </si>
  <si>
    <t xml:space="preserve">Sel hijau: jawapan yang betul (tab Jawapan).</t>
  </si>
  <si>
    <t xml:space="preserve">Helaian dalam buku kerja ini</t>
  </si>
  <si>
    <t xml:space="preserve">Helaian</t>
  </si>
  <si>
    <t xml:space="preserve">Kandungan</t>
  </si>
  <si>
    <t xml:space="preserve">K1</t>
  </si>
  <si>
    <t xml:space="preserve">Kertas 1: 15 soalan objektif [15 markah]. Jawapan: K1 Jawapan (tab hijau).</t>
  </si>
  <si>
    <t xml:space="preserve">Kertas 1: 15 soalan objektif [15 markah]</t>
  </si>
  <si>
    <t xml:space="preserve">Taip jawapan anda dalam sel kuning. Nombor sahaja: tanpa RM, tanpa koma. Masukkan 0 jika tiada jawapan. Gunakan tanda tolak (-) untuk pengurangan. ✓ = betul, ✗ = cuba lagi.</t>
  </si>
  <si>
    <t xml:space="preserve">Markah anda:</t>
  </si>
  <si>
    <t xml:space="preserve">Kertas 1: soalan objektif. Setiap soalan diikuti oleh empat pilihan jawapan A, B, C dan D. Pilih satu jawapan sahaja. [15 markah]</t>
  </si>
  <si>
    <t xml:space="preserve">1. Encik Amri memulakan perniagaan dengan memasukkan RM30 000 ke dalam akaun bank perniagaan. Apakah kesan urus niaga ini?</t>
  </si>
  <si>
    <t xml:space="preserve">A.  Aset bertambah RM30 000; ekuiti pemilik bertambah RM30 000</t>
  </si>
  <si>
    <t xml:space="preserve">B.  Aset bertambah RM30 000; liabiliti bertambah RM30 000</t>
  </si>
  <si>
    <t xml:space="preserve">C.  Aset berkurang RM30 000; ekuiti pemilik bertambah RM30 000</t>
  </si>
  <si>
    <t xml:space="preserve">D.  Liabiliti bertambah RM30 000; ekuiti pemilik berkurang RM30 000</t>
  </si>
  <si>
    <t xml:space="preserve">Jawapan anda</t>
  </si>
  <si>
    <t xml:space="preserve">2. Kedai Nora membayar hutang kepada pembekal dengan cek RM2 400 dan menerima diskaun tunai RM100. Apakah kesan urus niaga ini ke atas aset, liabiliti dan ekuiti pemilik?</t>
  </si>
  <si>
    <t xml:space="preserve">A.  Aset berkurang RM2 500; liabiliti berkurang RM2 400; ekuiti pemilik berkurang RM100</t>
  </si>
  <si>
    <t xml:space="preserve">B.  Aset berkurang RM2 400; liabiliti berkurang RM2 500; ekuiti pemilik bertambah RM100</t>
  </si>
  <si>
    <t xml:space="preserve">C.  Aset bertambah RM2 400; liabiliti berkurang RM2 500; ekuiti pemilik bertambah RM100</t>
  </si>
  <si>
    <t xml:space="preserve">D.  Aset berkurang RM2 400; liabiliti berkurang RM2 400; tiada kesan ke atas ekuiti pemilik</t>
  </si>
  <si>
    <t xml:space="preserve">3. Jumlah aset sebuah perniagaan ialah RM85 000 dan jumlah liabilitinya RM23 000. Berapakah ekuiti pemilik?</t>
  </si>
  <si>
    <t xml:space="preserve">A.  RM23 000</t>
  </si>
  <si>
    <t xml:space="preserve">B.  RM108 000</t>
  </si>
  <si>
    <t xml:space="preserve">C.  RM62 000</t>
  </si>
  <si>
    <t xml:space="preserve">D.  RM85 000</t>
  </si>
  <si>
    <t xml:space="preserve">4. Modal awal Perniagaan Seri ialah RM40 000. Untung bersih tahun itu RM12 000 dan ambilan RM5 000. Berapakah ekuiti pemilik pada akhir tahun?</t>
  </si>
  <si>
    <t xml:space="preserve">A.  RM57 000</t>
  </si>
  <si>
    <t xml:space="preserve">B.  RM52 000</t>
  </si>
  <si>
    <t xml:space="preserve">C.  RM35 000</t>
  </si>
  <si>
    <t xml:space="preserve">D.  RM47 000</t>
  </si>
  <si>
    <t xml:space="preserve">5. Urus niaga manakah yang tidak mengubah jumlah aset?</t>
  </si>
  <si>
    <t xml:space="preserve">A.  Membeli perabot dengan cek</t>
  </si>
  <si>
    <t xml:space="preserve">B.  Membayar sewa secara tunai</t>
  </si>
  <si>
    <t xml:space="preserve">C.  Menerima pinjaman bank</t>
  </si>
  <si>
    <t xml:space="preserve">D.  Pemilik mengambil tunai untuk kegunaan sendiri</t>
  </si>
  <si>
    <t xml:space="preserve">6. Barang niaga berkos RM1 500 dijual secara kredit dengan harga RM2 100. Apakah kesan urus niaga ini?</t>
  </si>
  <si>
    <t xml:space="preserve">A.  Aset bertambah RM2 100; ekuiti pemilik bertambah RM2 100</t>
  </si>
  <si>
    <t xml:space="preserve">B.  Aset bertambah RM600; ekuiti pemilik bertambah RM600</t>
  </si>
  <si>
    <t xml:space="preserve">C.  Aset berkurang RM1 500; liabiliti bertambah RM2 100</t>
  </si>
  <si>
    <t xml:space="preserve">D.  Aset bertambah RM600; liabiliti bertambah RM600</t>
  </si>
  <si>
    <t xml:space="preserve">7. Manakah peraturan merekod urus niaga ke dalam lejar yang betul?</t>
  </si>
  <si>
    <t xml:space="preserve">A.  Aset didebitkan apabila bertambah</t>
  </si>
  <si>
    <t xml:space="preserve">B.  Liabiliti didebitkan apabila bertambah</t>
  </si>
  <si>
    <t xml:space="preserve">C.  Hasil didebitkan apabila bertambah</t>
  </si>
  <si>
    <t xml:space="preserve">D.  Ekuiti pemilik didebitkan apabila bertambah</t>
  </si>
  <si>
    <t xml:space="preserve">8. Perniagaan Danish membeli sebuah van secara kredit daripada Syarikat Motor Jaya. Apakah akaun yang didebitkan dan dikreditkan?</t>
  </si>
  <si>
    <t xml:space="preserve">A.  Debit Belian; Kredit Syarikat Motor Jaya</t>
  </si>
  <si>
    <t xml:space="preserve">B.  Debit Syarikat Motor Jaya; Kredit Kenderaan</t>
  </si>
  <si>
    <t xml:space="preserve">C.  Debit Kenderaan; Kredit Syarikat Motor Jaya</t>
  </si>
  <si>
    <t xml:space="preserve">D.  Debit Kenderaan; Kredit Bank</t>
  </si>
  <si>
    <t xml:space="preserve">9. Antara berikut, yang manakah akaun nominal?</t>
  </si>
  <si>
    <t xml:space="preserve">A.  Premis</t>
  </si>
  <si>
    <t xml:space="preserve">B.  Sewa diterima</t>
  </si>
  <si>
    <t xml:space="preserve">C.  Akaun Belum Bayar</t>
  </si>
  <si>
    <t xml:space="preserve">D.  Bank</t>
  </si>
  <si>
    <t xml:space="preserve">10. Lejar Jualan digunakan untuk merekodkan</t>
  </si>
  <si>
    <t xml:space="preserve">A.  semua akaun pembekal kredit</t>
  </si>
  <si>
    <t xml:space="preserve">B.  akaun hasil dan belanja</t>
  </si>
  <si>
    <t xml:space="preserve">C.  semua akaun pelanggan kredit</t>
  </si>
  <si>
    <t xml:space="preserve">D.  akaun aset bukan semasa</t>
  </si>
  <si>
    <t xml:space="preserve">11. Akaun Kawalan Belum Terima menunjukkan butiran berikut. Debit: Baki b/b RM2 150; P RM18 400. Kredit: Bank RM15 600; Pulangan jualan RM420; Q RM300; Baki h/b RM4 230. Apakah P dan Q?</t>
  </si>
  <si>
    <t xml:space="preserve">A.  P: Jualan; Q: Hutang lapuk</t>
  </si>
  <si>
    <t xml:space="preserve">B.  P: Kontra; Q: Jualan</t>
  </si>
  <si>
    <t xml:space="preserve">C.  P: Diskaun diterima; Q: Belian</t>
  </si>
  <si>
    <t xml:space="preserve">D.  P: Pulangan belian; Q: Faedah</t>
  </si>
  <si>
    <t xml:space="preserve">12. Apakah sumber maklumat bagi jualan kredit dalam Akaun Kawalan Belum Terima?</t>
  </si>
  <si>
    <t xml:space="preserve">A.  Buku Tunai</t>
  </si>
  <si>
    <t xml:space="preserve">B.  Jurnal Jualan</t>
  </si>
  <si>
    <t xml:space="preserve">C.  Jurnal Belian</t>
  </si>
  <si>
    <t xml:space="preserve">D.  Jurnal Pulangan Belian</t>
  </si>
  <si>
    <t xml:space="preserve">13. Akaun Kawalan Belum Bayar berbaki debit apabila</t>
  </si>
  <si>
    <t xml:space="preserve">A.  belian kredit bertambah</t>
  </si>
  <si>
    <t xml:space="preserve">B.  pembekal mengenakan faedah</t>
  </si>
  <si>
    <t xml:space="preserve">C.  pulangan belian berkurang</t>
  </si>
  <si>
    <t xml:space="preserve">D.  perniagaan terlebih bayar kepada pembekal</t>
  </si>
  <si>
    <t xml:space="preserve">14. Bagaimanakah catatan kontra RM500 direkodkan dalam Akaun Kawalan Belum Bayar?</t>
  </si>
  <si>
    <t xml:space="preserve">A.  Dikreditkan sebagai Kontra RM500</t>
  </si>
  <si>
    <t xml:space="preserve">B.  Didebitkan sebagai Bank RM500</t>
  </si>
  <si>
    <t xml:space="preserve">C.  Didebitkan sebagai Kontra RM500</t>
  </si>
  <si>
    <t xml:space="preserve">D.  Dikreditkan sebagai Belian RM500</t>
  </si>
  <si>
    <t xml:space="preserve">15. Yang manakah implikasi Akaun Kawalan?</t>
  </si>
  <si>
    <t xml:space="preserve">A.  Memudahkan penyediaan imbangan duga</t>
  </si>
  <si>
    <t xml:space="preserve">B.  Mengesan kesilapan dalam lejar khas dengan cepat</t>
  </si>
  <si>
    <t xml:space="preserve">C.  Mencegah penyelewengan</t>
  </si>
  <si>
    <t xml:space="preserve">D.  Sukar mengesan kesilapan ketinggalan catatan</t>
  </si>
  <si>
    <t xml:space="preserve">Kertas 1: 15 soalan objektif [15 markah]: Jawapan</t>
  </si>
  <si>
    <t xml:space="preserve">Helaian jawapan. Sel hijau mengandungi jawapan yang betul. Setiap angka ialah formula yang dipautkan kepada helaian soalan.</t>
  </si>
  <si>
    <t xml:space="preserve">Jawapan bertulis ialah jawapan contoh: perkataan lain yang membawa maksud yang sama juga diterima.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</si>
</sst>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D9E1F2"/>
      </patternFill>
    </fill>
    <fill>
      <patternFill patternType="solid">
        <fgColor rgb="FFF2F2F2"/>
        <bgColor rgb="FFE2EFDA"/>
      </patternFill>
    </fill>
    <fill>
      <patternFill patternType="solid">
        <fgColor rgb="FFFFF59D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D9E1F2"/>
        <bgColor rgb="FFDDEB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 diagonalUp="false" diagonalDown="false">
      <left/>
      <right/>
      <top/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B050"/>
      </font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59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70AD47"/>
      <rgbColor rgb="FF1F3864"/>
      <rgbColor rgb="FF00B050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AF19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4" min="2" style="0" width="4.6"/>
  </cols>
  <sheetData>
    <row r="1" customFormat="false" ht="25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6.5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4" customFormat="false" ht="18.75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customFormat="false" ht="16.5" hidden="false" customHeight="true" outlineLevel="0" collapsed="false">
      <c r="B5" s="4" t="s">
        <v>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customFormat="false" ht="16.5" hidden="false" customHeight="true" outlineLevel="0" collapsed="false">
      <c r="B6" s="4" t="s">
        <v>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customFormat="false" ht="16.5" hidden="false" customHeight="true" outlineLevel="0" collapsed="false">
      <c r="B7" s="4" t="s">
        <v>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customFormat="false" ht="16.5" hidden="false" customHeight="true" outlineLevel="0" collapsed="false">
      <c r="B8" s="4" t="s">
        <v>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customFormat="false" ht="16.5" hidden="false" customHeight="true" outlineLevel="0" collapsed="false">
      <c r="B9" s="4" t="s">
        <v>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1" customFormat="false" ht="18.75" hidden="false" customHeight="true" outlineLevel="0" collapsed="false">
      <c r="B11" s="3" t="s">
        <v>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customFormat="false" ht="15" hidden="false" customHeight="false" outlineLevel="0" collapsed="false">
      <c r="B12" s="5" t="n">
        <v>1000</v>
      </c>
      <c r="C12" s="5"/>
      <c r="D12" s="5"/>
      <c r="E12" s="5"/>
      <c r="F12" s="5"/>
      <c r="H12" s="6" t="s">
        <v>9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customFormat="false" ht="15" hidden="false" customHeight="false" outlineLevel="0" collapsed="false">
      <c r="B13" s="7" t="n">
        <v>1000</v>
      </c>
      <c r="C13" s="7"/>
      <c r="D13" s="7"/>
      <c r="E13" s="7"/>
      <c r="F13" s="7"/>
      <c r="H13" s="6" t="s">
        <v>10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customFormat="false" ht="15" hidden="false" customHeight="false" outlineLevel="0" collapsed="false">
      <c r="B14" s="8"/>
      <c r="C14" s="8"/>
      <c r="D14" s="8"/>
      <c r="E14" s="8"/>
      <c r="F14" s="8"/>
      <c r="H14" s="6" t="s">
        <v>11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customFormat="false" ht="15" hidden="false" customHeight="false" outlineLevel="0" collapsed="false">
      <c r="B15" s="9" t="n">
        <v>1000</v>
      </c>
      <c r="C15" s="9"/>
      <c r="D15" s="9"/>
      <c r="E15" s="9"/>
      <c r="F15" s="9"/>
      <c r="H15" s="6" t="s">
        <v>12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7" customFormat="false" ht="18.75" hidden="false" customHeight="true" outlineLevel="0" collapsed="false">
      <c r="B17" s="3" t="s">
        <v>13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customFormat="false" ht="17.25" hidden="false" customHeight="true" outlineLevel="0" collapsed="false">
      <c r="B18" s="10" t="s">
        <v>14</v>
      </c>
      <c r="C18" s="10"/>
      <c r="D18" s="10"/>
      <c r="E18" s="10"/>
      <c r="F18" s="10"/>
      <c r="G18" s="10"/>
      <c r="H18" s="10"/>
      <c r="I18" s="11" t="s">
        <v>15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customFormat="false" ht="17.25" hidden="false" customHeight="true" outlineLevel="0" collapsed="false">
      <c r="B19" s="12" t="s">
        <v>16</v>
      </c>
      <c r="C19" s="12"/>
      <c r="D19" s="12"/>
      <c r="E19" s="12"/>
      <c r="F19" s="12"/>
      <c r="G19" s="12"/>
      <c r="H19" s="12"/>
      <c r="I19" s="13" t="s">
        <v>17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</sheetData>
  <mergeCells count="22">
    <mergeCell ref="B1:AF1"/>
    <mergeCell ref="B2:AF2"/>
    <mergeCell ref="B4:AF4"/>
    <mergeCell ref="B5:AF5"/>
    <mergeCell ref="B6:AF6"/>
    <mergeCell ref="B7:AF7"/>
    <mergeCell ref="B8:AF8"/>
    <mergeCell ref="B9:AF9"/>
    <mergeCell ref="B11:AF11"/>
    <mergeCell ref="B12:F12"/>
    <mergeCell ref="H12:AF12"/>
    <mergeCell ref="B13:F13"/>
    <mergeCell ref="H13:AF13"/>
    <mergeCell ref="B14:F14"/>
    <mergeCell ref="H14:AF14"/>
    <mergeCell ref="B15:F15"/>
    <mergeCell ref="H15:AF15"/>
    <mergeCell ref="B17:AF17"/>
    <mergeCell ref="B18:H18"/>
    <mergeCell ref="I18:AF18"/>
    <mergeCell ref="B19:H19"/>
    <mergeCell ref="I19:AF19"/>
  </mergeCells>
  <conditionalFormatting sqref="B1:AG20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B1:AF109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4" min="2" style="0" width="4.6"/>
  </cols>
  <sheetData>
    <row r="1" customFormat="false" ht="25.5" hidden="false" customHeight="true" outlineLevel="0" collapsed="false">
      <c r="B1" s="1" t="s">
        <v>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5" hidden="false" customHeight="false" outlineLevel="0" collapsed="false">
      <c r="B2" s="14" t="s">
        <v>19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customFormat="false" ht="15" hidden="false" customHeight="false" outlineLevel="0" collapsed="false">
      <c r="B3" s="15" t="s">
        <v>20</v>
      </c>
      <c r="C3" s="15"/>
      <c r="D3" s="15"/>
      <c r="E3" s="15"/>
      <c r="F3" s="15"/>
      <c r="G3" s="15"/>
      <c r="H3" s="15" t="str">
        <f aca="false">COUNTIF(B4:AG110,"✓")&amp;" betul daripada 15 sel jawapan"</f>
        <v>0 betul daripada 15 sel jawapan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5" customFormat="false" ht="16.5" hidden="false" customHeight="true" outlineLevel="0" collapsed="false">
      <c r="B5" s="4" t="s">
        <v>21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customFormat="false" ht="17.25" hidden="false" customHeight="true" outlineLevel="0" collapsed="false">
      <c r="B6" s="16" t="s">
        <v>22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</row>
    <row r="7" customFormat="false" ht="16.5" hidden="false" customHeight="true" outlineLevel="0" collapsed="false">
      <c r="C7" s="4" t="s">
        <v>23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customFormat="false" ht="16.5" hidden="false" customHeight="true" outlineLevel="0" collapsed="false">
      <c r="C8" s="4" t="s">
        <v>24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customFormat="false" ht="16.5" hidden="false" customHeight="true" outlineLevel="0" collapsed="false">
      <c r="C9" s="4" t="s">
        <v>25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customFormat="false" ht="16.5" hidden="false" customHeight="true" outlineLevel="0" collapsed="false">
      <c r="C10" s="4" t="s">
        <v>26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customFormat="false" ht="17.25" hidden="false" customHeight="true" outlineLevel="0" collapsed="false">
      <c r="B11" s="17" t="s">
        <v>27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8"/>
      <c r="U11" s="18"/>
      <c r="V11" s="18"/>
      <c r="W11" s="18"/>
      <c r="X11" s="18"/>
      <c r="Y11" s="18"/>
      <c r="Z11" s="18"/>
      <c r="AA11" s="18"/>
      <c r="AB11" s="18"/>
      <c r="AC11" s="19" t="str">
        <f aca="false">IF(T11="","",IF(LOWER(TRIM(T11))=LOWER('K1 Jawapan'!T11),"✓","✗"))</f>
        <v/>
      </c>
    </row>
    <row r="13" customFormat="false" ht="17.25" hidden="false" customHeight="true" outlineLevel="0" collapsed="false">
      <c r="B13" s="16" t="s">
        <v>28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</row>
    <row r="14" customFormat="false" ht="16.5" hidden="false" customHeight="true" outlineLevel="0" collapsed="false">
      <c r="C14" s="4" t="s">
        <v>29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customFormat="false" ht="16.5" hidden="false" customHeight="true" outlineLevel="0" collapsed="false">
      <c r="C15" s="4" t="s">
        <v>30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customFormat="false" ht="16.5" hidden="false" customHeight="true" outlineLevel="0" collapsed="false">
      <c r="C16" s="4" t="s">
        <v>31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customFormat="false" ht="16.5" hidden="false" customHeight="true" outlineLevel="0" collapsed="false">
      <c r="C17" s="4" t="s">
        <v>32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customFormat="false" ht="17.25" hidden="false" customHeight="true" outlineLevel="0" collapsed="false">
      <c r="B18" s="17" t="s">
        <v>27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8"/>
      <c r="U18" s="18"/>
      <c r="V18" s="18"/>
      <c r="W18" s="18"/>
      <c r="X18" s="18"/>
      <c r="Y18" s="18"/>
      <c r="Z18" s="18"/>
      <c r="AA18" s="18"/>
      <c r="AB18" s="18"/>
      <c r="AC18" s="19" t="str">
        <f aca="false">IF(T18="","",IF(LOWER(TRIM(T18))=LOWER('K1 Jawapan'!T18),"✓","✗"))</f>
        <v/>
      </c>
    </row>
    <row r="20" customFormat="false" ht="17.25" hidden="false" customHeight="true" outlineLevel="0" collapsed="false">
      <c r="B20" s="16" t="s">
        <v>33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</row>
    <row r="21" customFormat="false" ht="16.5" hidden="false" customHeight="true" outlineLevel="0" collapsed="false">
      <c r="C21" s="4" t="s">
        <v>34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customFormat="false" ht="16.5" hidden="false" customHeight="true" outlineLevel="0" collapsed="false">
      <c r="C22" s="4" t="s">
        <v>35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customFormat="false" ht="16.5" hidden="false" customHeight="true" outlineLevel="0" collapsed="false">
      <c r="C23" s="4" t="s">
        <v>36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customFormat="false" ht="16.5" hidden="false" customHeight="true" outlineLevel="0" collapsed="false">
      <c r="C24" s="4" t="s">
        <v>37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customFormat="false" ht="17.25" hidden="false" customHeight="true" outlineLevel="0" collapsed="false">
      <c r="B25" s="17" t="s">
        <v>27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8"/>
      <c r="U25" s="18"/>
      <c r="V25" s="18"/>
      <c r="W25" s="18"/>
      <c r="X25" s="18"/>
      <c r="Y25" s="18"/>
      <c r="Z25" s="18"/>
      <c r="AA25" s="18"/>
      <c r="AB25" s="18"/>
      <c r="AC25" s="19" t="str">
        <f aca="false">IF(T25="","",IF(LOWER(TRIM(T25))=LOWER('K1 Jawapan'!T25),"✓","✗"))</f>
        <v/>
      </c>
    </row>
    <row r="27" customFormat="false" ht="17.25" hidden="false" customHeight="true" outlineLevel="0" collapsed="false">
      <c r="B27" s="16" t="s">
        <v>38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</row>
    <row r="28" customFormat="false" ht="16.5" hidden="false" customHeight="true" outlineLevel="0" collapsed="false">
      <c r="C28" s="4" t="s">
        <v>39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customFormat="false" ht="16.5" hidden="false" customHeight="true" outlineLevel="0" collapsed="false">
      <c r="C29" s="4" t="s">
        <v>40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customFormat="false" ht="16.5" hidden="false" customHeight="true" outlineLevel="0" collapsed="false">
      <c r="C30" s="4" t="s">
        <v>41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customFormat="false" ht="16.5" hidden="false" customHeight="true" outlineLevel="0" collapsed="false">
      <c r="C31" s="4" t="s">
        <v>42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customFormat="false" ht="17.25" hidden="false" customHeight="true" outlineLevel="0" collapsed="false">
      <c r="B32" s="17" t="s">
        <v>27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8"/>
      <c r="U32" s="18"/>
      <c r="V32" s="18"/>
      <c r="W32" s="18"/>
      <c r="X32" s="18"/>
      <c r="Y32" s="18"/>
      <c r="Z32" s="18"/>
      <c r="AA32" s="18"/>
      <c r="AB32" s="18"/>
      <c r="AC32" s="19" t="str">
        <f aca="false">IF(T32="","",IF(LOWER(TRIM(T32))=LOWER('K1 Jawapan'!T32),"✓","✗"))</f>
        <v/>
      </c>
    </row>
    <row r="34" customFormat="false" ht="17.25" hidden="false" customHeight="true" outlineLevel="0" collapsed="false">
      <c r="B34" s="16" t="s">
        <v>43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</row>
    <row r="35" customFormat="false" ht="16.5" hidden="false" customHeight="true" outlineLevel="0" collapsed="false">
      <c r="C35" s="4" t="s">
        <v>44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customFormat="false" ht="16.5" hidden="false" customHeight="true" outlineLevel="0" collapsed="false">
      <c r="C36" s="4" t="s">
        <v>45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customFormat="false" ht="16.5" hidden="false" customHeight="true" outlineLevel="0" collapsed="false">
      <c r="C37" s="4" t="s">
        <v>46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customFormat="false" ht="16.5" hidden="false" customHeight="true" outlineLevel="0" collapsed="false">
      <c r="C38" s="4" t="s">
        <v>47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customFormat="false" ht="17.25" hidden="false" customHeight="true" outlineLevel="0" collapsed="false">
      <c r="B39" s="17" t="s">
        <v>27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8"/>
      <c r="U39" s="18"/>
      <c r="V39" s="18"/>
      <c r="W39" s="18"/>
      <c r="X39" s="18"/>
      <c r="Y39" s="18"/>
      <c r="Z39" s="18"/>
      <c r="AA39" s="18"/>
      <c r="AB39" s="18"/>
      <c r="AC39" s="19" t="str">
        <f aca="false">IF(T39="","",IF(LOWER(TRIM(T39))=LOWER('K1 Jawapan'!T39),"✓","✗"))</f>
        <v/>
      </c>
    </row>
    <row r="41" customFormat="false" ht="17.25" hidden="false" customHeight="true" outlineLevel="0" collapsed="false">
      <c r="B41" s="16" t="s">
        <v>48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</row>
    <row r="42" customFormat="false" ht="16.5" hidden="false" customHeight="true" outlineLevel="0" collapsed="false">
      <c r="C42" s="4" t="s">
        <v>49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customFormat="false" ht="16.5" hidden="false" customHeight="true" outlineLevel="0" collapsed="false">
      <c r="C43" s="4" t="s">
        <v>50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customFormat="false" ht="16.5" hidden="false" customHeight="true" outlineLevel="0" collapsed="false">
      <c r="C44" s="4" t="s">
        <v>51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customFormat="false" ht="16.5" hidden="false" customHeight="true" outlineLevel="0" collapsed="false">
      <c r="C45" s="4" t="s">
        <v>52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customFormat="false" ht="17.25" hidden="false" customHeight="true" outlineLevel="0" collapsed="false">
      <c r="B46" s="17" t="s">
        <v>27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8"/>
      <c r="U46" s="18"/>
      <c r="V46" s="18"/>
      <c r="W46" s="18"/>
      <c r="X46" s="18"/>
      <c r="Y46" s="18"/>
      <c r="Z46" s="18"/>
      <c r="AA46" s="18"/>
      <c r="AB46" s="18"/>
      <c r="AC46" s="19" t="str">
        <f aca="false">IF(T46="","",IF(LOWER(TRIM(T46))=LOWER('K1 Jawapan'!T46),"✓","✗"))</f>
        <v/>
      </c>
    </row>
    <row r="48" customFormat="false" ht="17.25" hidden="false" customHeight="true" outlineLevel="0" collapsed="false">
      <c r="B48" s="16" t="s">
        <v>53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</row>
    <row r="49" customFormat="false" ht="16.5" hidden="false" customHeight="true" outlineLevel="0" collapsed="false">
      <c r="C49" s="4" t="s">
        <v>54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customFormat="false" ht="16.5" hidden="false" customHeight="true" outlineLevel="0" collapsed="false">
      <c r="C50" s="4" t="s">
        <v>55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customFormat="false" ht="16.5" hidden="false" customHeight="true" outlineLevel="0" collapsed="false">
      <c r="C51" s="4" t="s">
        <v>56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customFormat="false" ht="16.5" hidden="false" customHeight="true" outlineLevel="0" collapsed="false">
      <c r="C52" s="4" t="s">
        <v>57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customFormat="false" ht="17.25" hidden="false" customHeight="true" outlineLevel="0" collapsed="false">
      <c r="B53" s="17" t="s">
        <v>27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8"/>
      <c r="U53" s="18"/>
      <c r="V53" s="18"/>
      <c r="W53" s="18"/>
      <c r="X53" s="18"/>
      <c r="Y53" s="18"/>
      <c r="Z53" s="18"/>
      <c r="AA53" s="18"/>
      <c r="AB53" s="18"/>
      <c r="AC53" s="19" t="str">
        <f aca="false">IF(T53="","",IF(LOWER(TRIM(T53))=LOWER('K1 Jawapan'!T53),"✓","✗"))</f>
        <v/>
      </c>
    </row>
    <row r="55" customFormat="false" ht="17.25" hidden="false" customHeight="true" outlineLevel="0" collapsed="false">
      <c r="B55" s="16" t="s">
        <v>58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</row>
    <row r="56" customFormat="false" ht="16.5" hidden="false" customHeight="true" outlineLevel="0" collapsed="false">
      <c r="C56" s="4" t="s">
        <v>59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customFormat="false" ht="16.5" hidden="false" customHeight="true" outlineLevel="0" collapsed="false">
      <c r="C57" s="4" t="s">
        <v>60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customFormat="false" ht="16.5" hidden="false" customHeight="true" outlineLevel="0" collapsed="false">
      <c r="C58" s="4" t="s">
        <v>61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customFormat="false" ht="16.5" hidden="false" customHeight="true" outlineLevel="0" collapsed="false">
      <c r="C59" s="4" t="s">
        <v>62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customFormat="false" ht="17.25" hidden="false" customHeight="true" outlineLevel="0" collapsed="false">
      <c r="B60" s="17" t="s">
        <v>27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8"/>
      <c r="U60" s="18"/>
      <c r="V60" s="18"/>
      <c r="W60" s="18"/>
      <c r="X60" s="18"/>
      <c r="Y60" s="18"/>
      <c r="Z60" s="18"/>
      <c r="AA60" s="18"/>
      <c r="AB60" s="18"/>
      <c r="AC60" s="19" t="str">
        <f aca="false">IF(T60="","",IF(LOWER(TRIM(T60))=LOWER('K1 Jawapan'!T60),"✓","✗"))</f>
        <v/>
      </c>
    </row>
    <row r="62" customFormat="false" ht="17.25" hidden="false" customHeight="true" outlineLevel="0" collapsed="false">
      <c r="B62" s="16" t="s">
        <v>63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</row>
    <row r="63" customFormat="false" ht="16.5" hidden="false" customHeight="true" outlineLevel="0" collapsed="false">
      <c r="C63" s="4" t="s">
        <v>64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customFormat="false" ht="16.5" hidden="false" customHeight="true" outlineLevel="0" collapsed="false">
      <c r="C64" s="4" t="s">
        <v>65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customFormat="false" ht="16.5" hidden="false" customHeight="true" outlineLevel="0" collapsed="false">
      <c r="C65" s="4" t="s">
        <v>66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customFormat="false" ht="16.5" hidden="false" customHeight="true" outlineLevel="0" collapsed="false">
      <c r="C66" s="4" t="s">
        <v>67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customFormat="false" ht="17.25" hidden="false" customHeight="true" outlineLevel="0" collapsed="false">
      <c r="B67" s="17" t="s">
        <v>27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8"/>
      <c r="U67" s="18"/>
      <c r="V67" s="18"/>
      <c r="W67" s="18"/>
      <c r="X67" s="18"/>
      <c r="Y67" s="18"/>
      <c r="Z67" s="18"/>
      <c r="AA67" s="18"/>
      <c r="AB67" s="18"/>
      <c r="AC67" s="19" t="str">
        <f aca="false">IF(T67="","",IF(LOWER(TRIM(T67))=LOWER('K1 Jawapan'!T67),"✓","✗"))</f>
        <v/>
      </c>
    </row>
    <row r="69" customFormat="false" ht="17.25" hidden="false" customHeight="true" outlineLevel="0" collapsed="false">
      <c r="B69" s="16" t="s">
        <v>68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</row>
    <row r="70" customFormat="false" ht="16.5" hidden="false" customHeight="true" outlineLevel="0" collapsed="false">
      <c r="C70" s="4" t="s">
        <v>69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customFormat="false" ht="16.5" hidden="false" customHeight="true" outlineLevel="0" collapsed="false">
      <c r="C71" s="4" t="s">
        <v>70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customFormat="false" ht="16.5" hidden="false" customHeight="true" outlineLevel="0" collapsed="false">
      <c r="C72" s="4" t="s">
        <v>71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customFormat="false" ht="16.5" hidden="false" customHeight="true" outlineLevel="0" collapsed="false">
      <c r="C73" s="4" t="s">
        <v>72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customFormat="false" ht="17.25" hidden="false" customHeight="true" outlineLevel="0" collapsed="false">
      <c r="B74" s="17" t="s">
        <v>27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8"/>
      <c r="U74" s="18"/>
      <c r="V74" s="18"/>
      <c r="W74" s="18"/>
      <c r="X74" s="18"/>
      <c r="Y74" s="18"/>
      <c r="Z74" s="18"/>
      <c r="AA74" s="18"/>
      <c r="AB74" s="18"/>
      <c r="AC74" s="19" t="str">
        <f aca="false">IF(T74="","",IF(LOWER(TRIM(T74))=LOWER('K1 Jawapan'!T74),"✓","✗"))</f>
        <v/>
      </c>
    </row>
    <row r="76" customFormat="false" ht="30.75" hidden="false" customHeight="true" outlineLevel="0" collapsed="false">
      <c r="B76" s="16" t="s">
        <v>73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</row>
    <row r="77" customFormat="false" ht="16.5" hidden="false" customHeight="true" outlineLevel="0" collapsed="false">
      <c r="C77" s="4" t="s">
        <v>74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customFormat="false" ht="16.5" hidden="false" customHeight="true" outlineLevel="0" collapsed="false">
      <c r="C78" s="4" t="s">
        <v>75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customFormat="false" ht="16.5" hidden="false" customHeight="true" outlineLevel="0" collapsed="false">
      <c r="C79" s="4" t="s">
        <v>76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customFormat="false" ht="16.5" hidden="false" customHeight="true" outlineLevel="0" collapsed="false">
      <c r="C80" s="4" t="s">
        <v>77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customFormat="false" ht="17.25" hidden="false" customHeight="true" outlineLevel="0" collapsed="false">
      <c r="B81" s="17" t="s">
        <v>27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8"/>
      <c r="U81" s="18"/>
      <c r="V81" s="18"/>
      <c r="W81" s="18"/>
      <c r="X81" s="18"/>
      <c r="Y81" s="18"/>
      <c r="Z81" s="18"/>
      <c r="AA81" s="18"/>
      <c r="AB81" s="18"/>
      <c r="AC81" s="19" t="str">
        <f aca="false">IF(T81="","",IF(LOWER(TRIM(T81))=LOWER('K1 Jawapan'!T81),"✓","✗"))</f>
        <v/>
      </c>
    </row>
    <row r="83" customFormat="false" ht="17.25" hidden="false" customHeight="true" outlineLevel="0" collapsed="false">
      <c r="B83" s="16" t="s">
        <v>78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</row>
    <row r="84" customFormat="false" ht="16.5" hidden="false" customHeight="true" outlineLevel="0" collapsed="false">
      <c r="C84" s="4" t="s">
        <v>79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customFormat="false" ht="16.5" hidden="false" customHeight="true" outlineLevel="0" collapsed="false">
      <c r="C85" s="4" t="s">
        <v>80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customFormat="false" ht="16.5" hidden="false" customHeight="true" outlineLevel="0" collapsed="false">
      <c r="C86" s="4" t="s">
        <v>81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customFormat="false" ht="16.5" hidden="false" customHeight="true" outlineLevel="0" collapsed="false">
      <c r="C87" s="4" t="s">
        <v>82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customFormat="false" ht="17.25" hidden="false" customHeight="true" outlineLevel="0" collapsed="false">
      <c r="B88" s="17" t="s">
        <v>27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8"/>
      <c r="U88" s="18"/>
      <c r="V88" s="18"/>
      <c r="W88" s="18"/>
      <c r="X88" s="18"/>
      <c r="Y88" s="18"/>
      <c r="Z88" s="18"/>
      <c r="AA88" s="18"/>
      <c r="AB88" s="18"/>
      <c r="AC88" s="19" t="str">
        <f aca="false">IF(T88="","",IF(LOWER(TRIM(T88))=LOWER('K1 Jawapan'!T88),"✓","✗"))</f>
        <v/>
      </c>
    </row>
    <row r="90" customFormat="false" ht="17.25" hidden="false" customHeight="true" outlineLevel="0" collapsed="false">
      <c r="B90" s="16" t="s">
        <v>83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</row>
    <row r="91" customFormat="false" ht="16.5" hidden="false" customHeight="true" outlineLevel="0" collapsed="false">
      <c r="C91" s="4" t="s">
        <v>84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customFormat="false" ht="16.5" hidden="false" customHeight="true" outlineLevel="0" collapsed="false">
      <c r="C92" s="4" t="s">
        <v>85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customFormat="false" ht="16.5" hidden="false" customHeight="true" outlineLevel="0" collapsed="false">
      <c r="C93" s="4" t="s">
        <v>86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customFormat="false" ht="16.5" hidden="false" customHeight="true" outlineLevel="0" collapsed="false">
      <c r="C94" s="4" t="s">
        <v>87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customFormat="false" ht="17.25" hidden="false" customHeight="true" outlineLevel="0" collapsed="false">
      <c r="B95" s="17" t="s">
        <v>27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8"/>
      <c r="U95" s="18"/>
      <c r="V95" s="18"/>
      <c r="W95" s="18"/>
      <c r="X95" s="18"/>
      <c r="Y95" s="18"/>
      <c r="Z95" s="18"/>
      <c r="AA95" s="18"/>
      <c r="AB95" s="18"/>
      <c r="AC95" s="19" t="str">
        <f aca="false">IF(T95="","",IF(LOWER(TRIM(T95))=LOWER('K1 Jawapan'!T95),"✓","✗"))</f>
        <v/>
      </c>
    </row>
    <row r="97" customFormat="false" ht="17.25" hidden="false" customHeight="true" outlineLevel="0" collapsed="false">
      <c r="B97" s="16" t="s">
        <v>88</v>
      </c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</row>
    <row r="98" customFormat="false" ht="16.5" hidden="false" customHeight="true" outlineLevel="0" collapsed="false">
      <c r="C98" s="4" t="s">
        <v>89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customFormat="false" ht="16.5" hidden="false" customHeight="true" outlineLevel="0" collapsed="false">
      <c r="C99" s="4" t="s">
        <v>90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customFormat="false" ht="16.5" hidden="false" customHeight="true" outlineLevel="0" collapsed="false">
      <c r="C100" s="4" t="s">
        <v>91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customFormat="false" ht="16.5" hidden="false" customHeight="true" outlineLevel="0" collapsed="false">
      <c r="C101" s="4" t="s">
        <v>92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customFormat="false" ht="17.25" hidden="false" customHeight="true" outlineLevel="0" collapsed="false">
      <c r="B102" s="17" t="s">
        <v>27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8"/>
      <c r="U102" s="18"/>
      <c r="V102" s="18"/>
      <c r="W102" s="18"/>
      <c r="X102" s="18"/>
      <c r="Y102" s="18"/>
      <c r="Z102" s="18"/>
      <c r="AA102" s="18"/>
      <c r="AB102" s="18"/>
      <c r="AC102" s="19" t="str">
        <f aca="false">IF(T102="","",IF(LOWER(TRIM(T102))=LOWER('K1 Jawapan'!T102),"✓","✗"))</f>
        <v/>
      </c>
    </row>
    <row r="104" customFormat="false" ht="17.25" hidden="false" customHeight="true" outlineLevel="0" collapsed="false">
      <c r="B104" s="16" t="s">
        <v>93</v>
      </c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</row>
    <row r="105" customFormat="false" ht="16.5" hidden="false" customHeight="true" outlineLevel="0" collapsed="false">
      <c r="C105" s="4" t="s">
        <v>94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customFormat="false" ht="16.5" hidden="false" customHeight="true" outlineLevel="0" collapsed="false">
      <c r="C106" s="4" t="s">
        <v>95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customFormat="false" ht="16.5" hidden="false" customHeight="true" outlineLevel="0" collapsed="false">
      <c r="C107" s="4" t="s">
        <v>96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customFormat="false" ht="16.5" hidden="false" customHeight="true" outlineLevel="0" collapsed="false">
      <c r="C108" s="4" t="s">
        <v>97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customFormat="false" ht="17.25" hidden="false" customHeight="true" outlineLevel="0" collapsed="false">
      <c r="B109" s="17" t="s">
        <v>27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8"/>
      <c r="U109" s="18"/>
      <c r="V109" s="18"/>
      <c r="W109" s="18"/>
      <c r="X109" s="18"/>
      <c r="Y109" s="18"/>
      <c r="Z109" s="18"/>
      <c r="AA109" s="18"/>
      <c r="AB109" s="18"/>
      <c r="AC109" s="19" t="str">
        <f aca="false">IF(T109="","",IF(LOWER(TRIM(T109))=LOWER('K1 Jawapan'!T109),"✓","✗"))</f>
        <v/>
      </c>
    </row>
  </sheetData>
  <mergeCells count="110">
    <mergeCell ref="B1:AF1"/>
    <mergeCell ref="B2:AF2"/>
    <mergeCell ref="B3:G3"/>
    <mergeCell ref="H3:AF3"/>
    <mergeCell ref="B5:AF5"/>
    <mergeCell ref="B6:AF6"/>
    <mergeCell ref="C7:AF7"/>
    <mergeCell ref="C8:AF8"/>
    <mergeCell ref="C9:AF9"/>
    <mergeCell ref="C10:AF10"/>
    <mergeCell ref="B11:S11"/>
    <mergeCell ref="T11:AB11"/>
    <mergeCell ref="B13:AF13"/>
    <mergeCell ref="C14:AF14"/>
    <mergeCell ref="C15:AF15"/>
    <mergeCell ref="C16:AF16"/>
    <mergeCell ref="C17:AF17"/>
    <mergeCell ref="B18:S18"/>
    <mergeCell ref="T18:AB18"/>
    <mergeCell ref="B20:AF20"/>
    <mergeCell ref="C21:AF21"/>
    <mergeCell ref="C22:AF22"/>
    <mergeCell ref="C23:AF23"/>
    <mergeCell ref="C24:AF24"/>
    <mergeCell ref="B25:S25"/>
    <mergeCell ref="T25:AB25"/>
    <mergeCell ref="B27:AF27"/>
    <mergeCell ref="C28:AF28"/>
    <mergeCell ref="C29:AF29"/>
    <mergeCell ref="C30:AF30"/>
    <mergeCell ref="C31:AF31"/>
    <mergeCell ref="B32:S32"/>
    <mergeCell ref="T32:AB32"/>
    <mergeCell ref="B34:AF34"/>
    <mergeCell ref="C35:AF35"/>
    <mergeCell ref="C36:AF36"/>
    <mergeCell ref="C37:AF37"/>
    <mergeCell ref="C38:AF38"/>
    <mergeCell ref="B39:S39"/>
    <mergeCell ref="T39:AB39"/>
    <mergeCell ref="B41:AF41"/>
    <mergeCell ref="C42:AF42"/>
    <mergeCell ref="C43:AF43"/>
    <mergeCell ref="C44:AF44"/>
    <mergeCell ref="C45:AF45"/>
    <mergeCell ref="B46:S46"/>
    <mergeCell ref="T46:AB46"/>
    <mergeCell ref="B48:AF48"/>
    <mergeCell ref="C49:AF49"/>
    <mergeCell ref="C50:AF50"/>
    <mergeCell ref="C51:AF51"/>
    <mergeCell ref="C52:AF52"/>
    <mergeCell ref="B53:S53"/>
    <mergeCell ref="T53:AB53"/>
    <mergeCell ref="B55:AF55"/>
    <mergeCell ref="C56:AF56"/>
    <mergeCell ref="C57:AF57"/>
    <mergeCell ref="C58:AF58"/>
    <mergeCell ref="C59:AF59"/>
    <mergeCell ref="B60:S60"/>
    <mergeCell ref="T60:AB60"/>
    <mergeCell ref="B62:AF62"/>
    <mergeCell ref="C63:AF63"/>
    <mergeCell ref="C64:AF64"/>
    <mergeCell ref="C65:AF65"/>
    <mergeCell ref="C66:AF66"/>
    <mergeCell ref="B67:S67"/>
    <mergeCell ref="T67:AB67"/>
    <mergeCell ref="B69:AF69"/>
    <mergeCell ref="C70:AF70"/>
    <mergeCell ref="C71:AF71"/>
    <mergeCell ref="C72:AF72"/>
    <mergeCell ref="C73:AF73"/>
    <mergeCell ref="B74:S74"/>
    <mergeCell ref="T74:AB74"/>
    <mergeCell ref="B76:AF76"/>
    <mergeCell ref="C77:AF77"/>
    <mergeCell ref="C78:AF78"/>
    <mergeCell ref="C79:AF79"/>
    <mergeCell ref="C80:AF80"/>
    <mergeCell ref="B81:S81"/>
    <mergeCell ref="T81:AB81"/>
    <mergeCell ref="B83:AF83"/>
    <mergeCell ref="C84:AF84"/>
    <mergeCell ref="C85:AF85"/>
    <mergeCell ref="C86:AF86"/>
    <mergeCell ref="C87:AF87"/>
    <mergeCell ref="B88:S88"/>
    <mergeCell ref="T88:AB88"/>
    <mergeCell ref="B90:AF90"/>
    <mergeCell ref="C91:AF91"/>
    <mergeCell ref="C92:AF92"/>
    <mergeCell ref="C93:AF93"/>
    <mergeCell ref="C94:AF94"/>
    <mergeCell ref="B95:S95"/>
    <mergeCell ref="T95:AB95"/>
    <mergeCell ref="B97:AF97"/>
    <mergeCell ref="C98:AF98"/>
    <mergeCell ref="C99:AF99"/>
    <mergeCell ref="C100:AF100"/>
    <mergeCell ref="C101:AF101"/>
    <mergeCell ref="B102:S102"/>
    <mergeCell ref="T102:AB102"/>
    <mergeCell ref="B104:AF104"/>
    <mergeCell ref="C105:AF105"/>
    <mergeCell ref="C106:AF106"/>
    <mergeCell ref="C107:AF107"/>
    <mergeCell ref="C108:AF108"/>
    <mergeCell ref="B109:S109"/>
    <mergeCell ref="T109:AB109"/>
  </mergeCells>
  <conditionalFormatting sqref="B4:AG110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dataValidations count="15">
    <dataValidation allowBlank="true" errorStyle="stop" operator="between" showDropDown="false" showErrorMessage="false" showInputMessage="false" sqref="T11" type="list">
      <formula1>"A,B,C,D"</formula1>
      <formula2>0</formula2>
    </dataValidation>
    <dataValidation allowBlank="true" errorStyle="stop" operator="between" showDropDown="false" showErrorMessage="false" showInputMessage="false" sqref="T18" type="list">
      <formula1>"A,B,C,D"</formula1>
      <formula2>0</formula2>
    </dataValidation>
    <dataValidation allowBlank="true" errorStyle="stop" operator="between" showDropDown="false" showErrorMessage="false" showInputMessage="false" sqref="T25" type="list">
      <formula1>"A,B,C,D"</formula1>
      <formula2>0</formula2>
    </dataValidation>
    <dataValidation allowBlank="true" errorStyle="stop" operator="between" showDropDown="false" showErrorMessage="false" showInputMessage="false" sqref="T32" type="list">
      <formula1>"A,B,C,D"</formula1>
      <formula2>0</formula2>
    </dataValidation>
    <dataValidation allowBlank="true" errorStyle="stop" operator="between" showDropDown="false" showErrorMessage="false" showInputMessage="false" sqref="T39" type="list">
      <formula1>"A,B,C,D"</formula1>
      <formula2>0</formula2>
    </dataValidation>
    <dataValidation allowBlank="true" errorStyle="stop" operator="between" showDropDown="false" showErrorMessage="false" showInputMessage="false" sqref="T46" type="list">
      <formula1>"A,B,C,D"</formula1>
      <formula2>0</formula2>
    </dataValidation>
    <dataValidation allowBlank="true" errorStyle="stop" operator="between" showDropDown="false" showErrorMessage="false" showInputMessage="false" sqref="T53" type="list">
      <formula1>"A,B,C,D"</formula1>
      <formula2>0</formula2>
    </dataValidation>
    <dataValidation allowBlank="true" errorStyle="stop" operator="between" showDropDown="false" showErrorMessage="false" showInputMessage="false" sqref="T60" type="list">
      <formula1>"A,B,C,D"</formula1>
      <formula2>0</formula2>
    </dataValidation>
    <dataValidation allowBlank="true" errorStyle="stop" operator="between" showDropDown="false" showErrorMessage="false" showInputMessage="false" sqref="T67" type="list">
      <formula1>"A,B,C,D"</formula1>
      <formula2>0</formula2>
    </dataValidation>
    <dataValidation allowBlank="true" errorStyle="stop" operator="between" showDropDown="false" showErrorMessage="false" showInputMessage="false" sqref="T74" type="list">
      <formula1>"A,B,C,D"</formula1>
      <formula2>0</formula2>
    </dataValidation>
    <dataValidation allowBlank="true" errorStyle="stop" operator="between" showDropDown="false" showErrorMessage="false" showInputMessage="false" sqref="T81" type="list">
      <formula1>"A,B,C,D"</formula1>
      <formula2>0</formula2>
    </dataValidation>
    <dataValidation allowBlank="true" errorStyle="stop" operator="between" showDropDown="false" showErrorMessage="false" showInputMessage="false" sqref="T88" type="list">
      <formula1>"A,B,C,D"</formula1>
      <formula2>0</formula2>
    </dataValidation>
    <dataValidation allowBlank="true" errorStyle="stop" operator="between" showDropDown="false" showErrorMessage="false" showInputMessage="false" sqref="T95" type="list">
      <formula1>"A,B,C,D"</formula1>
      <formula2>0</formula2>
    </dataValidation>
    <dataValidation allowBlank="true" errorStyle="stop" operator="between" showDropDown="false" showErrorMessage="false" showInputMessage="false" sqref="T102" type="list">
      <formula1>"A,B,C,D"</formula1>
      <formula2>0</formula2>
    </dataValidation>
    <dataValidation allowBlank="true" errorStyle="stop" operator="between" showDropDown="false" showErrorMessage="false" showInputMessage="false" sqref="T109" type="list">
      <formula1>"A,B,C,D"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B1:AF109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4" min="2" style="0" width="4.6"/>
  </cols>
  <sheetData>
    <row r="1" customFormat="false" ht="25.5" hidden="false" customHeight="true" outlineLevel="0" collapsed="false">
      <c r="B1" s="1" t="s">
        <v>98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5" hidden="false" customHeight="false" outlineLevel="0" collapsed="false">
      <c r="B2" s="14" t="s">
        <v>99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customFormat="false" ht="15" hidden="false" customHeight="false" outlineLevel="0" collapsed="false">
      <c r="B3" s="14" t="s">
        <v>100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5" customFormat="false" ht="16.5" hidden="false" customHeight="true" outlineLevel="0" collapsed="false">
      <c r="B5" s="4" t="s">
        <v>21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customFormat="false" ht="17.25" hidden="false" customHeight="true" outlineLevel="0" collapsed="false">
      <c r="B6" s="16" t="s">
        <v>22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</row>
    <row r="7" customFormat="false" ht="16.5" hidden="false" customHeight="true" outlineLevel="0" collapsed="false">
      <c r="C7" s="4" t="s">
        <v>23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customFormat="false" ht="16.5" hidden="false" customHeight="true" outlineLevel="0" collapsed="false">
      <c r="C8" s="4" t="s">
        <v>24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customFormat="false" ht="16.5" hidden="false" customHeight="true" outlineLevel="0" collapsed="false">
      <c r="C9" s="4" t="s">
        <v>25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customFormat="false" ht="16.5" hidden="false" customHeight="true" outlineLevel="0" collapsed="false">
      <c r="C10" s="4" t="s">
        <v>26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customFormat="false" ht="17.25" hidden="false" customHeight="true" outlineLevel="0" collapsed="false">
      <c r="B11" s="17" t="s">
        <v>27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20" t="str">
        <f aca="false">"A"</f>
        <v>A</v>
      </c>
      <c r="U11" s="20"/>
      <c r="V11" s="20"/>
      <c r="W11" s="20"/>
      <c r="X11" s="20"/>
      <c r="Y11" s="20"/>
      <c r="Z11" s="20"/>
      <c r="AA11" s="20"/>
      <c r="AB11" s="20"/>
    </row>
    <row r="13" customFormat="false" ht="17.25" hidden="false" customHeight="true" outlineLevel="0" collapsed="false">
      <c r="B13" s="16" t="s">
        <v>28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</row>
    <row r="14" customFormat="false" ht="16.5" hidden="false" customHeight="true" outlineLevel="0" collapsed="false">
      <c r="C14" s="4" t="s">
        <v>29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customFormat="false" ht="16.5" hidden="false" customHeight="true" outlineLevel="0" collapsed="false">
      <c r="C15" s="4" t="s">
        <v>30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customFormat="false" ht="16.5" hidden="false" customHeight="true" outlineLevel="0" collapsed="false">
      <c r="C16" s="4" t="s">
        <v>31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customFormat="false" ht="16.5" hidden="false" customHeight="true" outlineLevel="0" collapsed="false">
      <c r="C17" s="4" t="s">
        <v>32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customFormat="false" ht="17.25" hidden="false" customHeight="true" outlineLevel="0" collapsed="false">
      <c r="B18" s="17" t="s">
        <v>27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20" t="str">
        <f aca="false">"B"</f>
        <v>B</v>
      </c>
      <c r="U18" s="20"/>
      <c r="V18" s="20"/>
      <c r="W18" s="20"/>
      <c r="X18" s="20"/>
      <c r="Y18" s="20"/>
      <c r="Z18" s="20"/>
      <c r="AA18" s="20"/>
      <c r="AB18" s="20"/>
    </row>
    <row r="20" customFormat="false" ht="17.25" hidden="false" customHeight="true" outlineLevel="0" collapsed="false">
      <c r="B20" s="16" t="s">
        <v>33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</row>
    <row r="21" customFormat="false" ht="16.5" hidden="false" customHeight="true" outlineLevel="0" collapsed="false">
      <c r="C21" s="4" t="s">
        <v>34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customFormat="false" ht="16.5" hidden="false" customHeight="true" outlineLevel="0" collapsed="false">
      <c r="C22" s="4" t="s">
        <v>35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customFormat="false" ht="16.5" hidden="false" customHeight="true" outlineLevel="0" collapsed="false">
      <c r="C23" s="4" t="s">
        <v>36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customFormat="false" ht="16.5" hidden="false" customHeight="true" outlineLevel="0" collapsed="false">
      <c r="C24" s="4" t="s">
        <v>37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customFormat="false" ht="17.25" hidden="false" customHeight="true" outlineLevel="0" collapsed="false">
      <c r="B25" s="17" t="s">
        <v>27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20" t="str">
        <f aca="false">"C"</f>
        <v>C</v>
      </c>
      <c r="U25" s="20"/>
      <c r="V25" s="20"/>
      <c r="W25" s="20"/>
      <c r="X25" s="20"/>
      <c r="Y25" s="20"/>
      <c r="Z25" s="20"/>
      <c r="AA25" s="20"/>
      <c r="AB25" s="20"/>
    </row>
    <row r="27" customFormat="false" ht="17.25" hidden="false" customHeight="true" outlineLevel="0" collapsed="false">
      <c r="B27" s="16" t="s">
        <v>38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</row>
    <row r="28" customFormat="false" ht="16.5" hidden="false" customHeight="true" outlineLevel="0" collapsed="false">
      <c r="C28" s="4" t="s">
        <v>39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customFormat="false" ht="16.5" hidden="false" customHeight="true" outlineLevel="0" collapsed="false">
      <c r="C29" s="4" t="s">
        <v>40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customFormat="false" ht="16.5" hidden="false" customHeight="true" outlineLevel="0" collapsed="false">
      <c r="C30" s="4" t="s">
        <v>41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customFormat="false" ht="16.5" hidden="false" customHeight="true" outlineLevel="0" collapsed="false">
      <c r="C31" s="4" t="s">
        <v>42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customFormat="false" ht="17.25" hidden="false" customHeight="true" outlineLevel="0" collapsed="false">
      <c r="B32" s="17" t="s">
        <v>27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20" t="str">
        <f aca="false">"D"</f>
        <v>D</v>
      </c>
      <c r="U32" s="20"/>
      <c r="V32" s="20"/>
      <c r="W32" s="20"/>
      <c r="X32" s="20"/>
      <c r="Y32" s="20"/>
      <c r="Z32" s="20"/>
      <c r="AA32" s="20"/>
      <c r="AB32" s="20"/>
    </row>
    <row r="34" customFormat="false" ht="17.25" hidden="false" customHeight="true" outlineLevel="0" collapsed="false">
      <c r="B34" s="16" t="s">
        <v>43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</row>
    <row r="35" customFormat="false" ht="16.5" hidden="false" customHeight="true" outlineLevel="0" collapsed="false">
      <c r="C35" s="4" t="s">
        <v>44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customFormat="false" ht="16.5" hidden="false" customHeight="true" outlineLevel="0" collapsed="false">
      <c r="C36" s="4" t="s">
        <v>45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customFormat="false" ht="16.5" hidden="false" customHeight="true" outlineLevel="0" collapsed="false">
      <c r="C37" s="4" t="s">
        <v>46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customFormat="false" ht="16.5" hidden="false" customHeight="true" outlineLevel="0" collapsed="false">
      <c r="C38" s="4" t="s">
        <v>47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customFormat="false" ht="17.25" hidden="false" customHeight="true" outlineLevel="0" collapsed="false">
      <c r="B39" s="17" t="s">
        <v>27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20" t="str">
        <f aca="false">"A"</f>
        <v>A</v>
      </c>
      <c r="U39" s="20"/>
      <c r="V39" s="20"/>
      <c r="W39" s="20"/>
      <c r="X39" s="20"/>
      <c r="Y39" s="20"/>
      <c r="Z39" s="20"/>
      <c r="AA39" s="20"/>
      <c r="AB39" s="20"/>
    </row>
    <row r="41" customFormat="false" ht="17.25" hidden="false" customHeight="true" outlineLevel="0" collapsed="false">
      <c r="B41" s="16" t="s">
        <v>48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</row>
    <row r="42" customFormat="false" ht="16.5" hidden="false" customHeight="true" outlineLevel="0" collapsed="false">
      <c r="C42" s="4" t="s">
        <v>49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customFormat="false" ht="16.5" hidden="false" customHeight="true" outlineLevel="0" collapsed="false">
      <c r="C43" s="4" t="s">
        <v>50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customFormat="false" ht="16.5" hidden="false" customHeight="true" outlineLevel="0" collapsed="false">
      <c r="C44" s="4" t="s">
        <v>51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customFormat="false" ht="16.5" hidden="false" customHeight="true" outlineLevel="0" collapsed="false">
      <c r="C45" s="4" t="s">
        <v>52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customFormat="false" ht="17.25" hidden="false" customHeight="true" outlineLevel="0" collapsed="false">
      <c r="B46" s="17" t="s">
        <v>27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20" t="str">
        <f aca="false">"B"</f>
        <v>B</v>
      </c>
      <c r="U46" s="20"/>
      <c r="V46" s="20"/>
      <c r="W46" s="20"/>
      <c r="X46" s="20"/>
      <c r="Y46" s="20"/>
      <c r="Z46" s="20"/>
      <c r="AA46" s="20"/>
      <c r="AB46" s="20"/>
    </row>
    <row r="48" customFormat="false" ht="17.25" hidden="false" customHeight="true" outlineLevel="0" collapsed="false">
      <c r="B48" s="16" t="s">
        <v>53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</row>
    <row r="49" customFormat="false" ht="16.5" hidden="false" customHeight="true" outlineLevel="0" collapsed="false">
      <c r="C49" s="4" t="s">
        <v>54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customFormat="false" ht="16.5" hidden="false" customHeight="true" outlineLevel="0" collapsed="false">
      <c r="C50" s="4" t="s">
        <v>55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customFormat="false" ht="16.5" hidden="false" customHeight="true" outlineLevel="0" collapsed="false">
      <c r="C51" s="4" t="s">
        <v>56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customFormat="false" ht="16.5" hidden="false" customHeight="true" outlineLevel="0" collapsed="false">
      <c r="C52" s="4" t="s">
        <v>57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customFormat="false" ht="17.25" hidden="false" customHeight="true" outlineLevel="0" collapsed="false">
      <c r="B53" s="17" t="s">
        <v>27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20" t="str">
        <f aca="false">"A"</f>
        <v>A</v>
      </c>
      <c r="U53" s="20"/>
      <c r="V53" s="20"/>
      <c r="W53" s="20"/>
      <c r="X53" s="20"/>
      <c r="Y53" s="20"/>
      <c r="Z53" s="20"/>
      <c r="AA53" s="20"/>
      <c r="AB53" s="20"/>
    </row>
    <row r="55" customFormat="false" ht="17.25" hidden="false" customHeight="true" outlineLevel="0" collapsed="false">
      <c r="B55" s="16" t="s">
        <v>58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</row>
    <row r="56" customFormat="false" ht="16.5" hidden="false" customHeight="true" outlineLevel="0" collapsed="false">
      <c r="C56" s="4" t="s">
        <v>59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customFormat="false" ht="16.5" hidden="false" customHeight="true" outlineLevel="0" collapsed="false">
      <c r="C57" s="4" t="s">
        <v>60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customFormat="false" ht="16.5" hidden="false" customHeight="true" outlineLevel="0" collapsed="false">
      <c r="C58" s="4" t="s">
        <v>61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customFormat="false" ht="16.5" hidden="false" customHeight="true" outlineLevel="0" collapsed="false">
      <c r="C59" s="4" t="s">
        <v>62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customFormat="false" ht="17.25" hidden="false" customHeight="true" outlineLevel="0" collapsed="false">
      <c r="B60" s="17" t="s">
        <v>27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20" t="str">
        <f aca="false">"C"</f>
        <v>C</v>
      </c>
      <c r="U60" s="20"/>
      <c r="V60" s="20"/>
      <c r="W60" s="20"/>
      <c r="X60" s="20"/>
      <c r="Y60" s="20"/>
      <c r="Z60" s="20"/>
      <c r="AA60" s="20"/>
      <c r="AB60" s="20"/>
    </row>
    <row r="62" customFormat="false" ht="17.25" hidden="false" customHeight="true" outlineLevel="0" collapsed="false">
      <c r="B62" s="16" t="s">
        <v>63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</row>
    <row r="63" customFormat="false" ht="16.5" hidden="false" customHeight="true" outlineLevel="0" collapsed="false">
      <c r="C63" s="4" t="s">
        <v>64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customFormat="false" ht="16.5" hidden="false" customHeight="true" outlineLevel="0" collapsed="false">
      <c r="C64" s="4" t="s">
        <v>65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customFormat="false" ht="16.5" hidden="false" customHeight="true" outlineLevel="0" collapsed="false">
      <c r="C65" s="4" t="s">
        <v>66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customFormat="false" ht="16.5" hidden="false" customHeight="true" outlineLevel="0" collapsed="false">
      <c r="C66" s="4" t="s">
        <v>67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customFormat="false" ht="17.25" hidden="false" customHeight="true" outlineLevel="0" collapsed="false">
      <c r="B67" s="17" t="s">
        <v>27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20" t="str">
        <f aca="false">"B"</f>
        <v>B</v>
      </c>
      <c r="U67" s="20"/>
      <c r="V67" s="20"/>
      <c r="W67" s="20"/>
      <c r="X67" s="20"/>
      <c r="Y67" s="20"/>
      <c r="Z67" s="20"/>
      <c r="AA67" s="20"/>
      <c r="AB67" s="20"/>
    </row>
    <row r="69" customFormat="false" ht="17.25" hidden="false" customHeight="true" outlineLevel="0" collapsed="false">
      <c r="B69" s="16" t="s">
        <v>68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</row>
    <row r="70" customFormat="false" ht="16.5" hidden="false" customHeight="true" outlineLevel="0" collapsed="false">
      <c r="C70" s="4" t="s">
        <v>69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customFormat="false" ht="16.5" hidden="false" customHeight="true" outlineLevel="0" collapsed="false">
      <c r="C71" s="4" t="s">
        <v>70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customFormat="false" ht="16.5" hidden="false" customHeight="true" outlineLevel="0" collapsed="false">
      <c r="C72" s="4" t="s">
        <v>71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customFormat="false" ht="16.5" hidden="false" customHeight="true" outlineLevel="0" collapsed="false">
      <c r="C73" s="4" t="s">
        <v>72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customFormat="false" ht="17.25" hidden="false" customHeight="true" outlineLevel="0" collapsed="false">
      <c r="B74" s="17" t="s">
        <v>27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20" t="str">
        <f aca="false">"C"</f>
        <v>C</v>
      </c>
      <c r="U74" s="20"/>
      <c r="V74" s="20"/>
      <c r="W74" s="20"/>
      <c r="X74" s="20"/>
      <c r="Y74" s="20"/>
      <c r="Z74" s="20"/>
      <c r="AA74" s="20"/>
      <c r="AB74" s="20"/>
    </row>
    <row r="76" customFormat="false" ht="30.75" hidden="false" customHeight="true" outlineLevel="0" collapsed="false">
      <c r="B76" s="16" t="s">
        <v>73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</row>
    <row r="77" customFormat="false" ht="16.5" hidden="false" customHeight="true" outlineLevel="0" collapsed="false">
      <c r="C77" s="4" t="s">
        <v>74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customFormat="false" ht="16.5" hidden="false" customHeight="true" outlineLevel="0" collapsed="false">
      <c r="C78" s="4" t="s">
        <v>75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customFormat="false" ht="16.5" hidden="false" customHeight="true" outlineLevel="0" collapsed="false">
      <c r="C79" s="4" t="s">
        <v>76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customFormat="false" ht="16.5" hidden="false" customHeight="true" outlineLevel="0" collapsed="false">
      <c r="C80" s="4" t="s">
        <v>77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customFormat="false" ht="17.25" hidden="false" customHeight="true" outlineLevel="0" collapsed="false">
      <c r="B81" s="17" t="s">
        <v>27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20" t="str">
        <f aca="false">"A"</f>
        <v>A</v>
      </c>
      <c r="U81" s="20"/>
      <c r="V81" s="20"/>
      <c r="W81" s="20"/>
      <c r="X81" s="20"/>
      <c r="Y81" s="20"/>
      <c r="Z81" s="20"/>
      <c r="AA81" s="20"/>
      <c r="AB81" s="20"/>
    </row>
    <row r="83" customFormat="false" ht="17.25" hidden="false" customHeight="true" outlineLevel="0" collapsed="false">
      <c r="B83" s="16" t="s">
        <v>78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</row>
    <row r="84" customFormat="false" ht="16.5" hidden="false" customHeight="true" outlineLevel="0" collapsed="false">
      <c r="C84" s="4" t="s">
        <v>79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customFormat="false" ht="16.5" hidden="false" customHeight="true" outlineLevel="0" collapsed="false">
      <c r="C85" s="4" t="s">
        <v>80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customFormat="false" ht="16.5" hidden="false" customHeight="true" outlineLevel="0" collapsed="false">
      <c r="C86" s="4" t="s">
        <v>81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customFormat="false" ht="16.5" hidden="false" customHeight="true" outlineLevel="0" collapsed="false">
      <c r="C87" s="4" t="s">
        <v>82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customFormat="false" ht="17.25" hidden="false" customHeight="true" outlineLevel="0" collapsed="false">
      <c r="B88" s="17" t="s">
        <v>27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20" t="str">
        <f aca="false">"B"</f>
        <v>B</v>
      </c>
      <c r="U88" s="20"/>
      <c r="V88" s="20"/>
      <c r="W88" s="20"/>
      <c r="X88" s="20"/>
      <c r="Y88" s="20"/>
      <c r="Z88" s="20"/>
      <c r="AA88" s="20"/>
      <c r="AB88" s="20"/>
    </row>
    <row r="90" customFormat="false" ht="17.25" hidden="false" customHeight="true" outlineLevel="0" collapsed="false">
      <c r="B90" s="16" t="s">
        <v>83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</row>
    <row r="91" customFormat="false" ht="16.5" hidden="false" customHeight="true" outlineLevel="0" collapsed="false">
      <c r="C91" s="4" t="s">
        <v>84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customFormat="false" ht="16.5" hidden="false" customHeight="true" outlineLevel="0" collapsed="false">
      <c r="C92" s="4" t="s">
        <v>85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customFormat="false" ht="16.5" hidden="false" customHeight="true" outlineLevel="0" collapsed="false">
      <c r="C93" s="4" t="s">
        <v>86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customFormat="false" ht="16.5" hidden="false" customHeight="true" outlineLevel="0" collapsed="false">
      <c r="C94" s="4" t="s">
        <v>87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customFormat="false" ht="17.25" hidden="false" customHeight="true" outlineLevel="0" collapsed="false">
      <c r="B95" s="17" t="s">
        <v>27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20" t="str">
        <f aca="false">"D"</f>
        <v>D</v>
      </c>
      <c r="U95" s="20"/>
      <c r="V95" s="20"/>
      <c r="W95" s="20"/>
      <c r="X95" s="20"/>
      <c r="Y95" s="20"/>
      <c r="Z95" s="20"/>
      <c r="AA95" s="20"/>
      <c r="AB95" s="20"/>
    </row>
    <row r="97" customFormat="false" ht="17.25" hidden="false" customHeight="true" outlineLevel="0" collapsed="false">
      <c r="B97" s="16" t="s">
        <v>88</v>
      </c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</row>
    <row r="98" customFormat="false" ht="16.5" hidden="false" customHeight="true" outlineLevel="0" collapsed="false">
      <c r="C98" s="4" t="s">
        <v>89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customFormat="false" ht="16.5" hidden="false" customHeight="true" outlineLevel="0" collapsed="false">
      <c r="C99" s="4" t="s">
        <v>90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customFormat="false" ht="16.5" hidden="false" customHeight="true" outlineLevel="0" collapsed="false">
      <c r="C100" s="4" t="s">
        <v>91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customFormat="false" ht="16.5" hidden="false" customHeight="true" outlineLevel="0" collapsed="false">
      <c r="C101" s="4" t="s">
        <v>92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customFormat="false" ht="17.25" hidden="false" customHeight="true" outlineLevel="0" collapsed="false">
      <c r="B102" s="17" t="s">
        <v>27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20" t="str">
        <f aca="false">"C"</f>
        <v>C</v>
      </c>
      <c r="U102" s="20"/>
      <c r="V102" s="20"/>
      <c r="W102" s="20"/>
      <c r="X102" s="20"/>
      <c r="Y102" s="20"/>
      <c r="Z102" s="20"/>
      <c r="AA102" s="20"/>
      <c r="AB102" s="20"/>
    </row>
    <row r="104" customFormat="false" ht="17.25" hidden="false" customHeight="true" outlineLevel="0" collapsed="false">
      <c r="B104" s="16" t="s">
        <v>93</v>
      </c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</row>
    <row r="105" customFormat="false" ht="16.5" hidden="false" customHeight="true" outlineLevel="0" collapsed="false">
      <c r="C105" s="4" t="s">
        <v>94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customFormat="false" ht="16.5" hidden="false" customHeight="true" outlineLevel="0" collapsed="false">
      <c r="C106" s="4" t="s">
        <v>95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customFormat="false" ht="16.5" hidden="false" customHeight="true" outlineLevel="0" collapsed="false">
      <c r="C107" s="4" t="s">
        <v>96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customFormat="false" ht="16.5" hidden="false" customHeight="true" outlineLevel="0" collapsed="false">
      <c r="C108" s="4" t="s">
        <v>97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customFormat="false" ht="17.25" hidden="false" customHeight="true" outlineLevel="0" collapsed="false">
      <c r="B109" s="17" t="s">
        <v>27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20" t="str">
        <f aca="false">"D"</f>
        <v>D</v>
      </c>
      <c r="U109" s="20"/>
      <c r="V109" s="20"/>
      <c r="W109" s="20"/>
      <c r="X109" s="20"/>
      <c r="Y109" s="20"/>
      <c r="Z109" s="20"/>
      <c r="AA109" s="20"/>
      <c r="AB109" s="20"/>
    </row>
  </sheetData>
  <mergeCells count="109">
    <mergeCell ref="B1:AF1"/>
    <mergeCell ref="B2:AF2"/>
    <mergeCell ref="B3:AF3"/>
    <mergeCell ref="B5:AF5"/>
    <mergeCell ref="B6:AF6"/>
    <mergeCell ref="C7:AF7"/>
    <mergeCell ref="C8:AF8"/>
    <mergeCell ref="C9:AF9"/>
    <mergeCell ref="C10:AF10"/>
    <mergeCell ref="B11:S11"/>
    <mergeCell ref="T11:AB11"/>
    <mergeCell ref="B13:AF13"/>
    <mergeCell ref="C14:AF14"/>
    <mergeCell ref="C15:AF15"/>
    <mergeCell ref="C16:AF16"/>
    <mergeCell ref="C17:AF17"/>
    <mergeCell ref="B18:S18"/>
    <mergeCell ref="T18:AB18"/>
    <mergeCell ref="B20:AF20"/>
    <mergeCell ref="C21:AF21"/>
    <mergeCell ref="C22:AF22"/>
    <mergeCell ref="C23:AF23"/>
    <mergeCell ref="C24:AF24"/>
    <mergeCell ref="B25:S25"/>
    <mergeCell ref="T25:AB25"/>
    <mergeCell ref="B27:AF27"/>
    <mergeCell ref="C28:AF28"/>
    <mergeCell ref="C29:AF29"/>
    <mergeCell ref="C30:AF30"/>
    <mergeCell ref="C31:AF31"/>
    <mergeCell ref="B32:S32"/>
    <mergeCell ref="T32:AB32"/>
    <mergeCell ref="B34:AF34"/>
    <mergeCell ref="C35:AF35"/>
    <mergeCell ref="C36:AF36"/>
    <mergeCell ref="C37:AF37"/>
    <mergeCell ref="C38:AF38"/>
    <mergeCell ref="B39:S39"/>
    <mergeCell ref="T39:AB39"/>
    <mergeCell ref="B41:AF41"/>
    <mergeCell ref="C42:AF42"/>
    <mergeCell ref="C43:AF43"/>
    <mergeCell ref="C44:AF44"/>
    <mergeCell ref="C45:AF45"/>
    <mergeCell ref="B46:S46"/>
    <mergeCell ref="T46:AB46"/>
    <mergeCell ref="B48:AF48"/>
    <mergeCell ref="C49:AF49"/>
    <mergeCell ref="C50:AF50"/>
    <mergeCell ref="C51:AF51"/>
    <mergeCell ref="C52:AF52"/>
    <mergeCell ref="B53:S53"/>
    <mergeCell ref="T53:AB53"/>
    <mergeCell ref="B55:AF55"/>
    <mergeCell ref="C56:AF56"/>
    <mergeCell ref="C57:AF57"/>
    <mergeCell ref="C58:AF58"/>
    <mergeCell ref="C59:AF59"/>
    <mergeCell ref="B60:S60"/>
    <mergeCell ref="T60:AB60"/>
    <mergeCell ref="B62:AF62"/>
    <mergeCell ref="C63:AF63"/>
    <mergeCell ref="C64:AF64"/>
    <mergeCell ref="C65:AF65"/>
    <mergeCell ref="C66:AF66"/>
    <mergeCell ref="B67:S67"/>
    <mergeCell ref="T67:AB67"/>
    <mergeCell ref="B69:AF69"/>
    <mergeCell ref="C70:AF70"/>
    <mergeCell ref="C71:AF71"/>
    <mergeCell ref="C72:AF72"/>
    <mergeCell ref="C73:AF73"/>
    <mergeCell ref="B74:S74"/>
    <mergeCell ref="T74:AB74"/>
    <mergeCell ref="B76:AF76"/>
    <mergeCell ref="C77:AF77"/>
    <mergeCell ref="C78:AF78"/>
    <mergeCell ref="C79:AF79"/>
    <mergeCell ref="C80:AF80"/>
    <mergeCell ref="B81:S81"/>
    <mergeCell ref="T81:AB81"/>
    <mergeCell ref="B83:AF83"/>
    <mergeCell ref="C84:AF84"/>
    <mergeCell ref="C85:AF85"/>
    <mergeCell ref="C86:AF86"/>
    <mergeCell ref="C87:AF87"/>
    <mergeCell ref="B88:S88"/>
    <mergeCell ref="T88:AB88"/>
    <mergeCell ref="B90:AF90"/>
    <mergeCell ref="C91:AF91"/>
    <mergeCell ref="C92:AF92"/>
    <mergeCell ref="C93:AF93"/>
    <mergeCell ref="C94:AF94"/>
    <mergeCell ref="B95:S95"/>
    <mergeCell ref="T95:AB95"/>
    <mergeCell ref="B97:AF97"/>
    <mergeCell ref="C98:AF98"/>
    <mergeCell ref="C99:AF99"/>
    <mergeCell ref="C100:AF100"/>
    <mergeCell ref="C101:AF101"/>
    <mergeCell ref="B102:S102"/>
    <mergeCell ref="T102:AB102"/>
    <mergeCell ref="B104:AF104"/>
    <mergeCell ref="C105:AF105"/>
    <mergeCell ref="C106:AF106"/>
    <mergeCell ref="C107:AF107"/>
    <mergeCell ref="C108:AF108"/>
    <mergeCell ref="B109:S109"/>
    <mergeCell ref="T109:AB109"/>
  </mergeCells>
  <conditionalFormatting sqref="B1:AG110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2026-10-02T09:01:14Z</dcterms:created>
  <dc:creator>openpyxl</dc:creator>
  <dc:description/>
  <dc:language>en-US</dc:language>
  <cp:lastModifiedBy/>
  <dcterms:modified xsi:type="dcterms:W3CDTF">2026-10-02T09:01:14Z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